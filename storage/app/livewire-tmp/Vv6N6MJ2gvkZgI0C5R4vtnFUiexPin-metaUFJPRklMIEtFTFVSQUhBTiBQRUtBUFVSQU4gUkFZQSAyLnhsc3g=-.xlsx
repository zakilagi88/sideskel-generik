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akilagi\Downloads\"/>
    </mc:Choice>
  </mc:AlternateContent>
  <xr:revisionPtr revIDLastSave="0" documentId="13_ncr:1_{BEC15C7B-5EBC-4A10-92D2-456CEFF696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  <sheet name="Laporan Potensi Wilayah" sheetId="1" r:id="rId2"/>
    <sheet name="RINGKASAN" sheetId="3" r:id="rId3"/>
    <sheet name="MENINGGAL" sheetId="4" r:id="rId4"/>
    <sheet name="POTENSI WILAYAH" sheetId="5" r:id="rId5"/>
    <sheet name="KETERANGAN" sheetId="6" r:id="rId6"/>
    <sheet name="contoh" sheetId="7" r:id="rId7"/>
  </sheets>
  <definedNames>
    <definedName name="_xlnm._FilterDatabase" localSheetId="6" hidden="1">contoh!$A$3:$U$3</definedName>
    <definedName name="_xlnm._FilterDatabase" localSheetId="0" hidden="1">DATA!$A$1:$AJ$296</definedName>
    <definedName name="_xlnm._FilterDatabase" localSheetId="3" hidden="1">MENINGGAL!$A$2:$W$2</definedName>
    <definedName name="_xlnm._FilterDatabase" localSheetId="4" hidden="1">'POTENSI WILAYAH'!$A$2:$F$2</definedName>
    <definedName name="Slicer_RT">#REF!</definedName>
    <definedName name="Slicer_RT1">#REF!</definedName>
    <definedName name="Slicer_RT2">#REF!</definedName>
    <definedName name="Slicer_RT3">#REF!</definedName>
    <definedName name="Slicer_RT4">#REF!</definedName>
    <definedName name="Slicer_RT5">#REF!</definedName>
    <definedName name="Z_9FE09895_0446_4AD1_AA4E_140155A8861F_.wvu.FilterData" localSheetId="0" hidden="1">DATA!$A$1:$AG$297</definedName>
    <definedName name="Z_9FE09895_0446_4AD1_AA4E_140155A8861F_.wvu.FilterData" localSheetId="4" hidden="1">'POTENSI WILAYAH'!$A$2:$F$1000</definedName>
    <definedName name="Z_C8577A14_7C2A_48CD_AB97_E8309A89DABE_.wvu.FilterData" localSheetId="0" hidden="1">DATA!$A$1:$AG$297</definedName>
  </definedNames>
  <calcPr calcId="191029"/>
  <customWorkbookViews>
    <customWorkbookView name="Filter 1" guid="{9FE09895-0446-4AD1-AA4E-140155A8861F}" maximized="1" windowWidth="0" windowHeight="0" activeSheetId="0"/>
    <customWorkbookView name="Filter 2" guid="{C8577A14-7C2A-48CD-AB97-E8309A89DABE}" maximized="1" windowWidth="0" windowHeight="0" activeSheetId="0"/>
  </customWorkbookViews>
  <pivotCaches>
    <pivotCache cacheId="8" r:id="rId8"/>
    <pivotCache cacheId="17" r:id="rId9"/>
    <pivotCache cacheId="22" r:id="rId10"/>
    <pivotCache cacheId="3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1Y7yfuAGPbdK6+KNVHmMKjIgD8B3tv3WnZ9IXQXREWo="/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" i="2"/>
  <c r="K8" i="7"/>
  <c r="L8" i="7" s="1"/>
  <c r="K7" i="7"/>
  <c r="L7" i="7" s="1"/>
  <c r="K6" i="7"/>
  <c r="L6" i="7" s="1"/>
  <c r="K5" i="7"/>
  <c r="L5" i="7" s="1"/>
  <c r="K4" i="7"/>
  <c r="L4" i="7" s="1"/>
  <c r="K3" i="7"/>
  <c r="C1" i="5"/>
  <c r="N3" i="4"/>
  <c r="C1" i="4"/>
  <c r="B6" i="3" s="1"/>
  <c r="B5" i="3"/>
  <c r="B4" i="3"/>
  <c r="B3" i="3"/>
  <c r="B2" i="3"/>
  <c r="O296" i="2"/>
  <c r="P296" i="2" s="1"/>
  <c r="O295" i="2"/>
  <c r="P295" i="2" s="1"/>
  <c r="O294" i="2"/>
  <c r="P294" i="2" s="1"/>
  <c r="O293" i="2"/>
  <c r="P293" i="2" s="1"/>
  <c r="O292" i="2"/>
  <c r="P292" i="2" s="1"/>
  <c r="O291" i="2"/>
  <c r="P291" i="2" s="1"/>
  <c r="O290" i="2"/>
  <c r="P290" i="2" s="1"/>
  <c r="O289" i="2"/>
  <c r="P289" i="2" s="1"/>
  <c r="O288" i="2"/>
  <c r="P288" i="2" s="1"/>
  <c r="O287" i="2"/>
  <c r="P287" i="2" s="1"/>
  <c r="O286" i="2"/>
  <c r="P286" i="2" s="1"/>
  <c r="O285" i="2"/>
  <c r="P285" i="2" s="1"/>
  <c r="O284" i="2"/>
  <c r="P284" i="2" s="1"/>
  <c r="O283" i="2"/>
  <c r="P283" i="2" s="1"/>
  <c r="O282" i="2"/>
  <c r="P282" i="2" s="1"/>
  <c r="O281" i="2"/>
  <c r="P281" i="2" s="1"/>
  <c r="O280" i="2"/>
  <c r="P280" i="2" s="1"/>
  <c r="O279" i="2"/>
  <c r="P279" i="2" s="1"/>
  <c r="O278" i="2"/>
  <c r="P278" i="2" s="1"/>
  <c r="O277" i="2"/>
  <c r="P277" i="2" s="1"/>
  <c r="O276" i="2"/>
  <c r="P276" i="2" s="1"/>
  <c r="P275" i="2"/>
  <c r="O275" i="2"/>
  <c r="O274" i="2"/>
  <c r="P274" i="2" s="1"/>
  <c r="O273" i="2"/>
  <c r="P273" i="2" s="1"/>
  <c r="O272" i="2"/>
  <c r="P272" i="2" s="1"/>
  <c r="O271" i="2"/>
  <c r="P271" i="2" s="1"/>
  <c r="O270" i="2"/>
  <c r="P270" i="2" s="1"/>
  <c r="O269" i="2"/>
  <c r="P269" i="2" s="1"/>
  <c r="O268" i="2"/>
  <c r="P268" i="2" s="1"/>
  <c r="O267" i="2"/>
  <c r="P267" i="2" s="1"/>
  <c r="O266" i="2"/>
  <c r="P266" i="2" s="1"/>
  <c r="O265" i="2"/>
  <c r="P265" i="2" s="1"/>
  <c r="O264" i="2"/>
  <c r="P264" i="2" s="1"/>
  <c r="O263" i="2"/>
  <c r="P263" i="2" s="1"/>
  <c r="O262" i="2"/>
  <c r="P262" i="2" s="1"/>
  <c r="O261" i="2"/>
  <c r="P261" i="2" s="1"/>
  <c r="O260" i="2"/>
  <c r="P260" i="2" s="1"/>
  <c r="O259" i="2"/>
  <c r="P259" i="2" s="1"/>
  <c r="O258" i="2"/>
  <c r="P258" i="2" s="1"/>
  <c r="O257" i="2"/>
  <c r="P257" i="2" s="1"/>
  <c r="O256" i="2"/>
  <c r="P256" i="2" s="1"/>
  <c r="O255" i="2"/>
  <c r="P255" i="2" s="1"/>
  <c r="O254" i="2"/>
  <c r="P254" i="2" s="1"/>
  <c r="O253" i="2"/>
  <c r="P253" i="2" s="1"/>
  <c r="O252" i="2"/>
  <c r="P252" i="2" s="1"/>
  <c r="O251" i="2"/>
  <c r="P251" i="2" s="1"/>
  <c r="O250" i="2"/>
  <c r="P250" i="2" s="1"/>
  <c r="O249" i="2"/>
  <c r="P249" i="2" s="1"/>
  <c r="O248" i="2"/>
  <c r="P248" i="2" s="1"/>
  <c r="O247" i="2"/>
  <c r="P247" i="2" s="1"/>
  <c r="O246" i="2"/>
  <c r="P246" i="2" s="1"/>
  <c r="O245" i="2"/>
  <c r="P245" i="2" s="1"/>
  <c r="O244" i="2"/>
  <c r="P244" i="2" s="1"/>
  <c r="O243" i="2"/>
  <c r="P243" i="2" s="1"/>
  <c r="O242" i="2"/>
  <c r="P242" i="2" s="1"/>
  <c r="O241" i="2"/>
  <c r="P241" i="2" s="1"/>
  <c r="O240" i="2"/>
  <c r="P240" i="2" s="1"/>
  <c r="O239" i="2"/>
  <c r="P239" i="2" s="1"/>
  <c r="O238" i="2"/>
  <c r="P238" i="2" s="1"/>
  <c r="O237" i="2"/>
  <c r="P237" i="2" s="1"/>
  <c r="O236" i="2"/>
  <c r="P236" i="2" s="1"/>
  <c r="O235" i="2"/>
  <c r="P235" i="2" s="1"/>
  <c r="O234" i="2"/>
  <c r="P234" i="2" s="1"/>
  <c r="O233" i="2"/>
  <c r="P233" i="2" s="1"/>
  <c r="O232" i="2"/>
  <c r="P232" i="2" s="1"/>
  <c r="O231" i="2"/>
  <c r="P231" i="2" s="1"/>
  <c r="O230" i="2"/>
  <c r="P230" i="2" s="1"/>
  <c r="O229" i="2"/>
  <c r="P229" i="2" s="1"/>
  <c r="O228" i="2"/>
  <c r="P228" i="2" s="1"/>
  <c r="O227" i="2"/>
  <c r="P227" i="2" s="1"/>
  <c r="O226" i="2"/>
  <c r="P226" i="2" s="1"/>
  <c r="O225" i="2"/>
  <c r="P225" i="2" s="1"/>
  <c r="O224" i="2"/>
  <c r="P224" i="2" s="1"/>
  <c r="O223" i="2"/>
  <c r="P223" i="2" s="1"/>
  <c r="O222" i="2"/>
  <c r="P222" i="2" s="1"/>
  <c r="O221" i="2"/>
  <c r="P221" i="2" s="1"/>
  <c r="O220" i="2"/>
  <c r="P220" i="2" s="1"/>
  <c r="O219" i="2"/>
  <c r="P219" i="2" s="1"/>
  <c r="O218" i="2"/>
  <c r="P218" i="2" s="1"/>
  <c r="O217" i="2"/>
  <c r="P217" i="2" s="1"/>
  <c r="O216" i="2"/>
  <c r="P216" i="2" s="1"/>
  <c r="O215" i="2"/>
  <c r="P215" i="2" s="1"/>
  <c r="O214" i="2"/>
  <c r="P214" i="2" s="1"/>
  <c r="O213" i="2"/>
  <c r="P213" i="2" s="1"/>
  <c r="O212" i="2"/>
  <c r="P212" i="2" s="1"/>
  <c r="O211" i="2"/>
  <c r="P211" i="2" s="1"/>
  <c r="O210" i="2"/>
  <c r="P210" i="2" s="1"/>
  <c r="O209" i="2"/>
  <c r="P209" i="2" s="1"/>
  <c r="O208" i="2"/>
  <c r="P208" i="2" s="1"/>
  <c r="O207" i="2"/>
  <c r="P207" i="2" s="1"/>
  <c r="O206" i="2"/>
  <c r="P206" i="2" s="1"/>
  <c r="O205" i="2"/>
  <c r="P205" i="2" s="1"/>
  <c r="O204" i="2"/>
  <c r="P204" i="2" s="1"/>
  <c r="O203" i="2"/>
  <c r="P203" i="2" s="1"/>
  <c r="O202" i="2"/>
  <c r="P202" i="2" s="1"/>
  <c r="O201" i="2"/>
  <c r="P201" i="2" s="1"/>
  <c r="O200" i="2"/>
  <c r="P200" i="2" s="1"/>
  <c r="O199" i="2"/>
  <c r="P199" i="2" s="1"/>
  <c r="O198" i="2"/>
  <c r="P198" i="2" s="1"/>
  <c r="O197" i="2"/>
  <c r="P197" i="2" s="1"/>
  <c r="O196" i="2"/>
  <c r="P196" i="2" s="1"/>
  <c r="O195" i="2"/>
  <c r="P195" i="2" s="1"/>
  <c r="O194" i="2"/>
  <c r="P194" i="2" s="1"/>
  <c r="O193" i="2"/>
  <c r="P193" i="2" s="1"/>
  <c r="O192" i="2"/>
  <c r="P192" i="2" s="1"/>
  <c r="O191" i="2"/>
  <c r="P191" i="2" s="1"/>
  <c r="O190" i="2"/>
  <c r="P190" i="2" s="1"/>
  <c r="O189" i="2"/>
  <c r="P189" i="2" s="1"/>
  <c r="O188" i="2"/>
  <c r="P188" i="2" s="1"/>
  <c r="O187" i="2"/>
  <c r="P187" i="2" s="1"/>
  <c r="O186" i="2"/>
  <c r="P186" i="2" s="1"/>
  <c r="O185" i="2"/>
  <c r="P185" i="2" s="1"/>
  <c r="O184" i="2"/>
  <c r="P184" i="2" s="1"/>
  <c r="O183" i="2"/>
  <c r="P183" i="2" s="1"/>
  <c r="O182" i="2"/>
  <c r="P182" i="2" s="1"/>
  <c r="O181" i="2"/>
  <c r="P181" i="2" s="1"/>
  <c r="O180" i="2"/>
  <c r="P180" i="2" s="1"/>
  <c r="O179" i="2"/>
  <c r="P179" i="2" s="1"/>
  <c r="O178" i="2"/>
  <c r="P178" i="2" s="1"/>
  <c r="O177" i="2"/>
  <c r="P177" i="2" s="1"/>
  <c r="O176" i="2"/>
  <c r="P176" i="2" s="1"/>
  <c r="O175" i="2"/>
  <c r="P175" i="2" s="1"/>
  <c r="O174" i="2"/>
  <c r="P174" i="2" s="1"/>
  <c r="O173" i="2"/>
  <c r="P173" i="2" s="1"/>
  <c r="O172" i="2"/>
  <c r="P172" i="2" s="1"/>
  <c r="O171" i="2"/>
  <c r="P171" i="2" s="1"/>
  <c r="O170" i="2"/>
  <c r="P170" i="2" s="1"/>
  <c r="O169" i="2"/>
  <c r="P169" i="2" s="1"/>
  <c r="O168" i="2"/>
  <c r="P168" i="2" s="1"/>
  <c r="O167" i="2"/>
  <c r="P167" i="2" s="1"/>
  <c r="O166" i="2"/>
  <c r="P166" i="2" s="1"/>
  <c r="O165" i="2"/>
  <c r="P165" i="2" s="1"/>
  <c r="O164" i="2"/>
  <c r="P164" i="2" s="1"/>
  <c r="O163" i="2"/>
  <c r="P163" i="2" s="1"/>
  <c r="O162" i="2"/>
  <c r="P162" i="2" s="1"/>
  <c r="O161" i="2"/>
  <c r="P161" i="2" s="1"/>
  <c r="O160" i="2"/>
  <c r="P160" i="2" s="1"/>
  <c r="O159" i="2"/>
  <c r="P159" i="2" s="1"/>
  <c r="O158" i="2"/>
  <c r="P158" i="2" s="1"/>
  <c r="O157" i="2"/>
  <c r="P157" i="2" s="1"/>
  <c r="O156" i="2"/>
  <c r="P156" i="2" s="1"/>
  <c r="O155" i="2"/>
  <c r="P155" i="2" s="1"/>
  <c r="O154" i="2"/>
  <c r="P154" i="2" s="1"/>
  <c r="O153" i="2"/>
  <c r="P153" i="2" s="1"/>
  <c r="O152" i="2"/>
  <c r="P152" i="2" s="1"/>
  <c r="O151" i="2"/>
  <c r="P151" i="2" s="1"/>
  <c r="O150" i="2"/>
  <c r="P150" i="2" s="1"/>
  <c r="O149" i="2"/>
  <c r="P149" i="2" s="1"/>
  <c r="O148" i="2"/>
  <c r="P148" i="2" s="1"/>
  <c r="O147" i="2"/>
  <c r="P147" i="2" s="1"/>
  <c r="O146" i="2"/>
  <c r="P146" i="2" s="1"/>
  <c r="O145" i="2"/>
  <c r="P145" i="2" s="1"/>
  <c r="O144" i="2"/>
  <c r="P144" i="2" s="1"/>
  <c r="O143" i="2"/>
  <c r="P143" i="2" s="1"/>
  <c r="O142" i="2"/>
  <c r="P142" i="2" s="1"/>
  <c r="O141" i="2"/>
  <c r="P141" i="2" s="1"/>
  <c r="O140" i="2"/>
  <c r="P140" i="2" s="1"/>
  <c r="O139" i="2"/>
  <c r="P139" i="2" s="1"/>
  <c r="O138" i="2"/>
  <c r="P138" i="2" s="1"/>
  <c r="O137" i="2"/>
  <c r="P137" i="2" s="1"/>
  <c r="O136" i="2"/>
  <c r="P136" i="2" s="1"/>
  <c r="O135" i="2"/>
  <c r="P135" i="2" s="1"/>
  <c r="O134" i="2"/>
  <c r="P134" i="2" s="1"/>
  <c r="O133" i="2"/>
  <c r="P133" i="2" s="1"/>
  <c r="O132" i="2"/>
  <c r="P132" i="2" s="1"/>
  <c r="O131" i="2"/>
  <c r="P131" i="2" s="1"/>
  <c r="O130" i="2"/>
  <c r="P130" i="2" s="1"/>
  <c r="O129" i="2"/>
  <c r="P129" i="2" s="1"/>
  <c r="O128" i="2"/>
  <c r="P128" i="2" s="1"/>
  <c r="O127" i="2"/>
  <c r="P127" i="2" s="1"/>
  <c r="O126" i="2"/>
  <c r="P126" i="2" s="1"/>
  <c r="O125" i="2"/>
  <c r="P125" i="2" s="1"/>
  <c r="O124" i="2"/>
  <c r="P124" i="2" s="1"/>
  <c r="O123" i="2"/>
  <c r="P123" i="2" s="1"/>
  <c r="O122" i="2"/>
  <c r="P122" i="2" s="1"/>
  <c r="O121" i="2"/>
  <c r="P121" i="2" s="1"/>
  <c r="O120" i="2"/>
  <c r="P120" i="2" s="1"/>
  <c r="O119" i="2"/>
  <c r="P119" i="2" s="1"/>
  <c r="O118" i="2"/>
  <c r="P118" i="2" s="1"/>
  <c r="O117" i="2"/>
  <c r="P117" i="2" s="1"/>
  <c r="O116" i="2"/>
  <c r="P116" i="2" s="1"/>
  <c r="O115" i="2"/>
  <c r="P115" i="2" s="1"/>
  <c r="O114" i="2"/>
  <c r="P114" i="2" s="1"/>
  <c r="O113" i="2"/>
  <c r="P113" i="2" s="1"/>
  <c r="O112" i="2"/>
  <c r="P112" i="2" s="1"/>
  <c r="O111" i="2"/>
  <c r="P111" i="2" s="1"/>
  <c r="O110" i="2"/>
  <c r="P110" i="2" s="1"/>
  <c r="O109" i="2"/>
  <c r="P109" i="2" s="1"/>
  <c r="O108" i="2"/>
  <c r="P108" i="2" s="1"/>
  <c r="O107" i="2"/>
  <c r="P107" i="2" s="1"/>
  <c r="O106" i="2"/>
  <c r="P106" i="2" s="1"/>
  <c r="O105" i="2"/>
  <c r="P105" i="2" s="1"/>
  <c r="O104" i="2"/>
  <c r="P104" i="2" s="1"/>
  <c r="O103" i="2"/>
  <c r="P103" i="2" s="1"/>
  <c r="O102" i="2"/>
  <c r="P102" i="2" s="1"/>
  <c r="O101" i="2"/>
  <c r="P101" i="2" s="1"/>
  <c r="O100" i="2"/>
  <c r="P100" i="2" s="1"/>
  <c r="O99" i="2"/>
  <c r="P99" i="2" s="1"/>
  <c r="O98" i="2"/>
  <c r="P98" i="2" s="1"/>
  <c r="O97" i="2"/>
  <c r="P97" i="2" s="1"/>
  <c r="O96" i="2"/>
  <c r="P96" i="2" s="1"/>
  <c r="O95" i="2"/>
  <c r="P95" i="2" s="1"/>
  <c r="O94" i="2"/>
  <c r="P94" i="2" s="1"/>
  <c r="O93" i="2"/>
  <c r="P93" i="2" s="1"/>
  <c r="O92" i="2"/>
  <c r="P92" i="2" s="1"/>
  <c r="O91" i="2"/>
  <c r="P91" i="2" s="1"/>
  <c r="O90" i="2"/>
  <c r="P90" i="2" s="1"/>
  <c r="O89" i="2"/>
  <c r="P89" i="2" s="1"/>
  <c r="O88" i="2"/>
  <c r="P88" i="2" s="1"/>
  <c r="O87" i="2"/>
  <c r="P87" i="2" s="1"/>
  <c r="O86" i="2"/>
  <c r="P86" i="2" s="1"/>
  <c r="O85" i="2"/>
  <c r="P85" i="2" s="1"/>
  <c r="O84" i="2"/>
  <c r="P84" i="2" s="1"/>
  <c r="O83" i="2"/>
  <c r="P83" i="2" s="1"/>
  <c r="O82" i="2"/>
  <c r="P82" i="2" s="1"/>
  <c r="O81" i="2"/>
  <c r="P81" i="2" s="1"/>
  <c r="O80" i="2"/>
  <c r="P80" i="2" s="1"/>
  <c r="O79" i="2"/>
  <c r="P79" i="2" s="1"/>
  <c r="O78" i="2"/>
  <c r="P78" i="2" s="1"/>
  <c r="O77" i="2"/>
  <c r="P77" i="2" s="1"/>
  <c r="O76" i="2"/>
  <c r="P76" i="2" s="1"/>
  <c r="O75" i="2"/>
  <c r="P75" i="2" s="1"/>
  <c r="O74" i="2"/>
  <c r="P74" i="2" s="1"/>
  <c r="O73" i="2"/>
  <c r="P73" i="2" s="1"/>
  <c r="O72" i="2"/>
  <c r="P72" i="2" s="1"/>
  <c r="O71" i="2"/>
  <c r="P71" i="2" s="1"/>
  <c r="O70" i="2"/>
  <c r="P70" i="2" s="1"/>
  <c r="O69" i="2"/>
  <c r="P69" i="2" s="1"/>
  <c r="O68" i="2"/>
  <c r="P68" i="2" s="1"/>
  <c r="O67" i="2"/>
  <c r="P67" i="2" s="1"/>
  <c r="O66" i="2"/>
  <c r="P66" i="2" s="1"/>
  <c r="O65" i="2"/>
  <c r="P65" i="2" s="1"/>
  <c r="O64" i="2"/>
  <c r="P64" i="2" s="1"/>
  <c r="O63" i="2"/>
  <c r="P63" i="2" s="1"/>
  <c r="O62" i="2"/>
  <c r="P62" i="2" s="1"/>
  <c r="O61" i="2"/>
  <c r="P61" i="2" s="1"/>
  <c r="O60" i="2"/>
  <c r="P60" i="2" s="1"/>
  <c r="O59" i="2"/>
  <c r="P59" i="2" s="1"/>
  <c r="O58" i="2"/>
  <c r="P58" i="2" s="1"/>
  <c r="O57" i="2"/>
  <c r="P57" i="2" s="1"/>
  <c r="O56" i="2"/>
  <c r="P56" i="2" s="1"/>
  <c r="O55" i="2"/>
  <c r="P55" i="2" s="1"/>
  <c r="O54" i="2"/>
  <c r="P54" i="2" s="1"/>
  <c r="O53" i="2"/>
  <c r="P53" i="2" s="1"/>
  <c r="O52" i="2"/>
  <c r="P52" i="2" s="1"/>
  <c r="O51" i="2"/>
  <c r="P51" i="2" s="1"/>
  <c r="O50" i="2"/>
  <c r="P50" i="2" s="1"/>
  <c r="O49" i="2"/>
  <c r="P49" i="2" s="1"/>
  <c r="O48" i="2"/>
  <c r="P48" i="2" s="1"/>
  <c r="O47" i="2"/>
  <c r="P47" i="2" s="1"/>
  <c r="O46" i="2"/>
  <c r="P46" i="2" s="1"/>
  <c r="O45" i="2"/>
  <c r="P45" i="2" s="1"/>
  <c r="O44" i="2"/>
  <c r="P44" i="2" s="1"/>
  <c r="O43" i="2"/>
  <c r="P43" i="2" s="1"/>
  <c r="O42" i="2"/>
  <c r="P42" i="2" s="1"/>
  <c r="O41" i="2"/>
  <c r="P41" i="2" s="1"/>
  <c r="O40" i="2"/>
  <c r="P40" i="2" s="1"/>
  <c r="O39" i="2"/>
  <c r="P39" i="2" s="1"/>
  <c r="O38" i="2"/>
  <c r="P38" i="2" s="1"/>
  <c r="O37" i="2"/>
  <c r="P37" i="2" s="1"/>
  <c r="O36" i="2"/>
  <c r="P36" i="2" s="1"/>
  <c r="O35" i="2"/>
  <c r="P35" i="2" s="1"/>
  <c r="O34" i="2"/>
  <c r="P34" i="2" s="1"/>
  <c r="O33" i="2"/>
  <c r="P33" i="2" s="1"/>
  <c r="O32" i="2"/>
  <c r="P32" i="2" s="1"/>
  <c r="O31" i="2"/>
  <c r="P31" i="2" s="1"/>
  <c r="O30" i="2"/>
  <c r="P30" i="2" s="1"/>
  <c r="O29" i="2"/>
  <c r="P29" i="2" s="1"/>
  <c r="O28" i="2"/>
  <c r="P28" i="2" s="1"/>
  <c r="O27" i="2"/>
  <c r="P27" i="2" s="1"/>
  <c r="O26" i="2"/>
  <c r="P26" i="2" s="1"/>
  <c r="O25" i="2"/>
  <c r="P25" i="2" s="1"/>
  <c r="O24" i="2"/>
  <c r="P24" i="2" s="1"/>
  <c r="O23" i="2"/>
  <c r="P23" i="2" s="1"/>
  <c r="O22" i="2"/>
  <c r="P22" i="2" s="1"/>
  <c r="O21" i="2"/>
  <c r="P21" i="2" s="1"/>
  <c r="O20" i="2"/>
  <c r="P20" i="2" s="1"/>
  <c r="O19" i="2"/>
  <c r="P19" i="2" s="1"/>
  <c r="O18" i="2"/>
  <c r="P18" i="2" s="1"/>
  <c r="O17" i="2"/>
  <c r="P17" i="2" s="1"/>
  <c r="O16" i="2"/>
  <c r="P16" i="2" s="1"/>
  <c r="O15" i="2"/>
  <c r="P15" i="2" s="1"/>
  <c r="O14" i="2"/>
  <c r="P14" i="2" s="1"/>
  <c r="O13" i="2"/>
  <c r="P13" i="2" s="1"/>
  <c r="O12" i="2"/>
  <c r="P12" i="2" s="1"/>
  <c r="O11" i="2"/>
  <c r="P11" i="2" s="1"/>
  <c r="O10" i="2"/>
  <c r="P10" i="2" s="1"/>
  <c r="O9" i="2"/>
  <c r="P9" i="2" s="1"/>
  <c r="O8" i="2"/>
  <c r="P8" i="2" s="1"/>
  <c r="O7" i="2"/>
  <c r="P7" i="2" s="1"/>
  <c r="O6" i="2"/>
  <c r="P6" i="2" s="1"/>
  <c r="O5" i="2"/>
  <c r="P5" i="2" s="1"/>
  <c r="O4" i="2"/>
  <c r="P4" i="2" s="1"/>
  <c r="O3" i="2"/>
  <c r="P3" i="2" s="1"/>
  <c r="O2" i="2"/>
  <c r="P2" i="2" s="1"/>
  <c r="O1" i="2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P23" i="1"/>
  <c r="D23" i="1"/>
  <c r="C23" i="1"/>
  <c r="B23" i="1"/>
  <c r="P22" i="1"/>
  <c r="D22" i="1"/>
  <c r="C22" i="1"/>
  <c r="B22" i="1"/>
  <c r="P21" i="1"/>
  <c r="D21" i="1"/>
  <c r="C21" i="1"/>
  <c r="B21" i="1"/>
  <c r="P20" i="1"/>
  <c r="D20" i="1"/>
  <c r="C20" i="1"/>
  <c r="B20" i="1"/>
  <c r="P19" i="1"/>
  <c r="D19" i="1"/>
  <c r="C19" i="1"/>
  <c r="B19" i="1"/>
  <c r="P18" i="1"/>
  <c r="D18" i="1"/>
  <c r="C18" i="1"/>
  <c r="B18" i="1"/>
  <c r="P17" i="1"/>
  <c r="D17" i="1"/>
  <c r="C17" i="1"/>
  <c r="B17" i="1"/>
  <c r="P16" i="1"/>
  <c r="D16" i="1"/>
  <c r="C16" i="1"/>
  <c r="B16" i="1"/>
  <c r="P15" i="1"/>
  <c r="D15" i="1"/>
  <c r="C15" i="1"/>
  <c r="B15" i="1"/>
  <c r="P14" i="1"/>
  <c r="D14" i="1"/>
  <c r="C14" i="1"/>
  <c r="B14" i="1"/>
  <c r="P13" i="1"/>
  <c r="D13" i="1"/>
  <c r="C13" i="1"/>
  <c r="B13" i="1"/>
  <c r="P12" i="1"/>
  <c r="D12" i="1"/>
  <c r="C12" i="1"/>
  <c r="B12" i="1"/>
  <c r="P11" i="1"/>
  <c r="D11" i="1"/>
  <c r="C11" i="1"/>
  <c r="B11" i="1"/>
  <c r="P10" i="1"/>
  <c r="D10" i="1"/>
  <c r="C10" i="1"/>
  <c r="B10" i="1"/>
  <c r="P9" i="1"/>
  <c r="D9" i="1"/>
  <c r="C9" i="1"/>
  <c r="B9" i="1"/>
  <c r="P8" i="1"/>
  <c r="D8" i="1"/>
  <c r="C8" i="1"/>
  <c r="B8" i="1"/>
  <c r="P7" i="1"/>
  <c r="D7" i="1"/>
  <c r="C7" i="1"/>
  <c r="B7" i="1"/>
</calcChain>
</file>

<file path=xl/sharedStrings.xml><?xml version="1.0" encoding="utf-8"?>
<sst xmlns="http://schemas.openxmlformats.org/spreadsheetml/2006/main" count="6362" uniqueCount="957">
  <si>
    <t>LAPORAN POTENSI WILAYAH</t>
  </si>
  <si>
    <t>KELURAHAN PEKAPURAN RAYA</t>
  </si>
  <si>
    <t>JUMLAH PENDUDUK BERDASARJAN UMUR DAN JENIS KELAMIN</t>
  </si>
  <si>
    <t>TINGKAT UMUR</t>
  </si>
  <si>
    <t>LAKI-LAKI</t>
  </si>
  <si>
    <t>PEREMPUAN</t>
  </si>
  <si>
    <t>JUMLAH</t>
  </si>
  <si>
    <t>COUNTA of JENIS KELAMIN</t>
  </si>
  <si>
    <t>JENIS KELAMIN</t>
  </si>
  <si>
    <t>0-4 TAHUN</t>
  </si>
  <si>
    <t>Grand Total</t>
  </si>
  <si>
    <t>5-9 TAHUN</t>
  </si>
  <si>
    <t>10-14 TAHUN</t>
  </si>
  <si>
    <t>15-19 TAHUN</t>
  </si>
  <si>
    <t>20-24 TAHUN</t>
  </si>
  <si>
    <t>25-29 TAHUN</t>
  </si>
  <si>
    <t>30-34 TAHUN</t>
  </si>
  <si>
    <t>35-39 TAHUN</t>
  </si>
  <si>
    <t>40-44 TAHUN</t>
  </si>
  <si>
    <t>45-49 TAHUN</t>
  </si>
  <si>
    <t>50-54 TAHUN</t>
  </si>
  <si>
    <t>55-59 TAHUN</t>
  </si>
  <si>
    <t>60-64 TAHUN</t>
  </si>
  <si>
    <t>65-69 TAHUN</t>
  </si>
  <si>
    <t>70-74 TAHUN</t>
  </si>
  <si>
    <t>75+ TAHUN</t>
  </si>
  <si>
    <t>JUMLAH PENDUDUK BERDASARKAN TINGKAT PENDIDIKAN</t>
  </si>
  <si>
    <t>PENDIDIKAN TERTINGGI YANG DITAMATKAN</t>
  </si>
  <si>
    <t>TIDAK/BELUM SEKOLAH</t>
  </si>
  <si>
    <t>PENDIDIKAN TERAKHIR</t>
  </si>
  <si>
    <t>BELUM TAMAT SD/SEDERAJAT</t>
  </si>
  <si>
    <t>TAMAT SD/SEDERAJAT</t>
  </si>
  <si>
    <t>DIPLOMA I/II</t>
  </si>
  <si>
    <t>SLTP/SEDERAJAT</t>
  </si>
  <si>
    <t>DIV/S1</t>
  </si>
  <si>
    <t>SLTA/SEDERAJAT</t>
  </si>
  <si>
    <t>S2</t>
  </si>
  <si>
    <t>S3</t>
  </si>
  <si>
    <t>JUMLAH PENDUDUK BERDASARKAN AGAMA</t>
  </si>
  <si>
    <t>AGAMA</t>
  </si>
  <si>
    <t>ISLAM</t>
  </si>
  <si>
    <t>KRISTEN</t>
  </si>
  <si>
    <t>KATOLIK</t>
  </si>
  <si>
    <t>HINDU</t>
  </si>
  <si>
    <t>BUDDHA</t>
  </si>
  <si>
    <t>KHONGHUCU</t>
  </si>
  <si>
    <t>JUMLAH PENDUDUK BERDASARKAN PEKERJAAN</t>
  </si>
  <si>
    <t>JENIS PEKERJAAN</t>
  </si>
  <si>
    <t>BELUM/TIDAK BEKERJA</t>
  </si>
  <si>
    <t>BURUH HARIAN LEPAS</t>
  </si>
  <si>
    <t>BURUH TANI/PERKEBUNAN</t>
  </si>
  <si>
    <t>GURU</t>
  </si>
  <si>
    <t>KARYAWAN HONORER</t>
  </si>
  <si>
    <t>KARYAWAN SWASTA</t>
  </si>
  <si>
    <t>MENGURUS RUMAH TANGGA</t>
  </si>
  <si>
    <t>PEDAGANG</t>
  </si>
  <si>
    <t>PEGAWAI NEGERI SIPIL (PNS)</t>
  </si>
  <si>
    <t>PELAJAR/MAHASISWA</t>
  </si>
  <si>
    <t>PENSIUNAN</t>
  </si>
  <si>
    <t>PETANI/PEKEBUN</t>
  </si>
  <si>
    <t>TUKANG CUKUR</t>
  </si>
  <si>
    <t>TUKANG JAHIT</t>
  </si>
  <si>
    <t>WIRASWASTA</t>
  </si>
  <si>
    <t>JUMLAH PENDUDUK BERDASARKAN STATUS PERKAWINAN</t>
  </si>
  <si>
    <t>STATUS PERKAWINAN</t>
  </si>
  <si>
    <t>BELUM KAWIN</t>
  </si>
  <si>
    <t>KAWIN TERCATAT</t>
  </si>
  <si>
    <t>KAWIN</t>
  </si>
  <si>
    <t>CERAI HIDUP</t>
  </si>
  <si>
    <t>CERAI HIDUP BELUM TERCATAT</t>
  </si>
  <si>
    <t>CERAI MATI</t>
  </si>
  <si>
    <t>KAWIN BELUM TERCATAT</t>
  </si>
  <si>
    <t>PERIODE</t>
  </si>
  <si>
    <t>BULAN</t>
  </si>
  <si>
    <t>DAFTAR NAMA WARGA KELURAHAN SUNGAI BILU</t>
  </si>
  <si>
    <t>TAHUN</t>
  </si>
  <si>
    <t>RT</t>
  </si>
  <si>
    <t>RW</t>
  </si>
  <si>
    <t>NO KARTU KELUARGA</t>
  </si>
  <si>
    <t>NIK</t>
  </si>
  <si>
    <t>NAMA LENGKAP</t>
  </si>
  <si>
    <t>STATUS HUBUNGAN</t>
  </si>
  <si>
    <t>TEMPAT LAHIR</t>
  </si>
  <si>
    <t>TANGGAL LAHIR</t>
  </si>
  <si>
    <t>BULAN LAHIR</t>
  </si>
  <si>
    <t>TAHUN LAHIR</t>
  </si>
  <si>
    <t>PEKERJAAN (SPESIFIK)</t>
  </si>
  <si>
    <t>STATUS KEPENDUDUKAN</t>
  </si>
  <si>
    <t>ALAMAT SESUAI KK/KTP</t>
  </si>
  <si>
    <t>ALAMAT TEMPAT TINGGAL SEKARANG</t>
  </si>
  <si>
    <t>STATUS TEMPAT TINGGAL</t>
  </si>
  <si>
    <t>Pemeriksaan Data</t>
  </si>
  <si>
    <t>RT 06</t>
  </si>
  <si>
    <t>RW 01</t>
  </si>
  <si>
    <t>6371020511090029</t>
  </si>
  <si>
    <t>6371022003740007</t>
  </si>
  <si>
    <t>JUNIANSYAH</t>
  </si>
  <si>
    <t>KEPALA KELUARGA</t>
  </si>
  <si>
    <t>BANJARMASIN</t>
  </si>
  <si>
    <t>PENDUDUK TETAP</t>
  </si>
  <si>
    <t>JL. PEKAPURAN RAYA GG.H.M. ARSYAD</t>
  </si>
  <si>
    <t>MILIK SENDIRI</t>
  </si>
  <si>
    <t>Sesuai</t>
  </si>
  <si>
    <t>6371026004810005</t>
  </si>
  <si>
    <t>WATI</t>
  </si>
  <si>
    <t>ISTRI</t>
  </si>
  <si>
    <t>6371024808070007</t>
  </si>
  <si>
    <t>YUNITA</t>
  </si>
  <si>
    <t>ANAK</t>
  </si>
  <si>
    <t>KONTRAK/SEWA</t>
  </si>
  <si>
    <t xml:space="preserve">6371023008110003
</t>
  </si>
  <si>
    <t>FITRIADI</t>
  </si>
  <si>
    <t>6371024311180005</t>
  </si>
  <si>
    <t>PUTRI NADYA</t>
  </si>
  <si>
    <t>6371020401080455</t>
  </si>
  <si>
    <t>6371010409870010</t>
  </si>
  <si>
    <t>HERIAN NOOR</t>
  </si>
  <si>
    <t>JL. PEK. RAYA GG ALIMA</t>
  </si>
  <si>
    <t>BEBAS SEWA</t>
  </si>
  <si>
    <t>6371025306940001</t>
  </si>
  <si>
    <t>EVA JULIATI</t>
  </si>
  <si>
    <t>6371022009140003</t>
  </si>
  <si>
    <t>MUHAMMAD NADIL ANNAFIS</t>
  </si>
  <si>
    <t>6371024212650003</t>
  </si>
  <si>
    <t>ROHANI,HJ</t>
  </si>
  <si>
    <t>FAMILI LAIN</t>
  </si>
  <si>
    <t>6371020101080163</t>
  </si>
  <si>
    <t>6371020102760008</t>
  </si>
  <si>
    <t>MASTURI</t>
  </si>
  <si>
    <t>BANGKALAN</t>
  </si>
  <si>
    <t>JL. PEKAPURAN RAYA GG. A. LIMA</t>
  </si>
  <si>
    <t>6371025204990003</t>
  </si>
  <si>
    <t>NURHALIMAH</t>
  </si>
  <si>
    <t>6371020305050002</t>
  </si>
  <si>
    <t>ADAM</t>
  </si>
  <si>
    <t>6371020501080781</t>
  </si>
  <si>
    <t>6371023112620039</t>
  </si>
  <si>
    <t>SYAMSUDIN</t>
  </si>
  <si>
    <t>6371027112670026</t>
  </si>
  <si>
    <t>JAINAH</t>
  </si>
  <si>
    <t>6371023112870007</t>
  </si>
  <si>
    <t>ZULKIPLI</t>
  </si>
  <si>
    <t>6371020108970011</t>
  </si>
  <si>
    <t>DULHADI</t>
  </si>
  <si>
    <t>6371022205170005</t>
  </si>
  <si>
    <t>6371027010820006</t>
  </si>
  <si>
    <t>MASNAH</t>
  </si>
  <si>
    <t>6371025211910003</t>
  </si>
  <si>
    <t>NORJENAH</t>
  </si>
  <si>
    <t>6371022701040003</t>
  </si>
  <si>
    <t>AHMAD RASI</t>
  </si>
  <si>
    <t>6371021503080002</t>
  </si>
  <si>
    <t>RAHMAN ALI</t>
  </si>
  <si>
    <t>6371021706900004</t>
  </si>
  <si>
    <t>SAMIUN</t>
  </si>
  <si>
    <t>MADURA</t>
  </si>
  <si>
    <t>6371020501080806</t>
  </si>
  <si>
    <t>6371021807540001</t>
  </si>
  <si>
    <t>M. SIRAJUDDIN HASAN, H</t>
  </si>
  <si>
    <t>NEGARA</t>
  </si>
  <si>
    <t>JL. PEK. RAYA GG ALIMA NO.28</t>
  </si>
  <si>
    <t>6371024202560005</t>
  </si>
  <si>
    <t>ARBAYAH, HJ</t>
  </si>
  <si>
    <t>JL. PEK. RAYA GG ALIMA NO.29</t>
  </si>
  <si>
    <t>6371020606860006</t>
  </si>
  <si>
    <t>MISBAHUL MUNIR</t>
  </si>
  <si>
    <t>JL. PEK. RAYA GG ALIMA NO.30</t>
  </si>
  <si>
    <t>6371020902920004</t>
  </si>
  <si>
    <t>ABDULLAH SAHLY</t>
  </si>
  <si>
    <t>JL. PEK. RAYA GG ALIMA NO.31</t>
  </si>
  <si>
    <t>6371020107820353</t>
  </si>
  <si>
    <t>3526176202000004</t>
  </si>
  <si>
    <t>JUM’ATI</t>
  </si>
  <si>
    <t>6371022309190002</t>
  </si>
  <si>
    <t>MUHAMMAD HAFIZD</t>
  </si>
  <si>
    <t>6371020502150006</t>
  </si>
  <si>
    <t>6371020508850010</t>
  </si>
  <si>
    <t>DAYAT</t>
  </si>
  <si>
    <t>JL. PEKAPURAN RAYA GG. ALIMA</t>
  </si>
  <si>
    <t>6371026604890005</t>
  </si>
  <si>
    <t>MUTIARA</t>
  </si>
  <si>
    <t>6371025210080003</t>
  </si>
  <si>
    <t>SASKIA</t>
  </si>
  <si>
    <t>6371025105150003</t>
  </si>
  <si>
    <t>SAFIA</t>
  </si>
  <si>
    <t>6371021511160005</t>
  </si>
  <si>
    <t>MUHAMMAD FAHRI</t>
  </si>
  <si>
    <t>6371020807190001</t>
  </si>
  <si>
    <t>MUHAMMAD AMIN</t>
  </si>
  <si>
    <t>6371021301080289</t>
  </si>
  <si>
    <t>6371021304750003</t>
  </si>
  <si>
    <t>MULKANI</t>
  </si>
  <si>
    <t>TAPIN</t>
  </si>
  <si>
    <t>6371025505800012</t>
  </si>
  <si>
    <t>HANIFAH</t>
  </si>
  <si>
    <t>6371034312030002</t>
  </si>
  <si>
    <t>HANINDA</t>
  </si>
  <si>
    <t>6371025505060003</t>
  </si>
  <si>
    <t>NORHAYATI</t>
  </si>
  <si>
    <t>6371028203140002</t>
  </si>
  <si>
    <t>MUHAMMAD ALI</t>
  </si>
  <si>
    <t>6371021405080002</t>
  </si>
  <si>
    <t>6371021011700020</t>
  </si>
  <si>
    <t>JOHAN ARIFIN</t>
  </si>
  <si>
    <t>JL. PEKAPURAN RAYA NO. 76</t>
  </si>
  <si>
    <t>6371025306740005</t>
  </si>
  <si>
    <t>ASIAH</t>
  </si>
  <si>
    <t>JL. PEKAPURAN RAYA NO. 77</t>
  </si>
  <si>
    <t>6371027010940004</t>
  </si>
  <si>
    <t>LILY HERAWATI</t>
  </si>
  <si>
    <t>JL. PEKAPURAN RAYA NO. 78</t>
  </si>
  <si>
    <t>6371020710970008</t>
  </si>
  <si>
    <t>IWAN RIGANI</t>
  </si>
  <si>
    <t>JL. PEKAPURAN RAYA NO. 79</t>
  </si>
  <si>
    <t>6371026309030003</t>
  </si>
  <si>
    <t>AISYAH SALSABELA</t>
  </si>
  <si>
    <t>JL. PEKAPURAN RAYA NO. 80</t>
  </si>
  <si>
    <t>6371024603060003</t>
  </si>
  <si>
    <t>LENY ARIYANI</t>
  </si>
  <si>
    <t>JL. PEKAPURAN RAYA NO. 81</t>
  </si>
  <si>
    <t>6371021405130004</t>
  </si>
  <si>
    <t>M. MAULANA SAPUTRA</t>
  </si>
  <si>
    <t>JL. PEKAPURAN RAYA NO. 82</t>
  </si>
  <si>
    <t>6371021704180005</t>
  </si>
  <si>
    <t>6371020705940008</t>
  </si>
  <si>
    <t>SUHADI</t>
  </si>
  <si>
    <t>6371055308980002</t>
  </si>
  <si>
    <t>SELVIANI</t>
  </si>
  <si>
    <t>6371026512200001</t>
  </si>
  <si>
    <t>NAIRA ARSYILA</t>
  </si>
  <si>
    <t>6371021904100005</t>
  </si>
  <si>
    <t>6371020107780652</t>
  </si>
  <si>
    <t>ABDUL WACHID</t>
  </si>
  <si>
    <t>PALANGKARAYA</t>
  </si>
  <si>
    <t>3526105912800002</t>
  </si>
  <si>
    <t>SUMA</t>
  </si>
  <si>
    <t>6371026303060006</t>
  </si>
  <si>
    <t>SALWATUL AFIFAH</t>
  </si>
  <si>
    <t>6371027004190002</t>
  </si>
  <si>
    <t>SITI FATIMATUZ ZAHRO</t>
  </si>
  <si>
    <t>6371022504190004</t>
  </si>
  <si>
    <t>6371020408840002</t>
  </si>
  <si>
    <t>AHMAD KUSASI</t>
  </si>
  <si>
    <t>JL. PEKAPURAN RAYA</t>
  </si>
  <si>
    <t>6371025804870001</t>
  </si>
  <si>
    <t>MAYA DWINTA SARI</t>
  </si>
  <si>
    <t>6371020501080228</t>
  </si>
  <si>
    <t>6371020106720008</t>
  </si>
  <si>
    <t>SAPRI</t>
  </si>
  <si>
    <t>6371025810750003</t>
  </si>
  <si>
    <t>KIPTIYAH</t>
  </si>
  <si>
    <t>6371023112010004</t>
  </si>
  <si>
    <t>MUHAMMAD TAUFIQURRAHMAN</t>
  </si>
  <si>
    <t>6371024403060005</t>
  </si>
  <si>
    <t>NADILATUZ ZAHROH</t>
  </si>
  <si>
    <t>6371020610100002</t>
  </si>
  <si>
    <t>IBNU AQIEL</t>
  </si>
  <si>
    <t>6371021806160001</t>
  </si>
  <si>
    <t>ABIDZAR ALGHIFARI</t>
  </si>
  <si>
    <t>6371024803450003</t>
  </si>
  <si>
    <t>HATIJAH, HJ</t>
  </si>
  <si>
    <t>6371022507910010</t>
  </si>
  <si>
    <t>MUHAMMAD YATIM</t>
  </si>
  <si>
    <t>6371020905080030</t>
  </si>
  <si>
    <t>6371020807580010</t>
  </si>
  <si>
    <t>ALAMSYAH</t>
  </si>
  <si>
    <t>ALABIO</t>
  </si>
  <si>
    <t>6371025502670007</t>
  </si>
  <si>
    <t>HAMISAH</t>
  </si>
  <si>
    <t>6371021304910002</t>
  </si>
  <si>
    <t>BAIHAKI</t>
  </si>
  <si>
    <t>6371020505930019</t>
  </si>
  <si>
    <t>RIDUANSYAH</t>
  </si>
  <si>
    <t>6371021205980009</t>
  </si>
  <si>
    <t>M. FADLI</t>
  </si>
  <si>
    <t>6371021110100007</t>
  </si>
  <si>
    <t>6371020701790004</t>
  </si>
  <si>
    <t>HANAFI</t>
  </si>
  <si>
    <t>6371026112830005</t>
  </si>
  <si>
    <t>MULIYANTI</t>
  </si>
  <si>
    <t>6371026305100002</t>
  </si>
  <si>
    <t>SITI NUR KAMILA</t>
  </si>
  <si>
    <t>6371020905080044</t>
  </si>
  <si>
    <t>6371020707760013</t>
  </si>
  <si>
    <t>HENDRA JAYA</t>
  </si>
  <si>
    <t>6371025705770006</t>
  </si>
  <si>
    <t>RAUDAH</t>
  </si>
  <si>
    <t>6371022107970010</t>
  </si>
  <si>
    <t>AKHMAD SYAHBANA</t>
  </si>
  <si>
    <t>6371020510010009</t>
  </si>
  <si>
    <t>M. SUBHAN</t>
  </si>
  <si>
    <t>6371021104050004</t>
  </si>
  <si>
    <t>FAUZAN</t>
  </si>
  <si>
    <t>6371020311110002</t>
  </si>
  <si>
    <t>FAJAR NAZWA</t>
  </si>
  <si>
    <t>6371020501080434</t>
  </si>
  <si>
    <t>6371021203650008</t>
  </si>
  <si>
    <t>JUMBERAN</t>
  </si>
  <si>
    <t>6371024103660009</t>
  </si>
  <si>
    <t>SAUDAH</t>
  </si>
  <si>
    <t>6371020808970006</t>
  </si>
  <si>
    <t>ABUS SALAM</t>
  </si>
  <si>
    <t>6371026704750005</t>
  </si>
  <si>
    <t>SRIYATI. SH</t>
  </si>
  <si>
    <t>JL. PEKAPURAN RAYA NO.40</t>
  </si>
  <si>
    <t>6371026201930006</t>
  </si>
  <si>
    <t>FATMAWATI, SKM</t>
  </si>
  <si>
    <t>JL. PEKAPURAN RAYA NO.41</t>
  </si>
  <si>
    <t>6307031310070001</t>
  </si>
  <si>
    <t>MUHAMMAD MALIKI</t>
  </si>
  <si>
    <t>JL. PEKAPURAN RAYA NO.42</t>
  </si>
  <si>
    <t>6371020902090008</t>
  </si>
  <si>
    <t>6371021708750023</t>
  </si>
  <si>
    <t>AHMAD SUBA’I</t>
  </si>
  <si>
    <t>6371056810840007</t>
  </si>
  <si>
    <t>MUSIYEH</t>
  </si>
  <si>
    <t>6371021111120002</t>
  </si>
  <si>
    <t>MUZEMMIL</t>
  </si>
  <si>
    <t>6371021110150005</t>
  </si>
  <si>
    <t>ABQORI AGAM</t>
  </si>
  <si>
    <t>6371020401080102</t>
  </si>
  <si>
    <t>6371021006800006</t>
  </si>
  <si>
    <t>MAHYUNI</t>
  </si>
  <si>
    <t>JL. PEK. RAYA GG.H. ARSYAD NO. 47</t>
  </si>
  <si>
    <t>6371024410790002</t>
  </si>
  <si>
    <t>ASNAH WATI</t>
  </si>
  <si>
    <t>MARGASARI</t>
  </si>
  <si>
    <t>JL. PEK. RAYA GG.H. ARSYAD NO. 48</t>
  </si>
  <si>
    <t>6371026106020005</t>
  </si>
  <si>
    <t>HAIRUNNISA</t>
  </si>
  <si>
    <t>JL. PEK. RAYA GG.H. ARSYAD NO. 49</t>
  </si>
  <si>
    <t>6371020608090007</t>
  </si>
  <si>
    <t>6371021006620011</t>
  </si>
  <si>
    <t>ROSIKIN</t>
  </si>
  <si>
    <t>6371028808700008</t>
  </si>
  <si>
    <t>SYAHMIATI</t>
  </si>
  <si>
    <t>6371022711950007</t>
  </si>
  <si>
    <t>MUHAMMAD IHSAN</t>
  </si>
  <si>
    <t>6371020905190008</t>
  </si>
  <si>
    <t>6305051409950001</t>
  </si>
  <si>
    <t>AKHMAD BHUHARY MOESLIM</t>
  </si>
  <si>
    <t>6305055601000001</t>
  </si>
  <si>
    <t>HARIYATI KHAFIJAH</t>
  </si>
  <si>
    <t>6305055105020002</t>
  </si>
  <si>
    <t>SINTA DAMAYANTI</t>
  </si>
  <si>
    <t>6371022602150003</t>
  </si>
  <si>
    <t>6371026712780006</t>
  </si>
  <si>
    <t>MURNIAH</t>
  </si>
  <si>
    <t>AMUNTAI</t>
  </si>
  <si>
    <t>6371027777980013</t>
  </si>
  <si>
    <t>ELANG SURYANATA</t>
  </si>
  <si>
    <t>6371020802000011</t>
  </si>
  <si>
    <t>WAIS AL KARNI</t>
  </si>
  <si>
    <t>6371021804100003</t>
  </si>
  <si>
    <t>AHMAD JIDAN</t>
  </si>
  <si>
    <t>6371022001770004</t>
  </si>
  <si>
    <t>ZULKIFLI</t>
  </si>
  <si>
    <t>6371021412170003</t>
  </si>
  <si>
    <t>6371020306820001</t>
  </si>
  <si>
    <t>AKHMAD JUNAIDI</t>
  </si>
  <si>
    <t>6371026602970008</t>
  </si>
  <si>
    <t>RABIATUL ADAWIYAH</t>
  </si>
  <si>
    <t>6371025209180001</t>
  </si>
  <si>
    <t>AUFA ZHAFIRA</t>
  </si>
  <si>
    <t>6371020501080261</t>
  </si>
  <si>
    <t>6371021501460001</t>
  </si>
  <si>
    <t>AINI, H</t>
  </si>
  <si>
    <t>JL. PEK. RAYA GG. RATU RIANG NO 13</t>
  </si>
  <si>
    <t>Perbaikan</t>
  </si>
  <si>
    <t>6371025705480002</t>
  </si>
  <si>
    <t>MASRUKIAH, HJ</t>
  </si>
  <si>
    <t>HULU SUNGAI UTARA</t>
  </si>
  <si>
    <t>6371025406790007</t>
  </si>
  <si>
    <t>RINA, HJ</t>
  </si>
  <si>
    <t>6371020501080217</t>
  </si>
  <si>
    <t>6371022306700002</t>
  </si>
  <si>
    <t>MISRAN</t>
  </si>
  <si>
    <t>6371026401830003</t>
  </si>
  <si>
    <t>NURMILA SANTI</t>
  </si>
  <si>
    <t>6371025812050003</t>
  </si>
  <si>
    <t>NURKHAIRANI</t>
  </si>
  <si>
    <t>6371024705140003</t>
  </si>
  <si>
    <t>KHAIRUNNISA</t>
  </si>
  <si>
    <t>6371020501080621</t>
  </si>
  <si>
    <t>6371023012750007</t>
  </si>
  <si>
    <t>SYAHRIANI</t>
  </si>
  <si>
    <t>SUNGAI ELANG</t>
  </si>
  <si>
    <t>JL. PEK. RAYA GG. RATU RIANG</t>
  </si>
  <si>
    <t>6371025310740002</t>
  </si>
  <si>
    <t>MISNIAH</t>
  </si>
  <si>
    <t>6371024207010005</t>
  </si>
  <si>
    <t>YULIANI SYAFITRI</t>
  </si>
  <si>
    <t>6371026310080003</t>
  </si>
  <si>
    <t>NUR AMELIA</t>
  </si>
  <si>
    <t>6371020307080064</t>
  </si>
  <si>
    <t>6371024912570006</t>
  </si>
  <si>
    <t>NORHAYATI, HJ</t>
  </si>
  <si>
    <t>63710215111180001</t>
  </si>
  <si>
    <t>3526091110970002</t>
  </si>
  <si>
    <t>MUSTOPA</t>
  </si>
  <si>
    <t>JL. PEKAPURAN RAYA GG. RATU RIANG</t>
  </si>
  <si>
    <t>6371024406040003</t>
  </si>
  <si>
    <t>NURUL JANNAH</t>
  </si>
  <si>
    <t>6371021910100015</t>
  </si>
  <si>
    <t>6371054107510107</t>
  </si>
  <si>
    <t>RUSITA</t>
  </si>
  <si>
    <t>6371052008840002</t>
  </si>
  <si>
    <t>6371020910100001</t>
  </si>
  <si>
    <t>6371021503820008</t>
  </si>
  <si>
    <t>AKHMAD MURJANI</t>
  </si>
  <si>
    <t>KANDANGAN</t>
  </si>
  <si>
    <t>JL. PEK. RAYA GG. RATU RIANG NO. 10</t>
  </si>
  <si>
    <t>6371026301820001</t>
  </si>
  <si>
    <t>MARIANTI</t>
  </si>
  <si>
    <t>6371027008100001</t>
  </si>
  <si>
    <t>ALYA DINA ESTIANTI</t>
  </si>
  <si>
    <t>6371020307080063</t>
  </si>
  <si>
    <t>6371022012750012</t>
  </si>
  <si>
    <t>SAM'ANI</t>
  </si>
  <si>
    <t>PAMANGKIH</t>
  </si>
  <si>
    <t>6371025103770005</t>
  </si>
  <si>
    <t>NOROR HAYATI</t>
  </si>
  <si>
    <t>6371020309990009</t>
  </si>
  <si>
    <t>MASRI</t>
  </si>
  <si>
    <t>6371024906070003</t>
  </si>
  <si>
    <t>PAHRIAH</t>
  </si>
  <si>
    <t>6371022804100009</t>
  </si>
  <si>
    <t>6371030707780015</t>
  </si>
  <si>
    <t>YAMANI</t>
  </si>
  <si>
    <t>6371025603850008</t>
  </si>
  <si>
    <t>ANITA SUBUH</t>
  </si>
  <si>
    <t>6371026704080005</t>
  </si>
  <si>
    <t>AMALIA</t>
  </si>
  <si>
    <t>6371021511110001</t>
  </si>
  <si>
    <t>RIZKY BAIHAQI</t>
  </si>
  <si>
    <t>6371025308150001</t>
  </si>
  <si>
    <t>HANA RAFIKA</t>
  </si>
  <si>
    <t>6371026509220001</t>
  </si>
  <si>
    <t>RAUDATUL ISHLAH</t>
  </si>
  <si>
    <t>6371022910100008</t>
  </si>
  <si>
    <t>6371020307720012</t>
  </si>
  <si>
    <t>BARITA ALAMSYAH</t>
  </si>
  <si>
    <t>6371022811120003</t>
  </si>
  <si>
    <t>ALDO BRATAMA</t>
  </si>
  <si>
    <t>6371020801190006</t>
  </si>
  <si>
    <t>6371041503970008</t>
  </si>
  <si>
    <t>MUHAMMAD FURQON KHAIRULLAH</t>
  </si>
  <si>
    <t>6371025210860009</t>
  </si>
  <si>
    <t>FATMAWATI</t>
  </si>
  <si>
    <t>6371021101050001</t>
  </si>
  <si>
    <t>AKHMAD RIFANI</t>
  </si>
  <si>
    <t>6371027107090001</t>
  </si>
  <si>
    <t>NABILA</t>
  </si>
  <si>
    <t>6371026503190001</t>
  </si>
  <si>
    <t>AZKADINA HUMAIRO</t>
  </si>
  <si>
    <t>6371021207220001</t>
  </si>
  <si>
    <t>MUHAMMAD RAYHAN EL RUMI</t>
  </si>
  <si>
    <t>6371021604200003</t>
  </si>
  <si>
    <t>6371026310580005</t>
  </si>
  <si>
    <t>SITI AISYAH</t>
  </si>
  <si>
    <t>SIDOARJO</t>
  </si>
  <si>
    <t>JL. PEKAPURAN RAYA GG. RATU RIANG NO.48</t>
  </si>
  <si>
    <t>6371020501080363</t>
  </si>
  <si>
    <t>6371027112680022</t>
  </si>
  <si>
    <t>AINUN JARIAH</t>
  </si>
  <si>
    <t>JL. PEKAPURAN RAYA NO. 1</t>
  </si>
  <si>
    <t>6371026001890002</t>
  </si>
  <si>
    <t>SITI QAMARIAH</t>
  </si>
  <si>
    <t>6371021309900005</t>
  </si>
  <si>
    <t>MUHAMMAD DI ARIFIN</t>
  </si>
  <si>
    <t>6371020501080595</t>
  </si>
  <si>
    <t>6371023112530021</t>
  </si>
  <si>
    <t>SAMSUNI</t>
  </si>
  <si>
    <t>RANTAU</t>
  </si>
  <si>
    <t>6371025506570003</t>
  </si>
  <si>
    <t>MASLIANI</t>
  </si>
  <si>
    <t>6371022408950005</t>
  </si>
  <si>
    <t>KHAIRUL ABDILLAH</t>
  </si>
  <si>
    <t>6371022002150004</t>
  </si>
  <si>
    <t>6371052711900002</t>
  </si>
  <si>
    <t>SUBHANNOR</t>
  </si>
  <si>
    <t>JL. RAWA SARI GG. VI NO. 42</t>
  </si>
  <si>
    <t>6371035502900006</t>
  </si>
  <si>
    <t>PARAMITA</t>
  </si>
  <si>
    <t>JL. RAWA SARI GG. VI NO. 43</t>
  </si>
  <si>
    <t>6371051103160002</t>
  </si>
  <si>
    <t>AL BOHA</t>
  </si>
  <si>
    <t>JL. RAWA SARI GG. VI NO. 44</t>
  </si>
  <si>
    <t>6371020607200012</t>
  </si>
  <si>
    <t>6371025508730007</t>
  </si>
  <si>
    <t>RAHMAH</t>
  </si>
  <si>
    <t>6371027108050002</t>
  </si>
  <si>
    <t>HAIRUN NISA</t>
  </si>
  <si>
    <t>6371024102510002</t>
  </si>
  <si>
    <t>NORIYANI</t>
  </si>
  <si>
    <t>6371020601080144</t>
  </si>
  <si>
    <t>6371020301490001</t>
  </si>
  <si>
    <t>SIMAN, H</t>
  </si>
  <si>
    <t>6371024701560003</t>
  </si>
  <si>
    <t>SANINTI, HJ</t>
  </si>
  <si>
    <t>6371025603940003</t>
  </si>
  <si>
    <t>HESTITOAH</t>
  </si>
  <si>
    <t>6371025009990002</t>
  </si>
  <si>
    <t>SITI KANIA RAHMAH</t>
  </si>
  <si>
    <t>63710023001120017</t>
  </si>
  <si>
    <t>6371022704830008</t>
  </si>
  <si>
    <t>ABDURRAHMAN MAWI, H</t>
  </si>
  <si>
    <t>6108104702790001</t>
  </si>
  <si>
    <t>KHOLIFAH</t>
  </si>
  <si>
    <t>PONTIANAK</t>
  </si>
  <si>
    <t>6371024205140005</t>
  </si>
  <si>
    <t>QOTRUN NADHA</t>
  </si>
  <si>
    <t>6371020307080061</t>
  </si>
  <si>
    <t>6371021508560005</t>
  </si>
  <si>
    <t>HAMBALI, H</t>
  </si>
  <si>
    <t>6371027005640002</t>
  </si>
  <si>
    <t>ROMIYAH, HJ</t>
  </si>
  <si>
    <t>6371025004900009</t>
  </si>
  <si>
    <t>HANANAH</t>
  </si>
  <si>
    <t>6371025204460002</t>
  </si>
  <si>
    <t>MAR'AM, HJ</t>
  </si>
  <si>
    <t>6371026003750007</t>
  </si>
  <si>
    <t>SURIYATI</t>
  </si>
  <si>
    <t>6371026505750007</t>
  </si>
  <si>
    <t>NORSARI</t>
  </si>
  <si>
    <t>3526094308910002</t>
  </si>
  <si>
    <t>PATIMA</t>
  </si>
  <si>
    <t>6371021010170010</t>
  </si>
  <si>
    <t>MUHAMMAD YATIM, S.PD.I</t>
  </si>
  <si>
    <t>6371025508950005</t>
  </si>
  <si>
    <t>SAIDAH</t>
  </si>
  <si>
    <t>6371025804180003</t>
  </si>
  <si>
    <t>HULYATUL MUKARROMAH</t>
  </si>
  <si>
    <t>6371020801080629</t>
  </si>
  <si>
    <t>6371020406810006</t>
  </si>
  <si>
    <t>RUSLAN</t>
  </si>
  <si>
    <t>6371025607840009</t>
  </si>
  <si>
    <t>6371020101120003</t>
  </si>
  <si>
    <t>M. FARIZ</t>
  </si>
  <si>
    <t>6371022305230008</t>
  </si>
  <si>
    <t>6371021906930004</t>
  </si>
  <si>
    <t>AHMAD FAUZI</t>
  </si>
  <si>
    <t>6371024505740013</t>
  </si>
  <si>
    <t>NURUL AINA</t>
  </si>
  <si>
    <t>6371021902190015</t>
  </si>
  <si>
    <t>6371022901980003</t>
  </si>
  <si>
    <t>SYAMSUL ARIF</t>
  </si>
  <si>
    <t>6371056204000004</t>
  </si>
  <si>
    <t>FITRIANI</t>
  </si>
  <si>
    <t>6371024810190001</t>
  </si>
  <si>
    <t>ARIFAH NABILA OKTAVIANI</t>
  </si>
  <si>
    <t>6371022707220003</t>
  </si>
  <si>
    <t>MUHAMMAD BILAL ARIF AKBAR</t>
  </si>
  <si>
    <t>6371021303180009</t>
  </si>
  <si>
    <t>6371026210930004</t>
  </si>
  <si>
    <t>SAHRATUN</t>
  </si>
  <si>
    <t>6371022006120003</t>
  </si>
  <si>
    <t>M. FIKRI HAIKAL</t>
  </si>
  <si>
    <t>6371020601080148</t>
  </si>
  <si>
    <t>6371022008550001</t>
  </si>
  <si>
    <t>NORHAWI</t>
  </si>
  <si>
    <t>6371025909640001</t>
  </si>
  <si>
    <t>ARWATI</t>
  </si>
  <si>
    <t>6371025110040001</t>
  </si>
  <si>
    <t>RAHMADHANIA</t>
  </si>
  <si>
    <t>6371020103170002</t>
  </si>
  <si>
    <t>6371012806890004</t>
  </si>
  <si>
    <t>FAISAL</t>
  </si>
  <si>
    <t>6371024510950011</t>
  </si>
  <si>
    <t>MISDAWATI</t>
  </si>
  <si>
    <t>6371025405130004</t>
  </si>
  <si>
    <t>GOPIYA AULIA</t>
  </si>
  <si>
    <t>63710511050900003</t>
  </si>
  <si>
    <t>6371050510770010</t>
  </si>
  <si>
    <t>ABDUS SYOMAD</t>
  </si>
  <si>
    <t>6371055405800010</t>
  </si>
  <si>
    <t>MASRIAH</t>
  </si>
  <si>
    <t>6371056602060004</t>
  </si>
  <si>
    <t>ROBIATUL ADAWIAH</t>
  </si>
  <si>
    <t>SAMPANG</t>
  </si>
  <si>
    <t>6371022311080012</t>
  </si>
  <si>
    <t>6371021505820028</t>
  </si>
  <si>
    <t>MAHMUDI</t>
  </si>
  <si>
    <t>JL. PEKAPURAN RAYA GG. BUNGA</t>
  </si>
  <si>
    <t>6371020507850008</t>
  </si>
  <si>
    <t>HAMIDAH</t>
  </si>
  <si>
    <t>SAMARINDA</t>
  </si>
  <si>
    <t>6371024806050004</t>
  </si>
  <si>
    <t>NAJMATUS SHOBIHAH</t>
  </si>
  <si>
    <t>6371025709080002</t>
  </si>
  <si>
    <t>ADINDA ROHMADANI</t>
  </si>
  <si>
    <t>6371021307150005</t>
  </si>
  <si>
    <t>MUHAMMAD AFRIADI</t>
  </si>
  <si>
    <t>6371020601080159</t>
  </si>
  <si>
    <t>6371020107680622</t>
  </si>
  <si>
    <t>MUHDIANSYAH</t>
  </si>
  <si>
    <t>BARIKIN</t>
  </si>
  <si>
    <t>6371024107710237</t>
  </si>
  <si>
    <t>ERNA WATI</t>
  </si>
  <si>
    <t>BARABAI</t>
  </si>
  <si>
    <t>6371024107940229</t>
  </si>
  <si>
    <t>NITA ANGGRAENI</t>
  </si>
  <si>
    <t>PANTAI  HAMBAWANG</t>
  </si>
  <si>
    <t>6371020107010237</t>
  </si>
  <si>
    <t>MUHAMMAD FEQY</t>
  </si>
  <si>
    <t>6371020704110002</t>
  </si>
  <si>
    <t>6371021307750004</t>
  </si>
  <si>
    <t>HUSAINI</t>
  </si>
  <si>
    <t>6371025704860002</t>
  </si>
  <si>
    <t>ANITA</t>
  </si>
  <si>
    <t>TAMBAN</t>
  </si>
  <si>
    <t>6371020507100005</t>
  </si>
  <si>
    <t>MUHAMMAD ROJABI</t>
  </si>
  <si>
    <t>6371023003200004</t>
  </si>
  <si>
    <t>MUHAMMAD KHARAMARTULLAH</t>
  </si>
  <si>
    <t>BARITO KUALA</t>
  </si>
  <si>
    <t>6371020810090029</t>
  </si>
  <si>
    <t>6371020212740006</t>
  </si>
  <si>
    <t>M. SADERI</t>
  </si>
  <si>
    <t>6371026311810006</t>
  </si>
  <si>
    <t>MELDAWATI</t>
  </si>
  <si>
    <t>6371022702090001</t>
  </si>
  <si>
    <t>M. RIZQI MAULANA</t>
  </si>
  <si>
    <t>6371020601080151</t>
  </si>
  <si>
    <t>6371020607720003</t>
  </si>
  <si>
    <t>ELDI SYARIWANTO</t>
  </si>
  <si>
    <t>TARUSAN</t>
  </si>
  <si>
    <t>JL. PEK. RAYA GG. RATU RIANG NO. 50</t>
  </si>
  <si>
    <t>6371025502740005</t>
  </si>
  <si>
    <t>INTAN SARI</t>
  </si>
  <si>
    <t>6371025301950005</t>
  </si>
  <si>
    <t>MARTI HARYANA PUTRI, SKM</t>
  </si>
  <si>
    <t>MARABAHAN</t>
  </si>
  <si>
    <t>6371021804180011</t>
  </si>
  <si>
    <t>6371010109900015</t>
  </si>
  <si>
    <t>ROFIK</t>
  </si>
  <si>
    <t>6371027001000008</t>
  </si>
  <si>
    <t>NORHIDAYAH</t>
  </si>
  <si>
    <t>3526170610160001</t>
  </si>
  <si>
    <t>MOHAMMAD DAFFA AL FATIH</t>
  </si>
  <si>
    <t>6371023101200002</t>
  </si>
  <si>
    <t>ABDURROHMAN</t>
  </si>
  <si>
    <t>6371020501080549</t>
  </si>
  <si>
    <t>6371026012490004</t>
  </si>
  <si>
    <t>MASNIAH</t>
  </si>
  <si>
    <t>6371020712740004</t>
  </si>
  <si>
    <t>WAHYU</t>
  </si>
  <si>
    <t>6371020410840007</t>
  </si>
  <si>
    <t>M. RIFANI</t>
  </si>
  <si>
    <t>6371020301090006</t>
  </si>
  <si>
    <t>6371020405670007</t>
  </si>
  <si>
    <t>SALEH, S.PD</t>
  </si>
  <si>
    <t>HULU SUNGAI TENGAH</t>
  </si>
  <si>
    <t>JL. PEKAPURAN RAYA GG ASRI NO 60</t>
  </si>
  <si>
    <t>6371024109750013</t>
  </si>
  <si>
    <t>GT MAHRINA</t>
  </si>
  <si>
    <t>BAMBANGIN</t>
  </si>
  <si>
    <t>6371024602950012</t>
  </si>
  <si>
    <t>RUSSIANA RAMPIANI, S.PD</t>
  </si>
  <si>
    <t>6371026309000006</t>
  </si>
  <si>
    <t>RIDHA ULLAH</t>
  </si>
  <si>
    <t>6371026112060003</t>
  </si>
  <si>
    <t>RAHADATUL AISI</t>
  </si>
  <si>
    <t>6371020301080108</t>
  </si>
  <si>
    <t>6371023112610025</t>
  </si>
  <si>
    <t>MURNI, H</t>
  </si>
  <si>
    <t>PEKAPURAN RAYA</t>
  </si>
  <si>
    <t>6371026001630002</t>
  </si>
  <si>
    <t>JAMIATUL ISLAMIYAH, 'HJ</t>
  </si>
  <si>
    <t>6371020104140015</t>
  </si>
  <si>
    <t>6371021901680006</t>
  </si>
  <si>
    <t>SUHENDRO</t>
  </si>
  <si>
    <t>BANDUNG</t>
  </si>
  <si>
    <t>JL. PEKAPURAN RAYA NO.14</t>
  </si>
  <si>
    <t>6371024708740009</t>
  </si>
  <si>
    <t>SITI LATIFAH</t>
  </si>
  <si>
    <t>6371024209010009</t>
  </si>
  <si>
    <t>NURLY ARIBAH SYAHLA HENDASTI</t>
  </si>
  <si>
    <t>JAKARTA</t>
  </si>
  <si>
    <t>6371020501080851</t>
  </si>
  <si>
    <t>6371020207740005</t>
  </si>
  <si>
    <t>MANSYAH</t>
  </si>
  <si>
    <t>6371024701820005</t>
  </si>
  <si>
    <t>RUSMINI</t>
  </si>
  <si>
    <t>6371024702030003</t>
  </si>
  <si>
    <t>JANNAH</t>
  </si>
  <si>
    <t>6371022509100002</t>
  </si>
  <si>
    <t>NAUFAL</t>
  </si>
  <si>
    <t>6371021601150003</t>
  </si>
  <si>
    <t>FAHREZA</t>
  </si>
  <si>
    <t>6371026002390001</t>
  </si>
  <si>
    <t>RUKAYAH</t>
  </si>
  <si>
    <t>6371024804140001</t>
  </si>
  <si>
    <t>SAPIAH</t>
  </si>
  <si>
    <t>6371020301080544</t>
  </si>
  <si>
    <t>6371022803650005</t>
  </si>
  <si>
    <t>MUSLIM</t>
  </si>
  <si>
    <t>JL. PEKAPURAN RAYA NO.24 A</t>
  </si>
  <si>
    <t>6371025704710005</t>
  </si>
  <si>
    <t>RAHMIYATI</t>
  </si>
  <si>
    <t>6371026107990008</t>
  </si>
  <si>
    <t>RIZKY AMALIA</t>
  </si>
  <si>
    <t>6371021803070002</t>
  </si>
  <si>
    <t>IROYAD ANSARI</t>
  </si>
  <si>
    <t>6371022806110005</t>
  </si>
  <si>
    <t>6371021911850002</t>
  </si>
  <si>
    <t>ROBY CAHYADI</t>
  </si>
  <si>
    <t>6371025210870011</t>
  </si>
  <si>
    <t>NURUL HUDA</t>
  </si>
  <si>
    <t>6371026801080004</t>
  </si>
  <si>
    <t>NAZWA</t>
  </si>
  <si>
    <t>6371026506120002</t>
  </si>
  <si>
    <t>NADIA SALSABILA</t>
  </si>
  <si>
    <t>6371026011130003</t>
  </si>
  <si>
    <t>PUTRI ZAFIRA</t>
  </si>
  <si>
    <t>6371020703190001</t>
  </si>
  <si>
    <t>MUHAMMAD ALI RASYID AZHARI</t>
  </si>
  <si>
    <t>6371020501080989</t>
  </si>
  <si>
    <t>6371022612790001</t>
  </si>
  <si>
    <t>RAHMADI</t>
  </si>
  <si>
    <t>6371024308780005</t>
  </si>
  <si>
    <t>SITI ZUBAIDAH</t>
  </si>
  <si>
    <t>6371023103050002</t>
  </si>
  <si>
    <t>MUHAMMAD KHOIRY</t>
  </si>
  <si>
    <t>6371026809070002</t>
  </si>
  <si>
    <t>NUR AZIZAH</t>
  </si>
  <si>
    <t>6371025203140002</t>
  </si>
  <si>
    <t>LAYLI BARIROH</t>
  </si>
  <si>
    <t>6371024810150002</t>
  </si>
  <si>
    <t>NOOR 'AISYAH</t>
  </si>
  <si>
    <t>6371023008080001</t>
  </si>
  <si>
    <t>6371021205820008</t>
  </si>
  <si>
    <t>HASAN BASRI, H</t>
  </si>
  <si>
    <t>6371025007830016</t>
  </si>
  <si>
    <t>HASANAH, HJ</t>
  </si>
  <si>
    <t>6371020201060002</t>
  </si>
  <si>
    <t>AHMAD ROMI</t>
  </si>
  <si>
    <t>6371026402110001</t>
  </si>
  <si>
    <t>NURLAILATUL HASANAH</t>
  </si>
  <si>
    <t>6371020903150007</t>
  </si>
  <si>
    <t>6303031602780001</t>
  </si>
  <si>
    <t>ZAINAL ABIDIN</t>
  </si>
  <si>
    <t>LANDASAN ULIN</t>
  </si>
  <si>
    <t>JL. PEKAPURAN RAYA NO. 06</t>
  </si>
  <si>
    <t>6303036308730001</t>
  </si>
  <si>
    <t>SITI AMINAH</t>
  </si>
  <si>
    <t>6303036503980001</t>
  </si>
  <si>
    <t>AMALIA SANTI</t>
  </si>
  <si>
    <t>6303030407100002</t>
  </si>
  <si>
    <t>SAHID ZAKIR MAULANA</t>
  </si>
  <si>
    <t>6371022212080012</t>
  </si>
  <si>
    <t>6371027112550058</t>
  </si>
  <si>
    <t>NORHASANAH</t>
  </si>
  <si>
    <t>JL. PEKAPURAN RAYA GG. ASRI</t>
  </si>
  <si>
    <t>6371021402780011</t>
  </si>
  <si>
    <t>M. HUSAINI</t>
  </si>
  <si>
    <t>6371022111800005</t>
  </si>
  <si>
    <t>M. SYARIFUDIN</t>
  </si>
  <si>
    <t>6371020601870009</t>
  </si>
  <si>
    <t>HENDRA GUNAWAN</t>
  </si>
  <si>
    <t>6371020601080129</t>
  </si>
  <si>
    <t>6371022202600002</t>
  </si>
  <si>
    <t>JAMBERI</t>
  </si>
  <si>
    <t>JL. PEKAPURAN RAYA GG. RATU RIANG NO. 4</t>
  </si>
  <si>
    <t>6371026303690006</t>
  </si>
  <si>
    <t>JUM'AH</t>
  </si>
  <si>
    <t>6371020511970006</t>
  </si>
  <si>
    <t>MISKAN</t>
  </si>
  <si>
    <t>6371020501080478</t>
  </si>
  <si>
    <t>6371023112590032</t>
  </si>
  <si>
    <t>IBRAMSYAH</t>
  </si>
  <si>
    <t>6371025708740003</t>
  </si>
  <si>
    <t>HENNY</t>
  </si>
  <si>
    <t>6371027001000005</t>
  </si>
  <si>
    <t>NUR HAMIDAH</t>
  </si>
  <si>
    <t>6371020201080376</t>
  </si>
  <si>
    <t>6371020308780005</t>
  </si>
  <si>
    <t>AHMAD SYARIFANNOR</t>
  </si>
  <si>
    <t>SUNGAI TABUKAN</t>
  </si>
  <si>
    <t>JL. PEKAPURAN RAYA NO. 69</t>
  </si>
  <si>
    <t>6371025812800003</t>
  </si>
  <si>
    <t>FARIDAH</t>
  </si>
  <si>
    <t>6371027107010005</t>
  </si>
  <si>
    <t>NADIA AGUSTINA</t>
  </si>
  <si>
    <t>6371022306090002</t>
  </si>
  <si>
    <t>AHMAD DAVIN</t>
  </si>
  <si>
    <t>6371026006580005</t>
  </si>
  <si>
    <t>JAMALIAH</t>
  </si>
  <si>
    <t>6371020301080360</t>
  </si>
  <si>
    <t>6371026006660003</t>
  </si>
  <si>
    <t>SRI WINARTI</t>
  </si>
  <si>
    <t>JL. PEKAPURAN RAYA NO. 04</t>
  </si>
  <si>
    <t>6371020505890014</t>
  </si>
  <si>
    <t>TAUFIK RIDHANIANSYAH</t>
  </si>
  <si>
    <t>6371022411050004</t>
  </si>
  <si>
    <t>MUHAMMAD FAUZI</t>
  </si>
  <si>
    <t>6371021709080026</t>
  </si>
  <si>
    <t>6305021106710001</t>
  </si>
  <si>
    <t>AHMAD RIDUAN</t>
  </si>
  <si>
    <t>JL. PEKAPURAN RAYA GG. RATU RIANG NO.26</t>
  </si>
  <si>
    <t>6371024107740208</t>
  </si>
  <si>
    <t>AMINAH</t>
  </si>
  <si>
    <t>6371021907210001</t>
  </si>
  <si>
    <t>AHNAN ADHA</t>
  </si>
  <si>
    <t>6371023006200004</t>
  </si>
  <si>
    <t>6371021503970006</t>
  </si>
  <si>
    <t>MUHAMMAD ANWAR</t>
  </si>
  <si>
    <t>6371016104000006</t>
  </si>
  <si>
    <t>AMALIA REZKIYAH</t>
  </si>
  <si>
    <t>6371025402220002</t>
  </si>
  <si>
    <t>ALFIRA MADINA KHADIJAH</t>
  </si>
  <si>
    <t>6371020301080088</t>
  </si>
  <si>
    <t>6371022107300001</t>
  </si>
  <si>
    <t>M. BASUNI, H</t>
  </si>
  <si>
    <t>6371024512460004</t>
  </si>
  <si>
    <t>JARIYAH</t>
  </si>
  <si>
    <t>6371024609600004</t>
  </si>
  <si>
    <t>6472083005130008</t>
  </si>
  <si>
    <t>6472050311860004</t>
  </si>
  <si>
    <t>JL. GERILYA GG. SEPAKAT</t>
  </si>
  <si>
    <t>3526094412960004</t>
  </si>
  <si>
    <t>6472086809130001</t>
  </si>
  <si>
    <t>Ringkasan Database Kelurahan A</t>
  </si>
  <si>
    <t>Penjelasan:</t>
  </si>
  <si>
    <t>Jumlah KK</t>
  </si>
  <si>
    <t>Silahkan perbaharui semua data penduduk pada Sheet "DATABASE"</t>
  </si>
  <si>
    <t>Jumlah Penduduk</t>
  </si>
  <si>
    <t>Untuk penduduk yang sudah meninggal, data dimasukan pada Sheet "MENINGGAL"</t>
  </si>
  <si>
    <t xml:space="preserve">    Laki-Laki</t>
  </si>
  <si>
    <t>Tabel ringkasan akan diperbaharui secara otomatis</t>
  </si>
  <si>
    <t xml:space="preserve">    Perempuan</t>
  </si>
  <si>
    <t>Kolom berwarna kuning diisi rumus sesuai kolom diatasnya</t>
  </si>
  <si>
    <t>Jumlah Meninggal</t>
  </si>
  <si>
    <t>Jumlah Penduduk Berdasarkan Umur dan Jenis Kelamin</t>
  </si>
  <si>
    <t>Jumlah Penduduk Berdasarkan Status Kependudukan dan Jenis Kelamin</t>
  </si>
  <si>
    <t>Count of STATUS KEPENDUDUKAN</t>
  </si>
  <si>
    <t>Count of JENIS PEKERJAAN</t>
  </si>
  <si>
    <t>Count of PENDIDIKAN TERAKHIR</t>
  </si>
  <si>
    <t>Count of AGAMA</t>
  </si>
  <si>
    <t>Count of STATUS PERKAWINAN</t>
  </si>
  <si>
    <t>Ringkasan Potensi Wilayah</t>
  </si>
  <si>
    <t>Jumlah Sarana Pendidikan</t>
  </si>
  <si>
    <t>Jumlah Sarana Kesehatan</t>
  </si>
  <si>
    <t>COUNTA of JENIS FASILITAS</t>
  </si>
  <si>
    <t>JENIS FASILITAS</t>
  </si>
  <si>
    <t>COUNTA of KATEGORI FASILITAS</t>
  </si>
  <si>
    <t>KATEGORI FASILITAS</t>
  </si>
  <si>
    <t>Pendidikan</t>
  </si>
  <si>
    <t>Kesehatan</t>
  </si>
  <si>
    <t>SD</t>
  </si>
  <si>
    <t>PUSKESMAS</t>
  </si>
  <si>
    <t>SMP</t>
  </si>
  <si>
    <t>RUMAH SAKIT</t>
  </si>
  <si>
    <t>TANGGAL MENINGGAL</t>
  </si>
  <si>
    <t>BULAN MENINGGAL</t>
  </si>
  <si>
    <t>TAHUN MENINGGAL</t>
  </si>
  <si>
    <t>UMUR MENINGGAL</t>
  </si>
  <si>
    <t>RT 02</t>
  </si>
  <si>
    <t>6371022610018909</t>
  </si>
  <si>
    <t>6371026507849080</t>
  </si>
  <si>
    <t>AULIA</t>
  </si>
  <si>
    <t>JL.VETERAN GG. 6 NO. 29</t>
  </si>
  <si>
    <t>Potensi Wilayah</t>
  </si>
  <si>
    <t>NAMA FASILITAS</t>
  </si>
  <si>
    <t>ALAMAT</t>
  </si>
  <si>
    <t>SD N 1</t>
  </si>
  <si>
    <t>RUMAH SAKIT A</t>
  </si>
  <si>
    <t>RT 04</t>
  </si>
  <si>
    <t>PUSKESMAS A</t>
  </si>
  <si>
    <t>SMP N 1</t>
  </si>
  <si>
    <t>RT 03</t>
  </si>
  <si>
    <t>SD N 2</t>
  </si>
  <si>
    <t>KETERANGAN PENGISIAN DAN KATEGORI</t>
  </si>
  <si>
    <t>UMUR</t>
  </si>
  <si>
    <t>ANGKA 16 DIGIT</t>
  </si>
  <si>
    <t>NAMA LENGKAP SESUAI KTP</t>
  </si>
  <si>
    <t>SESUAI KTP</t>
  </si>
  <si>
    <t>Sudah otomatis</t>
  </si>
  <si>
    <t>PINDAH DATANG</t>
  </si>
  <si>
    <t>PINDAH KELUAR</t>
  </si>
  <si>
    <t>DINAS</t>
  </si>
  <si>
    <t>LAINNYA</t>
  </si>
  <si>
    <t>DI/DII/DIII</t>
  </si>
  <si>
    <t>6371022610018****</t>
  </si>
  <si>
    <t>637102650784****</t>
  </si>
  <si>
    <t>637102070618****</t>
  </si>
  <si>
    <t>637105270195****</t>
  </si>
  <si>
    <t>RENALDO ROB</t>
  </si>
  <si>
    <t>JL.VETERAN NO. 33</t>
  </si>
  <si>
    <t>630302600794****</t>
  </si>
  <si>
    <t>INDRI CAHYADI</t>
  </si>
  <si>
    <t>JL. VETERAN GG. PUTRA DAHA II</t>
  </si>
  <si>
    <t>637102160720****</t>
  </si>
  <si>
    <t>REINHART</t>
  </si>
  <si>
    <t>637102210319****</t>
  </si>
  <si>
    <t>637102121293****</t>
  </si>
  <si>
    <t>BAIHAQI</t>
  </si>
  <si>
    <t>KARYAWAN TOKO</t>
  </si>
  <si>
    <t>(blank)</t>
  </si>
  <si>
    <t>JENIS IDENTITAS</t>
  </si>
  <si>
    <t>NIK SEMENTARA</t>
  </si>
  <si>
    <t>KTP</t>
  </si>
  <si>
    <t>TANGGAL</t>
  </si>
  <si>
    <t>PENDIDIKAN</t>
  </si>
  <si>
    <t xml:space="preserve"> PEKERJAAN</t>
  </si>
  <si>
    <t>KEWARGANEGARAAN</t>
  </si>
  <si>
    <t>WNI</t>
  </si>
  <si>
    <t>TETAP</t>
  </si>
  <si>
    <t>STATUS DASAR</t>
  </si>
  <si>
    <t>HIDUP</t>
  </si>
  <si>
    <t>STATUS PENDUDUK</t>
  </si>
  <si>
    <t>STATUS DATA</t>
  </si>
  <si>
    <t>NAMA AYAH</t>
  </si>
  <si>
    <t>NAMA IBU</t>
  </si>
  <si>
    <t>NIK AYAH</t>
  </si>
  <si>
    <t>NIK IBU</t>
  </si>
  <si>
    <t>DIVERIFIKASI</t>
  </si>
  <si>
    <t>ETNIS SUKU</t>
  </si>
  <si>
    <t>GOLONGAN DARAH</t>
  </si>
  <si>
    <t xml:space="preserve"> </t>
  </si>
  <si>
    <t>ALAMAT SEKARANG</t>
  </si>
  <si>
    <t>ALAMAT SEBELUMNYA</t>
  </si>
  <si>
    <t>TELEPON</t>
  </si>
  <si>
    <t>EMAIL</t>
  </si>
  <si>
    <t>006</t>
  </si>
  <si>
    <t>001</t>
  </si>
  <si>
    <t>002</t>
  </si>
  <si>
    <t>003</t>
  </si>
  <si>
    <t>004</t>
  </si>
  <si>
    <t>005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</si>
  <si>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</si>
  <si>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</si>
  <si>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</si>
  <si>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</si>
  <si>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</si>
  <si>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</si>
  <si>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</si>
  <si>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</si>
  <si>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</si>
  <si>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</si>
  <si>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</si>
  <si>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</si>
  <si>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</si>
  <si>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</si>
  <si>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</si>
  <si>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</si>
  <si>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</si>
  <si>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</si>
  <si>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</si>
  <si>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</si>
  <si>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</si>
  <si>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</si>
  <si>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</si>
  <si>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</si>
  <si>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</si>
  <si>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TIDAK DIKETAHUI</t>
  </si>
  <si>
    <t>NO 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</si>
</sst>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mbria"/>
    </font>
    <font>
      <sz val="11"/>
      <name val="Calibri"/>
    </font>
    <font>
      <b/>
      <sz val="10"/>
      <color theme="1"/>
      <name val="Cambria"/>
    </font>
    <font>
      <sz val="11"/>
      <color theme="1"/>
      <name val="Cambria"/>
    </font>
    <font>
      <sz val="11"/>
      <color rgb="FF000000"/>
      <name val="Cambria"/>
    </font>
    <font>
      <sz val="11"/>
      <color rgb="FF000000"/>
      <name val="Calibri"/>
      <scheme val="minor"/>
    </font>
    <font>
      <b/>
      <sz val="14"/>
      <color rgb="FF073763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DF1F1"/>
        <bgColor rgb="FFDDF1F1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27">
    <xf numFmtId="0" fontId="0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1" xfId="0" applyFont="1" applyBorder="1" applyAlignme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0" xfId="0" applyFont="1"/>
    <xf numFmtId="2" fontId="2" fillId="0" borderId="0" xfId="0" applyNumberFormat="1" applyFont="1"/>
    <xf numFmtId="0" fontId="4" fillId="0" borderId="1" xfId="0" applyFont="1" applyBorder="1"/>
    <xf numFmtId="0" fontId="1" fillId="0" borderId="1" xfId="0" applyFont="1" applyBorder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/>
    <xf numFmtId="0" fontId="12" fillId="0" borderId="0" xfId="0" applyFont="1" applyAlignment="1"/>
    <xf numFmtId="0" fontId="13" fillId="0" borderId="0" xfId="0" applyFont="1" applyAlignment="1">
      <alignment horizontal="center"/>
    </xf>
    <xf numFmtId="0" fontId="4" fillId="0" borderId="0" xfId="0" applyFont="1"/>
    <xf numFmtId="0" fontId="5" fillId="7" borderId="0" xfId="0" applyFont="1" applyFill="1"/>
    <xf numFmtId="0" fontId="13" fillId="7" borderId="0" xfId="0" applyFont="1" applyFill="1" applyAlignment="1">
      <alignment horizontal="center"/>
    </xf>
    <xf numFmtId="0" fontId="3" fillId="0" borderId="0" xfId="0" applyFont="1"/>
    <xf numFmtId="0" fontId="13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/>
    <xf numFmtId="0" fontId="13" fillId="0" borderId="0" xfId="0" applyFont="1" applyAlignment="1"/>
    <xf numFmtId="0" fontId="3" fillId="4" borderId="5" xfId="0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5" fillId="0" borderId="0" xfId="0" applyFont="1"/>
    <xf numFmtId="0" fontId="8" fillId="8" borderId="6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5" fillId="0" borderId="2" xfId="0" applyFont="1" applyBorder="1" applyAlignment="1">
      <alignment horizontal="center" vertical="center"/>
    </xf>
    <xf numFmtId="0" fontId="7" fillId="0" borderId="3" xfId="0" applyFont="1" applyBorder="1"/>
    <xf numFmtId="0" fontId="6" fillId="0" borderId="0" xfId="0" applyFont="1" applyAlignment="1">
      <alignment horizontal="center" vertical="center"/>
    </xf>
    <xf numFmtId="0" fontId="0" fillId="0" borderId="9" xfId="0" pivotButton="1" applyFont="1" applyBorder="1" applyAlignment="1"/>
    <xf numFmtId="0" fontId="0" fillId="0" borderId="10" xfId="0" applyFont="1" applyBorder="1" applyAlignment="1"/>
    <xf numFmtId="49" fontId="0" fillId="0" borderId="9" xfId="0" applyNumberFormat="1" applyFont="1" applyBorder="1" applyAlignment="1"/>
    <xf numFmtId="49" fontId="0" fillId="0" borderId="11" xfId="0" applyNumberFormat="1" applyFont="1" applyBorder="1" applyAlignment="1"/>
    <xf numFmtId="0" fontId="0" fillId="0" borderId="9" xfId="0" applyNumberFormat="1" applyFont="1" applyBorder="1" applyAlignment="1"/>
    <xf numFmtId="0" fontId="0" fillId="0" borderId="11" xfId="0" applyNumberFormat="1" applyFont="1" applyBorder="1" applyAlignment="1"/>
    <xf numFmtId="49" fontId="0" fillId="0" borderId="12" xfId="0" applyNumberFormat="1" applyFont="1" applyBorder="1" applyAlignment="1"/>
    <xf numFmtId="0" fontId="0" fillId="0" borderId="12" xfId="0" applyNumberFormat="1" applyFont="1" applyBorder="1" applyAlignment="1"/>
    <xf numFmtId="0" fontId="0" fillId="0" borderId="13" xfId="0" applyNumberFormat="1" applyFont="1" applyBorder="1" applyAlignment="1"/>
    <xf numFmtId="49" fontId="0" fillId="0" borderId="14" xfId="0" applyNumberFormat="1" applyFont="1" applyBorder="1" applyAlignment="1"/>
    <xf numFmtId="0" fontId="0" fillId="0" borderId="14" xfId="0" applyNumberFormat="1" applyFont="1" applyBorder="1" applyAlignment="1"/>
    <xf numFmtId="0" fontId="0" fillId="0" borderId="15" xfId="0" applyNumberFormat="1" applyFont="1" applyBorder="1" applyAlignment="1"/>
    <xf numFmtId="0" fontId="0" fillId="0" borderId="16" xfId="0" applyFont="1" applyBorder="1" applyAlignment="1"/>
    <xf numFmtId="0" fontId="0" fillId="0" borderId="9" xfId="0" applyFont="1" applyBorder="1" applyAlignment="1"/>
    <xf numFmtId="0" fontId="0" fillId="0" borderId="17" xfId="0" applyFont="1" applyBorder="1" applyAlignment="1"/>
    <xf numFmtId="0" fontId="0" fillId="0" borderId="11" xfId="0" applyFont="1" applyBorder="1" applyAlignment="1"/>
    <xf numFmtId="0" fontId="0" fillId="0" borderId="17" xfId="0" applyNumberFormat="1" applyFont="1" applyBorder="1" applyAlignment="1"/>
    <xf numFmtId="0" fontId="0" fillId="0" borderId="14" xfId="0" applyFont="1" applyBorder="1" applyAlignment="1"/>
    <xf numFmtId="0" fontId="0" fillId="0" borderId="18" xfId="0" applyNumberFormat="1" applyFont="1" applyBorder="1" applyAlignment="1"/>
    <xf numFmtId="0" fontId="0" fillId="0" borderId="15" xfId="0" pivotButton="1" applyFont="1" applyBorder="1" applyAlignment="1"/>
    <xf numFmtId="0" fontId="0" fillId="0" borderId="15" xfId="0" applyFont="1" applyBorder="1" applyAlignment="1"/>
    <xf numFmtId="0" fontId="0" fillId="0" borderId="12" xfId="0" applyFont="1" applyBorder="1" applyAlignment="1"/>
    <xf numFmtId="0" fontId="0" fillId="0" borderId="5" xfId="0" applyNumberFormat="1" applyFont="1" applyBorder="1" applyAlignment="1"/>
    <xf numFmtId="0" fontId="8" fillId="0" borderId="5" xfId="0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4" fontId="9" fillId="0" borderId="5" xfId="0" applyNumberFormat="1" applyFont="1" applyBorder="1" applyAlignment="1">
      <alignment horizontal="center"/>
    </xf>
    <xf numFmtId="0" fontId="0" fillId="0" borderId="5" xfId="0" applyFont="1" applyBorder="1" applyAlignment="1"/>
    <xf numFmtId="0" fontId="10" fillId="3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11" fillId="0" borderId="5" xfId="0" applyFont="1" applyBorder="1" applyAlignment="1"/>
    <xf numFmtId="0" fontId="2" fillId="0" borderId="5" xfId="0" applyFont="1" applyBorder="1" applyAlignment="1"/>
    <xf numFmtId="0" fontId="2" fillId="0" borderId="5" xfId="0" applyFont="1" applyBorder="1"/>
    <xf numFmtId="0" fontId="11" fillId="0" borderId="5" xfId="0" applyFont="1" applyBorder="1"/>
    <xf numFmtId="0" fontId="11" fillId="3" borderId="5" xfId="0" applyFont="1" applyFill="1" applyBorder="1" applyAlignment="1"/>
    <xf numFmtId="0" fontId="2" fillId="3" borderId="5" xfId="0" applyFont="1" applyFill="1" applyBorder="1" applyAlignment="1"/>
    <xf numFmtId="0" fontId="2" fillId="3" borderId="5" xfId="0" applyFont="1" applyFill="1" applyBorder="1"/>
    <xf numFmtId="0" fontId="3" fillId="0" borderId="0" xfId="0" quotePrefix="1" applyFont="1"/>
    <xf numFmtId="0" fontId="9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49" fontId="17" fillId="0" borderId="0" xfId="0" applyNumberFormat="1" applyFont="1" applyAlignment="1">
      <alignment horizontal="left"/>
    </xf>
    <xf numFmtId="49" fontId="17" fillId="3" borderId="0" xfId="0" applyNumberFormat="1" applyFont="1" applyFill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quotePrefix="1" applyFont="1" applyAlignment="1">
      <alignment horizontal="left"/>
    </xf>
    <xf numFmtId="0" fontId="17" fillId="3" borderId="0" xfId="0" applyFont="1" applyFill="1" applyAlignment="1">
      <alignment horizontal="left"/>
    </xf>
    <xf numFmtId="0" fontId="17" fillId="0" borderId="0" xfId="0" applyFont="1" applyAlignment="1"/>
    <xf numFmtId="49" fontId="0" fillId="0" borderId="5" xfId="0" applyNumberFormat="1" applyFont="1" applyBorder="1" applyAlignment="1">
      <alignment horizontal="center"/>
    </xf>
    <xf numFmtId="49" fontId="0" fillId="3" borderId="5" xfId="0" applyNumberFormat="1" applyFont="1" applyFill="1" applyBorder="1" applyAlignment="1">
      <alignment horizontal="center"/>
    </xf>
    <xf numFmtId="0" fontId="11" fillId="6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/>
    </xf>
    <xf numFmtId="0" fontId="14" fillId="3" borderId="5" xfId="0" applyFont="1" applyFill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0">
                <a:solidFill>
                  <a:srgbClr val="000000"/>
                </a:solidFill>
                <a:latin typeface="Tahoma"/>
              </a:defRPr>
            </a:pPr>
            <a:r>
              <a:rPr lang="en-ID" sz="1600" b="0">
                <a:solidFill>
                  <a:srgbClr val="000000"/>
                </a:solidFill>
                <a:latin typeface="Tahoma"/>
              </a:rPr>
              <a:t>Persentase Penduduk RT 6 dan RT 8 Kelurahan Pekapuran Raya
Berdasarkan Tingkat Pendidikan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0000"/>
              </a:solidFill>
            </c:spPr>
            <c:extLst>
              <c:ext xmlns:c16="http://schemas.microsoft.com/office/drawing/2014/chart" uri="{C3380CC4-5D6E-409C-BE32-E72D297353CC}">
                <c16:uniqueId val="{00000001-CB0D-498B-8F6A-F276A4CE3BF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CB0D-498B-8F6A-F276A4CE3BF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CB0D-498B-8F6A-F276A4CE3BF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CB0D-498B-8F6A-F276A4CE3BF3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CB0D-498B-8F6A-F276A4CE3BF3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CB0D-498B-8F6A-F276A4CE3BF3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CB0D-498B-8F6A-F276A4CE3BF3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</c:spPr>
            <c:extLst>
              <c:ext xmlns:c16="http://schemas.microsoft.com/office/drawing/2014/chart" uri="{C3380CC4-5D6E-409C-BE32-E72D297353CC}">
                <c16:uniqueId val="{0000000F-CB0D-498B-8F6A-F276A4CE3BF3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</c:spPr>
            <c:extLst>
              <c:ext xmlns:c16="http://schemas.microsoft.com/office/drawing/2014/chart" uri="{C3380CC4-5D6E-409C-BE32-E72D297353CC}">
                <c16:uniqueId val="{00000011-CB0D-498B-8F6A-F276A4CE3BF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'Laporan Potensi Wilayah'!$A$27:$A$35</c:f>
              <c:strCache>
                <c:ptCount val="9"/>
                <c:pt idx="0">
                  <c:v>JUMLAH PENDUDUK BERDASARKAN TINGKAT PENDIDIKAN</c:v>
                </c:pt>
                <c:pt idx="1">
                  <c:v>PENDIDIKAN TERTINGGI YANG DITAMATKAN</c:v>
                </c:pt>
                <c:pt idx="2">
                  <c:v>TIDAK/BELUM SEKOLAH</c:v>
                </c:pt>
                <c:pt idx="3">
                  <c:v>BELUM TAMAT SD/SEDERAJAT</c:v>
                </c:pt>
                <c:pt idx="4">
                  <c:v>TAMAT SD/SEDERAJAT</c:v>
                </c:pt>
                <c:pt idx="5">
                  <c:v>SLTP/SEDERAJAT</c:v>
                </c:pt>
                <c:pt idx="6">
                  <c:v>SLTA/SEDERAJAT</c:v>
                </c:pt>
                <c:pt idx="7">
                  <c:v>DIPLOMA I/II</c:v>
                </c:pt>
                <c:pt idx="8">
                  <c:v>DIV/S1</c:v>
                </c:pt>
              </c:strCache>
            </c:strRef>
          </c:cat>
          <c:val>
            <c:numRef>
              <c:f>'Laporan Potensi Wilayah'!$D$27:$D$35</c:f>
              <c:numCache>
                <c:formatCode>General</c:formatCode>
                <c:ptCount val="9"/>
                <c:pt idx="1">
                  <c:v>0</c:v>
                </c:pt>
                <c:pt idx="2">
                  <c:v>71</c:v>
                </c:pt>
                <c:pt idx="3">
                  <c:v>34</c:v>
                </c:pt>
                <c:pt idx="4">
                  <c:v>83</c:v>
                </c:pt>
                <c:pt idx="5">
                  <c:v>52</c:v>
                </c:pt>
                <c:pt idx="6">
                  <c:v>45</c:v>
                </c:pt>
                <c:pt idx="7">
                  <c:v>2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B0D-498B-8F6A-F276A4CE3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'Laporan Potensi Wilayah'!$B$51:$B$52</c:f>
              <c:strCache>
                <c:ptCount val="2"/>
                <c:pt idx="0">
                  <c:v>JUMLAH PENDUDUK BERDASARKAN PEKERJAAN</c:v>
                </c:pt>
                <c:pt idx="1">
                  <c:v>LAKI-LAKI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C2A6-426E-90DA-D859E10EEAD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C2A6-426E-90DA-D859E10EEAD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C2A6-426E-90DA-D859E10EEAD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C2A6-426E-90DA-D859E10EEADD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C2A6-426E-90DA-D859E10EEADD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C2A6-426E-90DA-D859E10EEADD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C2A6-426E-90DA-D859E10EEADD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</c:spPr>
            <c:extLst>
              <c:ext xmlns:c16="http://schemas.microsoft.com/office/drawing/2014/chart" uri="{C3380CC4-5D6E-409C-BE32-E72D297353CC}">
                <c16:uniqueId val="{0000000F-C2A6-426E-90DA-D859E10EEADD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</c:spPr>
            <c:extLst>
              <c:ext xmlns:c16="http://schemas.microsoft.com/office/drawing/2014/chart" uri="{C3380CC4-5D6E-409C-BE32-E72D297353CC}">
                <c16:uniqueId val="{00000011-C2A6-426E-90DA-D859E10EEADD}"/>
              </c:ext>
            </c:extLst>
          </c:dPt>
          <c:dPt>
            <c:idx val="9"/>
            <c:bubble3D val="0"/>
            <c:spPr>
              <a:solidFill>
                <a:srgbClr val="A693BE"/>
              </a:solidFill>
            </c:spPr>
            <c:extLst>
              <c:ext xmlns:c16="http://schemas.microsoft.com/office/drawing/2014/chart" uri="{C3380CC4-5D6E-409C-BE32-E72D297353CC}">
                <c16:uniqueId val="{00000013-C2A6-426E-90DA-D859E10EEADD}"/>
              </c:ext>
            </c:extLst>
          </c:dPt>
          <c:dPt>
            <c:idx val="10"/>
            <c:bubble3D val="0"/>
            <c:spPr>
              <a:solidFill>
                <a:srgbClr val="81C5D7"/>
              </a:solidFill>
            </c:spPr>
            <c:extLst>
              <c:ext xmlns:c16="http://schemas.microsoft.com/office/drawing/2014/chart" uri="{C3380CC4-5D6E-409C-BE32-E72D297353CC}">
                <c16:uniqueId val="{00000015-C2A6-426E-90DA-D859E10EEADD}"/>
              </c:ext>
            </c:extLst>
          </c:dPt>
          <c:dPt>
            <c:idx val="11"/>
            <c:bubble3D val="0"/>
            <c:spPr>
              <a:solidFill>
                <a:srgbClr val="F9B67E"/>
              </a:solidFill>
            </c:spPr>
            <c:extLst>
              <c:ext xmlns:c16="http://schemas.microsoft.com/office/drawing/2014/chart" uri="{C3380CC4-5D6E-409C-BE32-E72D297353CC}">
                <c16:uniqueId val="{00000017-C2A6-426E-90DA-D859E10EEADD}"/>
              </c:ext>
            </c:extLst>
          </c:dPt>
          <c:dPt>
            <c:idx val="12"/>
            <c:bubble3D val="0"/>
            <c:spPr>
              <a:solidFill>
                <a:srgbClr val="B9CDE5"/>
              </a:solidFill>
            </c:spPr>
            <c:extLst>
              <c:ext xmlns:c16="http://schemas.microsoft.com/office/drawing/2014/chart" uri="{C3380CC4-5D6E-409C-BE32-E72D297353CC}">
                <c16:uniqueId val="{00000019-C2A6-426E-90DA-D859E10EEADD}"/>
              </c:ext>
            </c:extLst>
          </c:dPt>
          <c:dPt>
            <c:idx val="13"/>
            <c:bubble3D val="0"/>
            <c:spPr>
              <a:solidFill>
                <a:srgbClr val="E6B9B8"/>
              </a:solidFill>
            </c:spPr>
            <c:extLst>
              <c:ext xmlns:c16="http://schemas.microsoft.com/office/drawing/2014/chart" uri="{C3380CC4-5D6E-409C-BE32-E72D297353CC}">
                <c16:uniqueId val="{0000001B-C2A6-426E-90DA-D859E10EEADD}"/>
              </c:ext>
            </c:extLst>
          </c:dPt>
          <c:dPt>
            <c:idx val="14"/>
            <c:bubble3D val="0"/>
            <c:spPr>
              <a:solidFill>
                <a:srgbClr val="D7E4BD"/>
              </a:solidFill>
            </c:spPr>
            <c:extLst>
              <c:ext xmlns:c16="http://schemas.microsoft.com/office/drawing/2014/chart" uri="{C3380CC4-5D6E-409C-BE32-E72D297353CC}">
                <c16:uniqueId val="{0000001D-C2A6-426E-90DA-D859E10EEADD}"/>
              </c:ext>
            </c:extLst>
          </c:dPt>
          <c:dPt>
            <c:idx val="15"/>
            <c:bubble3D val="0"/>
            <c:spPr>
              <a:solidFill>
                <a:srgbClr val="CCC1DA"/>
              </a:solidFill>
            </c:spPr>
            <c:extLst>
              <c:ext xmlns:c16="http://schemas.microsoft.com/office/drawing/2014/chart" uri="{C3380CC4-5D6E-409C-BE32-E72D297353CC}">
                <c16:uniqueId val="{0000001F-C2A6-426E-90DA-D859E10EEADD}"/>
              </c:ext>
            </c:extLst>
          </c:dPt>
          <c:cat>
            <c:strRef>
              <c:f>'Laporan Potensi Wilayah'!$A$53:$A$68</c:f>
              <c:strCache>
                <c:ptCount val="16"/>
                <c:pt idx="0">
                  <c:v>BELUM/TIDAK BEKERJA</c:v>
                </c:pt>
                <c:pt idx="1">
                  <c:v>BURUH HARIAN LEPAS</c:v>
                </c:pt>
                <c:pt idx="2">
                  <c:v>BURUH TANI/PERKEBUNAN</c:v>
                </c:pt>
                <c:pt idx="3">
                  <c:v>GURU</c:v>
                </c:pt>
                <c:pt idx="4">
                  <c:v>KARYAWAN HONORER</c:v>
                </c:pt>
                <c:pt idx="5">
                  <c:v>KARYAWAN SWASTA</c:v>
                </c:pt>
                <c:pt idx="6">
                  <c:v>MENGURUS RUMAH TANGGA</c:v>
                </c:pt>
                <c:pt idx="7">
                  <c:v>PEDAGANG</c:v>
                </c:pt>
                <c:pt idx="8">
                  <c:v>PEGAWAI NEGERI SIPIL (PNS)</c:v>
                </c:pt>
                <c:pt idx="9">
                  <c:v>PELAJAR/MAHASISWA</c:v>
                </c:pt>
                <c:pt idx="10">
                  <c:v>PENSIUNAN</c:v>
                </c:pt>
                <c:pt idx="11">
                  <c:v>PETANI/PEKEBUN</c:v>
                </c:pt>
                <c:pt idx="12">
                  <c:v>TAMAT SD/SEDERAJAT</c:v>
                </c:pt>
                <c:pt idx="13">
                  <c:v>TUKANG CUKUR</c:v>
                </c:pt>
                <c:pt idx="14">
                  <c:v>TUKANG JAHIT</c:v>
                </c:pt>
                <c:pt idx="15">
                  <c:v>WIRASWASTA</c:v>
                </c:pt>
              </c:strCache>
            </c:strRef>
          </c:cat>
          <c:val>
            <c:numRef>
              <c:f>'Laporan Potensi Wilayah'!$B$53:$B$68</c:f>
              <c:numCache>
                <c:formatCode>General</c:formatCode>
                <c:ptCount val="16"/>
                <c:pt idx="0">
                  <c:v>47</c:v>
                </c:pt>
                <c:pt idx="1">
                  <c:v>8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7</c:v>
                </c:pt>
                <c:pt idx="6">
                  <c:v>0</c:v>
                </c:pt>
                <c:pt idx="7">
                  <c:v>14</c:v>
                </c:pt>
                <c:pt idx="8">
                  <c:v>1</c:v>
                </c:pt>
                <c:pt idx="9">
                  <c:v>17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2A6-426E-90DA-D859E10EE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161925</xdr:colOff>
      <xdr:row>24</xdr:row>
      <xdr:rowOff>57150</xdr:rowOff>
    </xdr:from>
    <xdr:ext cx="5715000" cy="3295650"/>
    <xdr:graphicFrame macro="">
      <xdr:nvGraphicFramePr>
        <xdr:cNvPr id="1961571976" name="Chart 1" title="Diagram">
          <a:extLst>
            <a:ext uri="{FF2B5EF4-FFF2-40B4-BE49-F238E27FC236}">
              <a16:creationId xmlns:a16="http://schemas.microsoft.com/office/drawing/2014/main" id="{00000000-0008-0000-0000-00008836E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714375</xdr:colOff>
      <xdr:row>47</xdr:row>
      <xdr:rowOff>66675</xdr:rowOff>
    </xdr:from>
    <xdr:ext cx="5715000" cy="3533775"/>
    <xdr:graphicFrame macro="">
      <xdr:nvGraphicFramePr>
        <xdr:cNvPr id="546036516" name="Chart 2" title="Diagram">
          <a:extLst>
            <a:ext uri="{FF2B5EF4-FFF2-40B4-BE49-F238E27FC236}">
              <a16:creationId xmlns:a16="http://schemas.microsoft.com/office/drawing/2014/main" id="{00000000-0008-0000-0000-000024DB8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zakilagi" refreshedDate="45581.48185462963" refreshedVersion="8" recordCount="998" xr:uid="{00000000-000A-0000-FFFF-FFFF03000000}">
  <cacheSource type="worksheet">
    <worksheetSource ref="A2:F1000" sheet="POTENSI WILAYAH"/>
  </cacheSource>
  <cacheFields count="6">
    <cacheField name="RT" numFmtId="0">
      <sharedItems containsBlank="1"/>
    </cacheField>
    <cacheField name="RW" numFmtId="0">
      <sharedItems containsBlank="1"/>
    </cacheField>
    <cacheField name="JENIS FASILITAS" numFmtId="49">
      <sharedItems containsBlank="1" count="3">
        <s v="Pendidikan"/>
        <s v="Kesehatan"/>
        <m/>
      </sharedItems>
    </cacheField>
    <cacheField name="KATEGORI FASILITAS" numFmtId="0">
      <sharedItems containsBlank="1" count="5">
        <s v="SD"/>
        <s v="RUMAH SAKIT"/>
        <s v="PUSKESMAS"/>
        <s v="SMP"/>
        <m/>
      </sharedItems>
    </cacheField>
    <cacheField name="NAMA FASILITAS" numFmtId="0">
      <sharedItems containsBlank="1"/>
    </cacheField>
    <cacheField name="ALAMA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zakilagi" refreshedDate="45581.481855439815" refreshedVersion="8" recordCount="97" xr:uid="{00000000-000A-0000-FFFF-FFFF02000000}">
  <cacheSource type="worksheet">
    <worksheetSource ref="B1:AF98" sheet="DATA"/>
  </cacheSource>
  <cacheFields count="21">
    <cacheField name="RT" numFmtId="0">
      <sharedItems count="1">
        <s v="RT 06"/>
      </sharedItems>
    </cacheField>
    <cacheField name="RW" numFmtId="0">
      <sharedItems/>
    </cacheField>
    <cacheField name="NO KARTU KELUARGA" numFmtId="49">
      <sharedItems/>
    </cacheField>
    <cacheField name="NIK" numFmtId="49">
      <sharedItems/>
    </cacheField>
    <cacheField name="NAMA LENGKAP" numFmtId="0">
      <sharedItems/>
    </cacheField>
    <cacheField name="STATUS HUBUNGAN" numFmtId="0">
      <sharedItems containsBlank="1"/>
    </cacheField>
    <cacheField name="JENIS KELAMIN" numFmtId="0">
      <sharedItems count="2">
        <s v="LAKI-LAKI"/>
        <s v="PEREMPUAN"/>
      </sharedItems>
    </cacheField>
    <cacheField name="TEMPAT LAHIR" numFmtId="0">
      <sharedItems/>
    </cacheField>
    <cacheField name="TANGGAL LAHIR" numFmtId="0">
      <sharedItems containsSemiMixedTypes="0" containsString="0" containsNumber="1" containsInteger="1" minValue="1" maxValue="31"/>
    </cacheField>
    <cacheField name="BULAN LAHIR" numFmtId="0">
      <sharedItems containsSemiMixedTypes="0" containsString="0" containsNumber="1" containsInteger="1" minValue="1" maxValue="12"/>
    </cacheField>
    <cacheField name="TAHUN LAHIR" numFmtId="0">
      <sharedItems containsSemiMixedTypes="0" containsString="0" containsNumber="1" containsInteger="1" minValue="1945" maxValue="2020"/>
    </cacheField>
    <cacheField name="UMUR Bulan 12 Tahun 2024" numFmtId="0">
      <sharedItems containsSemiMixedTypes="0" containsString="0" containsNumber="1" containsInteger="1" minValue="4" maxValue="79"/>
    </cacheField>
    <cacheField name="TINGKAT UMUR" numFmtId="0">
      <sharedItems/>
    </cacheField>
    <cacheField name="AGAMA" numFmtId="0">
      <sharedItems count="1">
        <s v="ISLAM"/>
      </sharedItems>
    </cacheField>
    <cacheField name="PENDIDIKAN TERAKHIR" numFmtId="0">
      <sharedItems count="7">
        <s v="SLTP/SEDERAJAT"/>
        <s v="BELUM TAMAT SD/SEDERAJAT"/>
        <s v="TIDAK/BELUM SEKOLAH"/>
        <s v="TAMAT SD/SEDERAJAT"/>
        <s v="SLTA/SEDERAJAT"/>
        <s v="DIPLOMA I/II"/>
        <s v="DIV/S1"/>
      </sharedItems>
    </cacheField>
    <cacheField name="JENIS PEKERJAAN" numFmtId="0">
      <sharedItems count="9">
        <s v="WIRASWASTA"/>
        <s v="MENGURUS RUMAH TANGGA"/>
        <s v="PELAJAR/MAHASISWA"/>
        <s v="BELUM/TIDAK BEKERJA"/>
        <s v="PEDAGANG"/>
        <s v="KARYAWAN SWASTA"/>
        <s v="PEGAWAI NEGERI SIPIL (PNS)"/>
        <s v="TUKANG JAHIT"/>
        <s v="TUKANG CUKUR"/>
      </sharedItems>
    </cacheField>
    <cacheField name="PEKERJAAN (SPESIFIK)" numFmtId="0">
      <sharedItems/>
    </cacheField>
    <cacheField name="STATUS PERKAWINAN" numFmtId="0">
      <sharedItems count="5">
        <s v="KAWIN TERCATAT"/>
        <s v="BELUM KAWIN"/>
        <s v="KAWIN"/>
        <s v="CERAI HIDUP"/>
        <s v="CERAI MATI"/>
      </sharedItems>
    </cacheField>
    <cacheField name="STATUS KEPENDUDUKAN" numFmtId="0">
      <sharedItems/>
    </cacheField>
    <cacheField name="ALAMAT SESUAI KK/KTP" numFmtId="0">
      <sharedItems/>
    </cacheField>
    <cacheField name="ALAMAT TEMPAT TINGGAL SEKARA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zakilagi" refreshedDate="45581.481856134262" refreshedVersion="8" recordCount="217" xr:uid="{00000000-000A-0000-FFFF-FFFF01000000}">
  <cacheSource type="worksheet">
    <worksheetSource ref="B1:AG218" sheet="DATA"/>
  </cacheSource>
  <cacheFields count="22">
    <cacheField name="RT" numFmtId="0">
      <sharedItems/>
    </cacheField>
    <cacheField name="RW" numFmtId="0">
      <sharedItems/>
    </cacheField>
    <cacheField name="NO KARTU KELUARGA" numFmtId="49">
      <sharedItems/>
    </cacheField>
    <cacheField name="NIK" numFmtId="49">
      <sharedItems/>
    </cacheField>
    <cacheField name="NAMA LENGKAP" numFmtId="0">
      <sharedItems/>
    </cacheField>
    <cacheField name="STATUS HUBUNGAN" numFmtId="0">
      <sharedItems containsBlank="1"/>
    </cacheField>
    <cacheField name="JENIS KELAMIN" numFmtId="0">
      <sharedItems count="2">
        <s v="LAKI-LAKI"/>
        <s v="PEREMPUAN"/>
      </sharedItems>
    </cacheField>
    <cacheField name="TEMPAT LAHIR" numFmtId="0">
      <sharedItems/>
    </cacheField>
    <cacheField name="TANGGAL LAHIR" numFmtId="0">
      <sharedItems containsSemiMixedTypes="0" containsString="0" containsNumber="1" containsInteger="1" minValue="1" maxValue="31"/>
    </cacheField>
    <cacheField name="BULAN LAHIR" numFmtId="0">
      <sharedItems containsSemiMixedTypes="0" containsString="0" containsNumber="1" containsInteger="1" minValue="1" maxValue="12"/>
    </cacheField>
    <cacheField name="TAHUN LAHIR" numFmtId="0">
      <sharedItems containsSemiMixedTypes="0" containsString="0" containsNumber="1" containsInteger="1" minValue="1945" maxValue="2022"/>
    </cacheField>
    <cacheField name="UMUR Bulan 12 Tahun 2024" numFmtId="0">
      <sharedItems containsSemiMixedTypes="0" containsString="0" containsNumber="1" containsInteger="1" minValue="2" maxValue="79"/>
    </cacheField>
    <cacheField name="TINGKAT UMUR" numFmtId="0">
      <sharedItems/>
    </cacheField>
    <cacheField name="AGAMA" numFmtId="0">
      <sharedItems/>
    </cacheField>
    <cacheField name="PENDIDIKAN TERAKHIR" numFmtId="0">
      <sharedItems/>
    </cacheField>
    <cacheField name="JENIS PEKERJAAN" numFmtId="0">
      <sharedItems/>
    </cacheField>
    <cacheField name="PEKERJAAN (SPESIFIK)" numFmtId="0">
      <sharedItems/>
    </cacheField>
    <cacheField name="STATUS PERKAWINAN" numFmtId="0">
      <sharedItems/>
    </cacheField>
    <cacheField name="STATUS KEPENDUDUKAN" numFmtId="0">
      <sharedItems count="1">
        <s v="PENDUDUK TETAP"/>
      </sharedItems>
    </cacheField>
    <cacheField name="ALAMAT SESUAI KK/KTP" numFmtId="0">
      <sharedItems/>
    </cacheField>
    <cacheField name="ALAMAT TEMPAT TINGGAL SEKARANG" numFmtId="0">
      <sharedItems/>
    </cacheField>
    <cacheField name="STATUS TEMPAT TINGG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zakilagi" refreshedDate="45581.481856365739" refreshedVersion="8" recordCount="397" xr:uid="{00000000-000A-0000-FFFF-FFFF00000000}">
  <cacheSource type="worksheet">
    <worksheetSource ref="A1:AG398" sheet="DATA"/>
  </cacheSource>
  <cacheFields count="22">
    <cacheField name="RT" numFmtId="0">
      <sharedItems containsBlank="1"/>
    </cacheField>
    <cacheField name="RW" numFmtId="0">
      <sharedItems containsBlank="1"/>
    </cacheField>
    <cacheField name="NO KARTU KELUARGA" numFmtId="0">
      <sharedItems containsBlank="1"/>
    </cacheField>
    <cacheField name="NIK" numFmtId="0">
      <sharedItems containsBlank="1"/>
    </cacheField>
    <cacheField name="NAMA LENGKAP" numFmtId="0">
      <sharedItems containsBlank="1"/>
    </cacheField>
    <cacheField name="STATUS HUBUNGAN" numFmtId="0">
      <sharedItems containsBlank="1"/>
    </cacheField>
    <cacheField name="JENIS KELAMIN" numFmtId="0">
      <sharedItems containsBlank="1" count="3">
        <s v="LAKI-LAKI"/>
        <s v="PEREMPUAN"/>
        <m/>
      </sharedItems>
    </cacheField>
    <cacheField name="TEMPAT LAHIR" numFmtId="0">
      <sharedItems containsBlank="1"/>
    </cacheField>
    <cacheField name="TANGGAL LAHIR" numFmtId="0">
      <sharedItems containsString="0" containsBlank="1" containsNumber="1" containsInteger="1" minValue="1" maxValue="31"/>
    </cacheField>
    <cacheField name="BULAN LAHIR" numFmtId="0">
      <sharedItems containsString="0" containsBlank="1" containsNumber="1" containsInteger="1" minValue="1" maxValue="12"/>
    </cacheField>
    <cacheField name="TAHUN LAHIR" numFmtId="0">
      <sharedItems containsString="0" containsBlank="1" containsNumber="1" containsInteger="1" minValue="1914" maxValue="2022"/>
    </cacheField>
    <cacheField name="UMUR Bulan 12 Tahun 2024" numFmtId="0">
      <sharedItems containsString="0" containsBlank="1" containsNumber="1" containsInteger="1" minValue="2" maxValue="110"/>
    </cacheField>
    <cacheField name="TINGKAT UMUR" numFmtId="0">
      <sharedItems containsBlank="1" count="17">
        <s v="50-54 TAHUN"/>
        <s v="40-44 TAHUN"/>
        <s v="15-19 TAHUN"/>
        <s v="10-14 TAHUN"/>
        <s v="5-9 TAHUN"/>
        <s v="35-39 TAHUN"/>
        <s v="30-34 TAHUN"/>
        <s v="55-59 TAHUN"/>
        <s v="45-49 TAHUN"/>
        <s v="25-29 TAHUN"/>
        <s v="60-64 TAHUN"/>
        <s v="20-24 TAHUN"/>
        <s v="70-74 TAHUN"/>
        <s v="65-69 TAHUN"/>
        <s v="0-4 TAHUN"/>
        <s v="75+ TAHUN"/>
        <m/>
      </sharedItems>
    </cacheField>
    <cacheField name="AGAMA" numFmtId="0">
      <sharedItems containsBlank="1" count="2">
        <s v="ISLAM"/>
        <m/>
      </sharedItems>
    </cacheField>
    <cacheField name="PENDIDIKAN TERAKHIR" numFmtId="0">
      <sharedItems containsBlank="1" count="8">
        <s v="SLTP/SEDERAJAT"/>
        <s v="BELUM TAMAT SD/SEDERAJAT"/>
        <s v="TIDAK/BELUM SEKOLAH"/>
        <s v="TAMAT SD/SEDERAJAT"/>
        <s v="SLTA/SEDERAJAT"/>
        <s v="DIPLOMA I/II"/>
        <s v="DIV/S1"/>
        <m/>
      </sharedItems>
    </cacheField>
    <cacheField name="JENIS PEKERJAAN" numFmtId="0">
      <sharedItems containsBlank="1" count="17">
        <s v="WIRASWASTA"/>
        <s v="MENGURUS RUMAH TANGGA"/>
        <s v="PELAJAR/MAHASISWA"/>
        <s v="BELUM/TIDAK BEKERJA"/>
        <s v="PEDAGANG"/>
        <s v="KARYAWAN SWASTA"/>
        <s v="PEGAWAI NEGERI SIPIL (PNS)"/>
        <s v="TUKANG JAHIT"/>
        <s v="TUKANG CUKUR"/>
        <s v="BURUH HARIAN LEPAS"/>
        <s v="PETANI/PEKEBUN"/>
        <s v="KARYAWAN HONORER"/>
        <s v="BURUH TANI/PERKEBUNAN"/>
        <s v="TAMAT SD/SEDERAJAT"/>
        <s v="GURU"/>
        <s v="PENSIUNAN"/>
        <m/>
      </sharedItems>
    </cacheField>
    <cacheField name="PEKERJAAN (SPESIFIK)" numFmtId="0">
      <sharedItems containsBlank="1"/>
    </cacheField>
    <cacheField name="STATUS PERKAWINAN" numFmtId="0">
      <sharedItems containsBlank="1" count="8">
        <s v="KAWIN TERCATAT"/>
        <s v="BELUM KAWIN"/>
        <s v="KAWIN"/>
        <s v="CERAI HIDUP"/>
        <s v="CERAI MATI"/>
        <s v="CERAI HIDUP BELUM TERCATAT"/>
        <s v="KAWIN BELUM TERCATAT"/>
        <m/>
      </sharedItems>
    </cacheField>
    <cacheField name="STATUS KEPENDUDUKAN" numFmtId="0">
      <sharedItems containsBlank="1"/>
    </cacheField>
    <cacheField name="ALAMAT SESUAI KK/KTP" numFmtId="0">
      <sharedItems containsBlank="1"/>
    </cacheField>
    <cacheField name="ALAMAT TEMPAT TINGGAL SEKARANG" numFmtId="0">
      <sharedItems containsBlank="1"/>
    </cacheField>
    <cacheField name="STATUS TEMPAT TINGG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">
  <r>
    <s v="RT 02"/>
    <s v="RW 01"/>
    <x v="0"/>
    <x v="0"/>
    <s v="SD N 1"/>
    <m/>
  </r>
  <r>
    <s v="RT 02"/>
    <s v="RW 01"/>
    <x v="1"/>
    <x v="1"/>
    <s v="RUMAH SAKIT A"/>
    <m/>
  </r>
  <r>
    <s v="RT 04"/>
    <s v="RW 01"/>
    <x v="1"/>
    <x v="2"/>
    <s v="PUSKESMAS A"/>
    <m/>
  </r>
  <r>
    <s v="RT 02"/>
    <s v="RW 01"/>
    <x v="0"/>
    <x v="3"/>
    <s v="SMP N 1"/>
    <m/>
  </r>
  <r>
    <s v="RT 03"/>
    <s v="RW 01"/>
    <x v="0"/>
    <x v="0"/>
    <s v="SD N 2"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s v="RW 01"/>
    <s v="6371020511090029"/>
    <s v="6371022003740007"/>
    <s v="JUNIANSYAH"/>
    <s v="KEPALA KELUARGA"/>
    <x v="0"/>
    <s v="BANJARMASIN"/>
    <n v="20"/>
    <n v="3"/>
    <n v="1974"/>
    <n v="50"/>
    <s v="50-54 TAHUN"/>
    <x v="0"/>
    <x v="0"/>
    <x v="0"/>
    <s v="WIRASWASTA"/>
    <x v="0"/>
    <s v="PENDUDUK TETAP"/>
    <s v="JL. PEKAPURAN RAYA GG.H.M. ARSYAD"/>
    <s v="JL. PEKAPURAN RAYA GG.H.M. ARSYAD"/>
  </r>
  <r>
    <x v="0"/>
    <s v="RW 01"/>
    <s v="6371020511090029"/>
    <s v="6371026004810005"/>
    <s v="WATI"/>
    <s v="ISTRI"/>
    <x v="1"/>
    <s v="BANJARMASIN"/>
    <n v="20"/>
    <n v="4"/>
    <n v="1981"/>
    <n v="43"/>
    <s v="40-44 TAHUN"/>
    <x v="0"/>
    <x v="0"/>
    <x v="1"/>
    <s v="MENGURUS RUMAH TANGGA"/>
    <x v="0"/>
    <s v="PENDUDUK TETAP"/>
    <s v="JL. PEKAPURAN RAYA GG.H.M. ARSYAD"/>
    <s v="JL. PEKAPURAN RAYA GG.H.M. ARSYAD"/>
  </r>
  <r>
    <x v="0"/>
    <s v="RW 01"/>
    <s v="6371020511090029"/>
    <s v="6371024808070007"/>
    <s v="YUNITA"/>
    <s v="ANAK"/>
    <x v="1"/>
    <s v="BANJARMASIN"/>
    <n v="8"/>
    <n v="8"/>
    <n v="2007"/>
    <n v="17"/>
    <s v="15-19 TAHUN"/>
    <x v="0"/>
    <x v="1"/>
    <x v="2"/>
    <s v="PELAJAR/MAHASISWA"/>
    <x v="1"/>
    <s v="PENDUDUK TETAP"/>
    <s v="JL. PEKAPURAN RAYA GG.H.M. ARSYAD"/>
    <s v="JL. PEKAPURAN RAYA GG.H.M. ARSYAD"/>
  </r>
  <r>
    <x v="0"/>
    <s v="RW 01"/>
    <s v="6371020511090029"/>
    <s v="6371023008110003_x000a_"/>
    <s v="FITRIADI"/>
    <s v="ANAK"/>
    <x v="0"/>
    <s v="BANJARMASIN"/>
    <n v="30"/>
    <n v="8"/>
    <n v="2011"/>
    <n v="13"/>
    <s v="10-14 TAHUN"/>
    <x v="0"/>
    <x v="1"/>
    <x v="2"/>
    <s v="PELAJAR/MAHASISWA"/>
    <x v="1"/>
    <s v="PENDUDUK TETAP"/>
    <s v="JL. PEKAPURAN RAYA GG.H.M. ARSYAD"/>
    <s v="JL. PEKAPURAN RAYA GG.H.M. ARSYAD"/>
  </r>
  <r>
    <x v="0"/>
    <s v="RW 01"/>
    <s v="6371020511090029"/>
    <s v="6371024311180005"/>
    <s v="PUTRI NADYA"/>
    <s v="ANAK"/>
    <x v="1"/>
    <s v="BANJARMASIN"/>
    <n v="3"/>
    <n v="11"/>
    <n v="2018"/>
    <n v="6"/>
    <s v="5-9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401080455"/>
    <s v="6371010409870010"/>
    <s v="HERIAN NOOR"/>
    <s v="KEPALA KELUARGA"/>
    <x v="0"/>
    <s v="BANJARMASIN"/>
    <n v="4"/>
    <n v="9"/>
    <n v="1987"/>
    <n v="37"/>
    <s v="35-39 TAHUN"/>
    <x v="0"/>
    <x v="2"/>
    <x v="0"/>
    <s v="WIRASWASTA"/>
    <x v="2"/>
    <s v="PENDUDUK TETAP"/>
    <s v="JL. PEK. RAYA GG ALIMA"/>
    <s v="JL. PEK. RAYA GG ALIMA"/>
  </r>
  <r>
    <x v="0"/>
    <s v="RW 01"/>
    <s v="6371020401080455"/>
    <s v="6371025306940001"/>
    <s v="EVA JULIATI"/>
    <s v="ISTRI"/>
    <x v="1"/>
    <s v="BANJARMASIN"/>
    <n v="13"/>
    <n v="6"/>
    <n v="1994"/>
    <n v="30"/>
    <s v="30-34 TAHUN"/>
    <x v="0"/>
    <x v="0"/>
    <x v="1"/>
    <s v="MENGURUS RUMAH TANGGA"/>
    <x v="2"/>
    <s v="PENDUDUK TETAP"/>
    <s v="JL. PEK. RAYA GG ALIMA"/>
    <s v="JL. PEK. RAYA GG ALIMA"/>
  </r>
  <r>
    <x v="0"/>
    <s v="RW 01"/>
    <s v="6371020401080455"/>
    <s v="6371022009140003"/>
    <s v="MUHAMMAD NADIL ANNAFIS"/>
    <s v="ANAK"/>
    <x v="0"/>
    <s v="BANJARMASIN"/>
    <n v="20"/>
    <n v="9"/>
    <n v="2014"/>
    <n v="10"/>
    <s v="10-14 TAHUN"/>
    <x v="0"/>
    <x v="2"/>
    <x v="3"/>
    <s v="BELUM/TIDAK BEKERJA"/>
    <x v="1"/>
    <s v="PENDUDUK TETAP"/>
    <s v="JL. PEK. RAYA GG ALIMA"/>
    <s v="JL. PEK. RAYA GG ALIMA"/>
  </r>
  <r>
    <x v="0"/>
    <s v="RW 01"/>
    <s v="6371020401080455"/>
    <s v="6371024212650003"/>
    <s v="ROHANI,HJ"/>
    <s v="FAMILI LAIN"/>
    <x v="1"/>
    <s v="BANJARMASIN"/>
    <n v="2"/>
    <n v="12"/>
    <n v="1965"/>
    <n v="59"/>
    <s v="55-59 TAHUN"/>
    <x v="0"/>
    <x v="0"/>
    <x v="1"/>
    <s v="MENGURUS RUMAH TANGGA"/>
    <x v="3"/>
    <s v="PENDUDUK TETAP"/>
    <s v="JL. PEK. RAYA GG ALIMA"/>
    <s v="JL. PEK. RAYA GG ALIMA"/>
  </r>
  <r>
    <x v="0"/>
    <s v="RW 01"/>
    <s v="6371020101080163"/>
    <s v="6371020102760008"/>
    <s v="MASTURI"/>
    <s v="KEPALA KELUARGA"/>
    <x v="0"/>
    <s v="BANGKALAN"/>
    <n v="1"/>
    <n v="2"/>
    <n v="1976"/>
    <n v="48"/>
    <s v="45-49 TAHUN"/>
    <x v="0"/>
    <x v="3"/>
    <x v="4"/>
    <s v="PEDAGANG"/>
    <x v="4"/>
    <s v="PENDUDUK TETAP"/>
    <s v="JL. PEKAPURAN RAYA GG. A. LIMA"/>
    <s v="JL. PEKAPURAN RAYA GG. A. LIMA"/>
  </r>
  <r>
    <x v="0"/>
    <s v="RW 01"/>
    <s v="6371020101080163"/>
    <s v="6371025204990003"/>
    <s v="NURHALIMAH"/>
    <s v="ISTRI"/>
    <x v="1"/>
    <s v="BANJARMASIN"/>
    <n v="12"/>
    <n v="4"/>
    <n v="1999"/>
    <n v="25"/>
    <s v="25-29 TAHUN"/>
    <x v="0"/>
    <x v="1"/>
    <x v="2"/>
    <s v="PELAJAR/MAHASISWA"/>
    <x v="1"/>
    <s v="PENDUDUK TETAP"/>
    <s v="JL. PEKAPURAN RAYA GG. A. LIMA"/>
    <s v="JL. PEKAPURAN RAYA GG. A. LIMA"/>
  </r>
  <r>
    <x v="0"/>
    <s v="RW 01"/>
    <s v="6371020101080163"/>
    <s v="6371020305050002"/>
    <s v="ADAM"/>
    <s v="ANAK"/>
    <x v="0"/>
    <s v="BANJARMASIN"/>
    <n v="3"/>
    <n v="5"/>
    <n v="2005"/>
    <n v="19"/>
    <s v="15-19 TAHUN"/>
    <x v="0"/>
    <x v="2"/>
    <x v="3"/>
    <s v="BELUM/TIDAK BEKERJA"/>
    <x v="1"/>
    <s v="PENDUDUK TETAP"/>
    <s v="JL. PEKAPURAN RAYA GG. A. LIMA"/>
    <s v="JL. PEKAPURAN RAYA GG. A. LIMA"/>
  </r>
  <r>
    <x v="0"/>
    <s v="RW 01"/>
    <s v="6371020501080781"/>
    <s v="6371023112620039"/>
    <s v="SYAMSUDIN"/>
    <s v="KEPALA KELUARGA"/>
    <x v="0"/>
    <s v="BANGKALAN"/>
    <n v="31"/>
    <n v="12"/>
    <n v="1962"/>
    <n v="62"/>
    <s v="60-64 TAHUN"/>
    <x v="0"/>
    <x v="3"/>
    <x v="0"/>
    <s v="WIRASWASTA"/>
    <x v="2"/>
    <s v="PENDUDUK TETAP"/>
    <s v="JL. PEKAPURAN RAYA GG.H.M. ARSYAD"/>
    <s v="JL. PEKAPURAN RAYA GG.H.M. ARSYAD"/>
  </r>
  <r>
    <x v="0"/>
    <s v="RW 01"/>
    <s v="6371020501080781"/>
    <s v="6371027112670026"/>
    <s v="JAINAH"/>
    <s v="ISTRI"/>
    <x v="1"/>
    <s v="BANJARMASIN"/>
    <n v="31"/>
    <n v="12"/>
    <n v="1967"/>
    <n v="57"/>
    <s v="55-59 TAHUN"/>
    <x v="0"/>
    <x v="0"/>
    <x v="1"/>
    <s v="MENGURUS RUMAH TANGGA"/>
    <x v="2"/>
    <s v="PENDUDUK TETAP"/>
    <s v="JL. PEKAPURAN RAYA GG.H.M. ARSYAD"/>
    <s v="JL. PEKAPURAN RAYA GG.H.M. ARSYAD"/>
  </r>
  <r>
    <x v="0"/>
    <s v="RW 01"/>
    <s v="6371020501080781"/>
    <s v="6371023112870007"/>
    <s v="ZULKIPLI"/>
    <s v="ANAK"/>
    <x v="0"/>
    <s v="BANJARMASIN"/>
    <n v="25"/>
    <n v="3"/>
    <n v="1987"/>
    <n v="37"/>
    <s v="35-39 TAHUN"/>
    <x v="0"/>
    <x v="0"/>
    <x v="2"/>
    <s v="PELAJAR/MAHASISWA"/>
    <x v="1"/>
    <s v="PENDUDUK TETAP"/>
    <s v="JL. PEKAPURAN RAYA GG.H.M. ARSYAD"/>
    <s v="JL. PEKAPURAN RAYA GG.H.M. ARSYAD"/>
  </r>
  <r>
    <x v="0"/>
    <s v="RW 01"/>
    <s v="6371020501080781"/>
    <s v="6371020108970011"/>
    <s v="DULHADI"/>
    <s v="ANAK"/>
    <x v="0"/>
    <s v="BANJARMASIN"/>
    <n v="1"/>
    <n v="8"/>
    <n v="1997"/>
    <n v="27"/>
    <s v="25-29 TAHUN"/>
    <x v="0"/>
    <x v="3"/>
    <x v="2"/>
    <s v="PELAJAR/MAHASISWA"/>
    <x v="1"/>
    <s v="PENDUDUK TETAP"/>
    <s v="JL. PEKAPURAN RAYA GG.H.M. ARSYAD"/>
    <s v="JL. PEKAPURAN RAYA GG.H.M. ARSYAD"/>
  </r>
  <r>
    <x v="0"/>
    <s v="RW 01"/>
    <s v="6371022205170005"/>
    <s v="6371027010820006"/>
    <s v="MASNAH"/>
    <s v="KEPALA KELUARGA"/>
    <x v="1"/>
    <s v="BANJARMASIN"/>
    <n v="30"/>
    <n v="10"/>
    <n v="1982"/>
    <n v="42"/>
    <s v="40-44 TAHUN"/>
    <x v="0"/>
    <x v="3"/>
    <x v="1"/>
    <s v="MENGURUS RUMAH TANGGA"/>
    <x v="3"/>
    <s v="PENDUDUK TETAP"/>
    <s v="JL. PEK. RAYA GG ALIMA"/>
    <s v="JL. PEK. RAYA GG ALIMA"/>
  </r>
  <r>
    <x v="0"/>
    <s v="RW 01"/>
    <s v="6371022205170005"/>
    <s v="6371025211910003"/>
    <s v="NORJENAH"/>
    <s v="ISTRI"/>
    <x v="1"/>
    <s v="BANJARMASIN"/>
    <n v="12"/>
    <n v="11"/>
    <n v="1991"/>
    <n v="33"/>
    <s v="30-34 TAHUN"/>
    <x v="0"/>
    <x v="3"/>
    <x v="4"/>
    <s v="PEDAGANG"/>
    <x v="2"/>
    <s v="PENDUDUK TETAP"/>
    <s v="JL. PEK. RAYA GG ALIMA"/>
    <s v="JL. PEK. RAYA GG ALIMA"/>
  </r>
  <r>
    <x v="0"/>
    <s v="RW 01"/>
    <s v="6371022205170005"/>
    <s v="6371022701040003"/>
    <s v="AHMAD RASI"/>
    <s v="ANAK"/>
    <x v="0"/>
    <s v="BANJARMASIN"/>
    <n v="27"/>
    <n v="1"/>
    <n v="2004"/>
    <n v="20"/>
    <s v="20-24 TAHUN"/>
    <x v="0"/>
    <x v="1"/>
    <x v="2"/>
    <s v="PELAJAR/MAHASISWA"/>
    <x v="1"/>
    <s v="PENDUDUK TETAP"/>
    <s v="JL. PEK. RAYA GG ALIMA"/>
    <s v="JL. PEK. RAYA GG ALIMA"/>
  </r>
  <r>
    <x v="0"/>
    <s v="RW 01"/>
    <s v="6371022205170005"/>
    <s v="6371021503080002"/>
    <s v="RAHMAN ALI"/>
    <s v="ANAK"/>
    <x v="0"/>
    <s v="BANJARMASIN"/>
    <n v="15"/>
    <n v="3"/>
    <n v="2008"/>
    <n v="16"/>
    <s v="15-19 TAHUN"/>
    <x v="0"/>
    <x v="2"/>
    <x v="3"/>
    <s v="BELUM/TIDAK BEKERJA"/>
    <x v="1"/>
    <s v="PENDUDUK TETAP"/>
    <s v="JL. PEK. RAYA GG ALIMA"/>
    <s v="JL. PEK. RAYA GG ALIMA"/>
  </r>
  <r>
    <x v="0"/>
    <s v="RW 01"/>
    <s v="6371022205170005"/>
    <s v="6371021706900004"/>
    <s v="SAMIUN"/>
    <s v="FAMILI LAIN"/>
    <x v="0"/>
    <s v="MADURA"/>
    <n v="17"/>
    <n v="6"/>
    <n v="1990"/>
    <n v="34"/>
    <s v="30-34 TAHUN"/>
    <x v="0"/>
    <x v="3"/>
    <x v="4"/>
    <s v="PEDAGANG"/>
    <x v="1"/>
    <s v="PENDUDUK TETAP"/>
    <s v="JL. PEK. RAYA GG ALIMA"/>
    <s v="JL. PEK. RAYA GG ALIMA"/>
  </r>
  <r>
    <x v="0"/>
    <s v="RW 01"/>
    <s v="6371020501080806"/>
    <s v="6371021807540001"/>
    <s v="M. SIRAJUDDIN HASAN, H"/>
    <s v="KEPALA KELUARGA"/>
    <x v="0"/>
    <s v="NEGARA"/>
    <n v="18"/>
    <n v="7"/>
    <n v="1954"/>
    <n v="70"/>
    <s v="70-74 TAHUN"/>
    <x v="0"/>
    <x v="4"/>
    <x v="4"/>
    <s v="PEDAGANG"/>
    <x v="2"/>
    <s v="PENDUDUK TETAP"/>
    <s v="JL. PEK. RAYA GG ALIMA NO.28"/>
    <s v="JL. PEK. RAYA GG ALIMA NO.28"/>
  </r>
  <r>
    <x v="0"/>
    <s v="RW 01"/>
    <s v="6371020501080806"/>
    <s v="6371024202560005"/>
    <s v="ARBAYAH, HJ"/>
    <s v="ISTRI"/>
    <x v="1"/>
    <s v="BANJARMASIN"/>
    <n v="2"/>
    <n v="2"/>
    <n v="1955"/>
    <n v="69"/>
    <s v="65-69 TAHUN"/>
    <x v="0"/>
    <x v="3"/>
    <x v="1"/>
    <s v="MENGURUS RUMAH TANGGA"/>
    <x v="2"/>
    <s v="PENDUDUK TETAP"/>
    <s v="JL. PEK. RAYA GG ALIMA NO.29"/>
    <s v="JL. PEK. RAYA GG ALIMA NO.29"/>
  </r>
  <r>
    <x v="0"/>
    <s v="RW 01"/>
    <s v="6371020501080806"/>
    <s v="6371020606860006"/>
    <s v="MISBAHUL MUNIR"/>
    <s v="ANAK"/>
    <x v="0"/>
    <s v="BANJARMASIN"/>
    <n v="11"/>
    <n v="5"/>
    <n v="1986"/>
    <n v="38"/>
    <s v="35-39 TAHUN"/>
    <x v="0"/>
    <x v="4"/>
    <x v="4"/>
    <s v="PEDAGANG"/>
    <x v="1"/>
    <s v="PENDUDUK TETAP"/>
    <s v="JL. PEK. RAYA GG ALIMA NO.30"/>
    <s v="JL. PEK. RAYA GG ALIMA NO.30"/>
  </r>
  <r>
    <x v="0"/>
    <s v="RW 01"/>
    <s v="6371020501080806"/>
    <s v="6371020902920004"/>
    <s v="ABDULLAH SAHLY"/>
    <m/>
    <x v="0"/>
    <s v="BANJARMASIN"/>
    <n v="9"/>
    <n v="2"/>
    <n v="1992"/>
    <n v="32"/>
    <s v="30-34 TAHUN"/>
    <x v="0"/>
    <x v="4"/>
    <x v="2"/>
    <s v="PELAJAR/MAHASISWA"/>
    <x v="1"/>
    <s v="PENDUDUK TETAP"/>
    <s v="JL. PEK. RAYA GG ALIMA NO.31"/>
    <s v="JL. PEK. RAYA GG ALIMA NO.31"/>
  </r>
  <r>
    <x v="0"/>
    <s v="RW 01"/>
    <s v="6371020107820353"/>
    <s v="6371020107820353"/>
    <s v="SYAMSUDIN"/>
    <s v="KEPALA KELUARGA"/>
    <x v="0"/>
    <s v="BANJARMASIN"/>
    <n v="3"/>
    <n v="10"/>
    <n v="1995"/>
    <n v="29"/>
    <s v="25-29 TAHUN"/>
    <x v="0"/>
    <x v="0"/>
    <x v="0"/>
    <s v="WIRASWASTA"/>
    <x v="0"/>
    <s v="PENDUDUK TETAP"/>
    <s v="JL. PEK. RAYA GG ALIMA"/>
    <s v="JL. PEK. RAYA GG ALIMA"/>
  </r>
  <r>
    <x v="0"/>
    <s v="RW 01"/>
    <s v="6371020107820353"/>
    <s v="3526176202000004"/>
    <s v="JUM’ATI"/>
    <s v="ISTRI"/>
    <x v="1"/>
    <s v="BANGKALAN"/>
    <n v="22"/>
    <n v="2"/>
    <n v="2000"/>
    <n v="24"/>
    <s v="20-24 TAHUN"/>
    <x v="0"/>
    <x v="3"/>
    <x v="1"/>
    <s v="MENGURUS RUMAH TANGGA"/>
    <x v="0"/>
    <s v="PENDUDUK TETAP"/>
    <s v="JL. PEK. RAYA GG ALIMA"/>
    <s v="JL. PEK. RAYA GG ALIMA"/>
  </r>
  <r>
    <x v="0"/>
    <s v="RW 01"/>
    <s v="6371020107820353"/>
    <s v="6371022309190002"/>
    <s v="MUHAMMAD HAFIZD"/>
    <s v="ANAK"/>
    <x v="0"/>
    <s v="BANJARMASIN"/>
    <n v="23"/>
    <n v="9"/>
    <n v="2019"/>
    <n v="5"/>
    <s v="5-9 TAHUN"/>
    <x v="0"/>
    <x v="2"/>
    <x v="3"/>
    <s v="BELUM/TIDAK BEKERJA"/>
    <x v="1"/>
    <s v="PENDUDUK TETAP"/>
    <s v="JL. PEK. RAYA GG ALIMA"/>
    <s v="JL. PEK. RAYA GG ALIMA"/>
  </r>
  <r>
    <x v="0"/>
    <s v="RW 01"/>
    <s v="6371020502150006"/>
    <s v="6371020508850010"/>
    <s v="DAYAT"/>
    <s v="KEPALA KELUARGA"/>
    <x v="0"/>
    <s v="BANJARMASIN"/>
    <n v="1"/>
    <n v="5"/>
    <n v="1983"/>
    <n v="41"/>
    <s v="40-44 TAHUN"/>
    <x v="0"/>
    <x v="3"/>
    <x v="0"/>
    <s v="WIRASWASTA"/>
    <x v="0"/>
    <s v="PENDUDUK TETAP"/>
    <s v="JL. PEKAPURAN RAYA GG. ALIMA"/>
    <s v="JL. PEKAPURAN RAYA GG. ALIMA"/>
  </r>
  <r>
    <x v="0"/>
    <s v="RW 01"/>
    <s v="6371020502150006"/>
    <s v="6371026604890005"/>
    <s v="MUTIARA"/>
    <s v="ISTRI"/>
    <x v="1"/>
    <s v="BANJARMASIN"/>
    <n v="26"/>
    <n v="4"/>
    <n v="1989"/>
    <n v="35"/>
    <s v="35-39 TAHUN"/>
    <x v="0"/>
    <x v="0"/>
    <x v="1"/>
    <s v="MENGURUS RUMAH TANGGA"/>
    <x v="0"/>
    <s v="PENDUDUK TETAP"/>
    <s v="JL. PEKAPURAN RAYA GG. ALIMA"/>
    <s v="JL. PEKAPURAN RAYA GG. ALIMA"/>
  </r>
  <r>
    <x v="0"/>
    <s v="RW 01"/>
    <s v="6371020502150006"/>
    <s v="6371025210080003"/>
    <s v="SASKIA"/>
    <s v="ANAK"/>
    <x v="1"/>
    <s v="BANJARMASIN"/>
    <n v="12"/>
    <n v="10"/>
    <n v="2008"/>
    <n v="16"/>
    <s v="15-19 TAHUN"/>
    <x v="0"/>
    <x v="1"/>
    <x v="2"/>
    <s v="PELAJAR/MAHASISWA"/>
    <x v="1"/>
    <s v="PENDUDUK TETAP"/>
    <s v="JL. PEKAPURAN RAYA GG. ALIMA"/>
    <s v="JL. PEKAPURAN RAYA GG. ALIMA"/>
  </r>
  <r>
    <x v="0"/>
    <s v="RW 01"/>
    <s v="6371020502150006"/>
    <s v="6371025105150003"/>
    <s v="SAFIA"/>
    <s v="ANAK"/>
    <x v="1"/>
    <s v="BANJARMASIN"/>
    <n v="11"/>
    <n v="5"/>
    <n v="2015"/>
    <n v="9"/>
    <s v="5-9 TAHUN"/>
    <x v="0"/>
    <x v="2"/>
    <x v="3"/>
    <s v="BELUM/TIDAK BEKERJA"/>
    <x v="1"/>
    <s v="PENDUDUK TETAP"/>
    <s v="JL. PEKAPURAN RAYA GG. ALIMA"/>
    <s v="JL. PEKAPURAN RAYA GG. ALIMA"/>
  </r>
  <r>
    <x v="0"/>
    <s v="RW 01"/>
    <s v="6371020502150006"/>
    <s v="6371021511160005"/>
    <s v="MUHAMMAD FAHRI"/>
    <s v="ANAK"/>
    <x v="0"/>
    <s v="BANJARMASIN"/>
    <n v="15"/>
    <n v="11"/>
    <n v="2018"/>
    <n v="6"/>
    <s v="5-9 TAHUN"/>
    <x v="0"/>
    <x v="2"/>
    <x v="3"/>
    <s v="BELUM/TIDAK BEKERJA"/>
    <x v="1"/>
    <s v="PENDUDUK TETAP"/>
    <s v="JL. PEKAPURAN RAYA GG. ALIMA"/>
    <s v="JL. PEKAPURAN RAYA GG. ALIMA"/>
  </r>
  <r>
    <x v="0"/>
    <s v="RW 01"/>
    <s v="6371020502150006"/>
    <s v="6371020807190001"/>
    <s v="MUHAMMAD AMIN"/>
    <s v="ANAK"/>
    <x v="0"/>
    <s v="BANJARMASIN"/>
    <n v="8"/>
    <n v="7"/>
    <n v="2019"/>
    <n v="5"/>
    <s v="5-9 TAHUN"/>
    <x v="0"/>
    <x v="2"/>
    <x v="3"/>
    <s v="BELUM/TIDAK BEKERJA"/>
    <x v="1"/>
    <s v="PENDUDUK TETAP"/>
    <s v="JL. PEKAPURAN RAYA GG. ALIMA"/>
    <s v="JL. PEKAPURAN RAYA GG. ALIMA"/>
  </r>
  <r>
    <x v="0"/>
    <s v="RW 01"/>
    <s v="6371021301080289"/>
    <s v="6371021304750003"/>
    <s v="MULKANI"/>
    <s v="KEPALA KELUARGA"/>
    <x v="0"/>
    <s v="TAPIN"/>
    <n v="12"/>
    <n v="4"/>
    <n v="1975"/>
    <n v="49"/>
    <s v="45-49 TAHUN"/>
    <x v="0"/>
    <x v="0"/>
    <x v="0"/>
    <s v="WIRASWASTA"/>
    <x v="2"/>
    <s v="PENDUDUK TETAP"/>
    <s v="JL. PEKAPURAN RAYA GG.H.M. ARSYAD"/>
    <s v="JL. PEKAPURAN RAYA GG.H.M. ARSYAD"/>
  </r>
  <r>
    <x v="0"/>
    <s v="RW 01"/>
    <s v="6371021301080289"/>
    <s v="6371025505800012"/>
    <s v="HANIFAH"/>
    <s v="ISTRI"/>
    <x v="1"/>
    <s v="BANJARMASIN"/>
    <n v="15"/>
    <n v="5"/>
    <n v="1980"/>
    <n v="44"/>
    <s v="40-44 TAHUN"/>
    <x v="0"/>
    <x v="0"/>
    <x v="1"/>
    <s v="MENGURUS RUMAH TANGGA"/>
    <x v="2"/>
    <s v="PENDUDUK TETAP"/>
    <s v="JL. PEKAPURAN RAYA GG.H.M. ARSYAD"/>
    <s v="JL. PEKAPURAN RAYA GG.H.M. ARSYAD"/>
  </r>
  <r>
    <x v="0"/>
    <s v="RW 01"/>
    <s v="6371021301080289"/>
    <s v="6371034312030002"/>
    <s v="HANINDA"/>
    <s v="ANAK"/>
    <x v="1"/>
    <s v="BANJARMASIN"/>
    <n v="2"/>
    <n v="12"/>
    <n v="2003"/>
    <n v="21"/>
    <s v="20-24 TAHUN"/>
    <x v="0"/>
    <x v="1"/>
    <x v="2"/>
    <s v="PELAJAR/MAHASISWA"/>
    <x v="1"/>
    <s v="PENDUDUK TETAP"/>
    <s v="JL. PEKAPURAN RAYA GG.H.M. ARSYAD"/>
    <s v="JL. PEKAPURAN RAYA GG.H.M. ARSYAD"/>
  </r>
  <r>
    <x v="0"/>
    <s v="RW 01"/>
    <s v="6371021301080289"/>
    <s v="6371025505060003"/>
    <s v="NORHAYATI"/>
    <s v="ANAK"/>
    <x v="1"/>
    <s v="BANJARMASIN"/>
    <n v="15"/>
    <n v="8"/>
    <n v="2005"/>
    <n v="19"/>
    <s v="15-19 TAHUN"/>
    <x v="0"/>
    <x v="1"/>
    <x v="2"/>
    <s v="PELAJAR/MAHASISWA"/>
    <x v="1"/>
    <s v="PENDUDUK TETAP"/>
    <s v="JL. PEKAPURAN RAYA GG.H.M. ARSYAD"/>
    <s v="JL. PEKAPURAN RAYA GG.H.M. ARSYAD"/>
  </r>
  <r>
    <x v="0"/>
    <s v="RW 01"/>
    <s v="6371021301080289"/>
    <s v="6371028203140002"/>
    <s v="MUHAMMAD ALI"/>
    <s v="ANAK"/>
    <x v="0"/>
    <s v="BANJARMASIN"/>
    <n v="2"/>
    <n v="3"/>
    <n v="2014"/>
    <n v="10"/>
    <s v="10-14 TAHUN"/>
    <x v="0"/>
    <x v="1"/>
    <x v="3"/>
    <s v="BELUM/TIDAK BEKERJA"/>
    <x v="1"/>
    <s v="PENDUDUK TETAP"/>
    <s v="JL. PEKAPURAN RAYA GG.H.M. ARSYAD"/>
    <s v="JL. PEKAPURAN RAYA GG.H.M. ARSYAD"/>
  </r>
  <r>
    <x v="0"/>
    <s v="RW 01"/>
    <s v="6371021405080002"/>
    <s v="6371021011700020"/>
    <s v="JOHAN ARIFIN"/>
    <s v="KEPALA KELUARGA"/>
    <x v="0"/>
    <s v="BANJARMASIN"/>
    <n v="10"/>
    <n v="11"/>
    <n v="1970"/>
    <n v="54"/>
    <s v="50-54 TAHUN"/>
    <x v="0"/>
    <x v="4"/>
    <x v="0"/>
    <s v="WIRASWASTA"/>
    <x v="2"/>
    <s v="PENDUDUK TETAP"/>
    <s v="JL. PEKAPURAN RAYA NO. 76"/>
    <s v="JL. PEKAPURAN RAYA NO. 76"/>
  </r>
  <r>
    <x v="0"/>
    <s v="RW 01"/>
    <s v="6371021405080002"/>
    <s v="6371025306740005"/>
    <s v="ASIAH"/>
    <s v="ISTRI"/>
    <x v="1"/>
    <s v="BANJARMASIN"/>
    <n v="13"/>
    <n v="6"/>
    <n v="1974"/>
    <n v="50"/>
    <s v="50-54 TAHUN"/>
    <x v="0"/>
    <x v="0"/>
    <x v="1"/>
    <s v="MENGURUS RUMAH TANGGA"/>
    <x v="2"/>
    <s v="PENDUDUK TETAP"/>
    <s v="JL. PEKAPURAN RAYA NO. 77"/>
    <s v="JL. PEKAPURAN RAYA NO. 77"/>
  </r>
  <r>
    <x v="0"/>
    <s v="RW 01"/>
    <s v="6371021405080002"/>
    <s v="6371027010940004"/>
    <s v="LILY HERAWATI"/>
    <s v="ANAK"/>
    <x v="1"/>
    <s v="BANJARMASIN"/>
    <n v="30"/>
    <n v="10"/>
    <n v="1994"/>
    <n v="30"/>
    <s v="30-34 TAHUN"/>
    <x v="0"/>
    <x v="0"/>
    <x v="2"/>
    <s v="PELAJAR/MAHASISWA"/>
    <x v="1"/>
    <s v="PENDUDUK TETAP"/>
    <s v="JL. PEKAPURAN RAYA NO. 78"/>
    <s v="JL. PEKAPURAN RAYA NO. 78"/>
  </r>
  <r>
    <x v="0"/>
    <s v="RW 01"/>
    <s v="6371021405080002"/>
    <s v="6371020710970008"/>
    <s v="IWAN RIGANI"/>
    <s v="ANAK"/>
    <x v="0"/>
    <s v="BANJARMASIN"/>
    <n v="7"/>
    <n v="10"/>
    <n v="1997"/>
    <n v="27"/>
    <s v="25-29 TAHUN"/>
    <x v="0"/>
    <x v="3"/>
    <x v="2"/>
    <s v="PELAJAR/MAHASISWA"/>
    <x v="1"/>
    <s v="PENDUDUK TETAP"/>
    <s v="JL. PEKAPURAN RAYA NO. 79"/>
    <s v="JL. PEKAPURAN RAYA NO. 79"/>
  </r>
  <r>
    <x v="0"/>
    <s v="RW 01"/>
    <s v="6371021405080002"/>
    <s v="6371026309030003"/>
    <s v="AISYAH SALSABELA"/>
    <s v="ANAK"/>
    <x v="1"/>
    <s v="BANJARMASIN"/>
    <n v="23"/>
    <n v="9"/>
    <n v="2003"/>
    <n v="21"/>
    <s v="20-24 TAHUN"/>
    <x v="0"/>
    <x v="1"/>
    <x v="2"/>
    <s v="PELAJAR/MAHASISWA"/>
    <x v="1"/>
    <s v="PENDUDUK TETAP"/>
    <s v="JL. PEKAPURAN RAYA NO. 80"/>
    <s v="JL. PEKAPURAN RAYA NO. 80"/>
  </r>
  <r>
    <x v="0"/>
    <s v="RW 01"/>
    <s v="6371021405080002"/>
    <s v="6371024603060003"/>
    <s v="LENY ARIYANI"/>
    <s v="ANAK"/>
    <x v="1"/>
    <s v="BANJARMASIN"/>
    <n v="6"/>
    <n v="3"/>
    <n v="2006"/>
    <n v="18"/>
    <s v="15-19 TAHUN"/>
    <x v="0"/>
    <x v="2"/>
    <x v="3"/>
    <s v="BELUM/TIDAK BEKERJA"/>
    <x v="1"/>
    <s v="PENDUDUK TETAP"/>
    <s v="JL. PEKAPURAN RAYA NO. 81"/>
    <s v="JL. PEKAPURAN RAYA NO. 81"/>
  </r>
  <r>
    <x v="0"/>
    <s v="RW 01"/>
    <s v="6371021405080002"/>
    <s v="6371021405130004"/>
    <s v="M. MAULANA SAPUTRA"/>
    <s v="ANAK"/>
    <x v="0"/>
    <s v="BANJARMASIN"/>
    <n v="14"/>
    <n v="5"/>
    <n v="2013"/>
    <n v="11"/>
    <s v="10-14 TAHUN"/>
    <x v="0"/>
    <x v="2"/>
    <x v="3"/>
    <s v="BELUM/TIDAK BEKERJA"/>
    <x v="1"/>
    <s v="PENDUDUK TETAP"/>
    <s v="JL. PEKAPURAN RAYA NO. 82"/>
    <s v="JL. PEKAPURAN RAYA NO. 82"/>
  </r>
  <r>
    <x v="0"/>
    <s v="RW 01"/>
    <s v="6371021704180005"/>
    <s v="6371020705940008"/>
    <s v="SUHADI"/>
    <s v="KEPALA KELUARGA"/>
    <x v="0"/>
    <s v="BANJARMASIN"/>
    <n v="7"/>
    <n v="5"/>
    <n v="1994"/>
    <n v="30"/>
    <s v="30-34 TAHUN"/>
    <x v="0"/>
    <x v="3"/>
    <x v="0"/>
    <s v="WIRASWASTA"/>
    <x v="0"/>
    <s v="PENDUDUK TETAP"/>
    <s v="JL. PEKAPURAN RAYA GG.H.M. ARSYAD"/>
    <s v="JL. PEKAPURAN RAYA GG.H.M. ARSYAD"/>
  </r>
  <r>
    <x v="0"/>
    <s v="RW 01"/>
    <s v="6371021704180005"/>
    <s v="6371055308980002"/>
    <s v="SELVIANI"/>
    <s v="ISTRI"/>
    <x v="1"/>
    <s v="BANJARMASIN"/>
    <n v="13"/>
    <n v="8"/>
    <n v="1998"/>
    <n v="26"/>
    <s v="25-29 TAHUN"/>
    <x v="0"/>
    <x v="3"/>
    <x v="1"/>
    <s v="MENGURUS RUMAH TANGGA"/>
    <x v="0"/>
    <s v="PENDUDUK TETAP"/>
    <s v="JL. PEKAPURAN RAYA GG.H.M. ARSYAD"/>
    <s v="JL. PEKAPURAN RAYA GG.H.M. ARSYAD"/>
  </r>
  <r>
    <x v="0"/>
    <s v="RW 01"/>
    <s v="6371021704180005"/>
    <s v="6371026512200001"/>
    <s v="NAIRA ARSYILA"/>
    <s v="ANAK"/>
    <x v="1"/>
    <s v="BANJARMASIN"/>
    <n v="25"/>
    <n v="12"/>
    <n v="2020"/>
    <n v="4"/>
    <s v="0-4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1904100005"/>
    <s v="6371020107780652"/>
    <s v="ABDUL WACHID"/>
    <s v="ANAK"/>
    <x v="0"/>
    <s v="PALANGKARAYA"/>
    <n v="1"/>
    <n v="7"/>
    <n v="1978"/>
    <n v="46"/>
    <s v="45-49 TAHUN"/>
    <x v="0"/>
    <x v="3"/>
    <x v="0"/>
    <s v="WIRASWASTA"/>
    <x v="0"/>
    <s v="PENDUDUK TETAP"/>
    <s v="JL. PEKAPURAN RAYA GG.H.M. ARSYAD"/>
    <s v="JL. PEKAPURAN RAYA GG.H.M. ARSYAD"/>
  </r>
  <r>
    <x v="0"/>
    <s v="RW 01"/>
    <s v="6371021904100005"/>
    <s v="3526105912800002"/>
    <s v="SUMA"/>
    <s v="ANAK"/>
    <x v="1"/>
    <s v="BANGKALAN"/>
    <n v="19"/>
    <n v="12"/>
    <n v="1980"/>
    <n v="44"/>
    <s v="40-44 TAHUN"/>
    <x v="0"/>
    <x v="3"/>
    <x v="1"/>
    <s v="MENGURUS RUMAH TANGGA"/>
    <x v="0"/>
    <s v="PENDUDUK TETAP"/>
    <s v="JL. PEKAPURAN RAYA GG.H.M. ARSYAD"/>
    <s v="JL. PEKAPURAN RAYA GG.H.M. ARSYAD"/>
  </r>
  <r>
    <x v="0"/>
    <s v="RW 01"/>
    <s v="6371021904100005"/>
    <s v="6371026303060006"/>
    <s v="SALWATUL AFIFAH"/>
    <s v="ANAK"/>
    <x v="1"/>
    <s v="BANJARMASIN"/>
    <n v="23"/>
    <n v="3"/>
    <n v="2006"/>
    <n v="18"/>
    <s v="15-19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1904100005"/>
    <s v="6371027004190002"/>
    <s v="SITI FATIMATUZ ZAHRO"/>
    <s v="ANAK"/>
    <x v="1"/>
    <s v="BANJARMASIN"/>
    <n v="30"/>
    <n v="4"/>
    <n v="2019"/>
    <n v="5"/>
    <s v="5-9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2504190004"/>
    <s v="6371020408840002"/>
    <s v="AHMAD KUSASI"/>
    <s v="KEPALA KELUARGA"/>
    <x v="0"/>
    <s v="BANJARMASIN"/>
    <n v="4"/>
    <n v="8"/>
    <n v="1984"/>
    <n v="40"/>
    <s v="40-44 TAHUN"/>
    <x v="0"/>
    <x v="4"/>
    <x v="5"/>
    <s v="KARYAWAN SWASTA"/>
    <x v="0"/>
    <s v="PENDUDUK TETAP"/>
    <s v="JL. PEKAPURAN RAYA"/>
    <s v="JL. PEKAPURAN RAYA"/>
  </r>
  <r>
    <x v="0"/>
    <s v="RW 01"/>
    <s v="6371022504190004"/>
    <s v="6371025804870001"/>
    <s v="MAYA DWINTA SARI"/>
    <s v="ISTRI"/>
    <x v="1"/>
    <s v="BANJARMASIN"/>
    <n v="18"/>
    <n v="4"/>
    <n v="1987"/>
    <n v="37"/>
    <s v="35-39 TAHUN"/>
    <x v="0"/>
    <x v="4"/>
    <x v="1"/>
    <s v="MENGURUS RUMAH TANGGA"/>
    <x v="0"/>
    <s v="PENDUDUK TETAP"/>
    <s v="JL. PEKAPURAN RAYA"/>
    <s v="JL. PEKAPURAN RAYA"/>
  </r>
  <r>
    <x v="0"/>
    <s v="RW 01"/>
    <s v="6371020501080228"/>
    <s v="6371020106720008"/>
    <s v="SAPRI"/>
    <s v="KEPALA KELUARGA"/>
    <x v="0"/>
    <s v="PALANGKARAYA"/>
    <n v="1"/>
    <n v="6"/>
    <n v="1972"/>
    <n v="52"/>
    <s v="50-54 TAHUN"/>
    <x v="0"/>
    <x v="4"/>
    <x v="0"/>
    <s v="WIRASWASTA"/>
    <x v="2"/>
    <s v="PENDUDUK TETAP"/>
    <s v="JL. PEKAPURAN RAYA"/>
    <s v="JL. PEKAPURAN RAYA"/>
  </r>
  <r>
    <x v="0"/>
    <s v="RW 01"/>
    <s v="6371020501080228"/>
    <s v="6371025810750003"/>
    <s v="KIPTIYAH"/>
    <s v="ISTRI"/>
    <x v="1"/>
    <s v="PALANGKARAYA"/>
    <n v="18"/>
    <n v="10"/>
    <n v="1975"/>
    <n v="49"/>
    <s v="45-49 TAHUN"/>
    <x v="0"/>
    <x v="5"/>
    <x v="6"/>
    <s v="PEGAWAI NEGERI SIPIL (PNS)"/>
    <x v="2"/>
    <s v="PENDUDUK TETAP"/>
    <s v="JL. PEKAPURAN RAYA"/>
    <s v="JL. PEKAPURAN RAYA"/>
  </r>
  <r>
    <x v="0"/>
    <s v="RW 01"/>
    <s v="6371020501080228"/>
    <s v="6371023112010004"/>
    <s v="MUHAMMAD TAUFIQURRAHMAN"/>
    <s v="ANAK"/>
    <x v="0"/>
    <s v="BANJARMASIN"/>
    <n v="31"/>
    <n v="12"/>
    <n v="2001"/>
    <n v="23"/>
    <s v="20-24 TAHUN"/>
    <x v="0"/>
    <x v="3"/>
    <x v="2"/>
    <s v="PELAJAR/MAHASISWA"/>
    <x v="1"/>
    <s v="PENDUDUK TETAP"/>
    <s v="JL. PEKAPURAN RAYA"/>
    <s v="JL. PEKAPURAN RAYA"/>
  </r>
  <r>
    <x v="0"/>
    <s v="RW 01"/>
    <s v="6371020501080228"/>
    <s v="6371024403060005"/>
    <s v="NADILATUZ ZAHROH"/>
    <s v="ANAK"/>
    <x v="1"/>
    <s v="BANJARMASIN"/>
    <n v="4"/>
    <n v="3"/>
    <n v="2006"/>
    <n v="18"/>
    <s v="15-19 TAHUN"/>
    <x v="0"/>
    <x v="1"/>
    <x v="2"/>
    <s v="PELAJAR/MAHASISWA"/>
    <x v="1"/>
    <s v="PENDUDUK TETAP"/>
    <s v="JL. PEKAPURAN RAYA"/>
    <s v="JL. PEKAPURAN RAYA"/>
  </r>
  <r>
    <x v="0"/>
    <s v="RW 01"/>
    <s v="6371020501080228"/>
    <s v="6371020610100002"/>
    <s v="IBNU AQIEL"/>
    <s v="ANAK"/>
    <x v="0"/>
    <s v="BANJARMASIN"/>
    <n v="6"/>
    <n v="10"/>
    <n v="2010"/>
    <n v="14"/>
    <s v="10-14 TAHUN"/>
    <x v="0"/>
    <x v="2"/>
    <x v="3"/>
    <s v="BELUM/TIDAK BEKERJA"/>
    <x v="1"/>
    <s v="PENDUDUK TETAP"/>
    <s v="JL. PEKAPURAN RAYA"/>
    <s v="JL. PEKAPURAN RAYA"/>
  </r>
  <r>
    <x v="0"/>
    <s v="RW 01"/>
    <s v="6371020501080228"/>
    <s v="6371021806160001"/>
    <s v="ABIDZAR ALGHIFARI"/>
    <s v="ANAK"/>
    <x v="0"/>
    <s v="BANJARMASIN"/>
    <n v="18"/>
    <n v="6"/>
    <n v="2016"/>
    <n v="8"/>
    <s v="5-9 TAHUN"/>
    <x v="0"/>
    <x v="2"/>
    <x v="3"/>
    <s v="BELUM/TIDAK BEKERJA"/>
    <x v="1"/>
    <s v="PENDUDUK TETAP"/>
    <s v="JL. PEKAPURAN RAYA"/>
    <s v="JL. PEKAPURAN RAYA"/>
  </r>
  <r>
    <x v="0"/>
    <s v="RW 01"/>
    <s v="6371020501080228"/>
    <s v="6371024803450003"/>
    <s v="HATIJAH, HJ"/>
    <s v="ANAK"/>
    <x v="1"/>
    <s v="BANJARMASIN"/>
    <n v="8"/>
    <n v="3"/>
    <n v="1945"/>
    <n v="79"/>
    <s v="75+ TAHUN"/>
    <x v="0"/>
    <x v="1"/>
    <x v="1"/>
    <s v="MENGURUS RUMAH TANGGA"/>
    <x v="2"/>
    <s v="PENDUDUK TETAP"/>
    <s v="JL. PEKAPURAN RAYA"/>
    <s v="JL. PEKAPURAN RAYA"/>
  </r>
  <r>
    <x v="0"/>
    <s v="RW 01"/>
    <s v="6371020501080228"/>
    <s v="6371022507910010"/>
    <s v="MUHAMMAD YATIM"/>
    <s v="ANAK"/>
    <x v="0"/>
    <s v="BANJARMASIN"/>
    <n v="25"/>
    <n v="7"/>
    <n v="1991"/>
    <n v="33"/>
    <s v="30-34 TAHUN"/>
    <x v="0"/>
    <x v="1"/>
    <x v="0"/>
    <s v="WIRASWASTA"/>
    <x v="1"/>
    <s v="PENDUDUK TETAP"/>
    <s v="JL. PEKAPURAN RAYA"/>
    <s v="JL. PEKAPURAN RAYA"/>
  </r>
  <r>
    <x v="0"/>
    <s v="RW 01"/>
    <s v="6371020905080030"/>
    <s v="6371020807580010"/>
    <s v="ALAMSYAH"/>
    <s v="KEPALA KELUARGA"/>
    <x v="0"/>
    <s v="ALABIO"/>
    <n v="8"/>
    <n v="7"/>
    <n v="1958"/>
    <n v="66"/>
    <s v="65-69 TAHUN"/>
    <x v="0"/>
    <x v="3"/>
    <x v="7"/>
    <s v="TUKANG JAHIT"/>
    <x v="2"/>
    <s v="PENDUDUK TETAP"/>
    <s v="JL. PEK. RAYA GG ALIMA"/>
    <s v="JL. PEK. RAYA GG ALIMA"/>
  </r>
  <r>
    <x v="0"/>
    <s v="RW 01"/>
    <s v="6371020905080030"/>
    <s v="6371025502670007"/>
    <s v="HAMISAH"/>
    <s v="ISTRI"/>
    <x v="1"/>
    <s v="BANJARMASIN"/>
    <n v="15"/>
    <n v="2"/>
    <n v="1967"/>
    <n v="57"/>
    <s v="55-59 TAHUN"/>
    <x v="0"/>
    <x v="3"/>
    <x v="0"/>
    <s v="WIRASWASTA"/>
    <x v="2"/>
    <s v="PENDUDUK TETAP"/>
    <s v="JL. PEK. RAYA GG ALIMA"/>
    <s v="JL. PEK. RAYA GG ALIMA"/>
  </r>
  <r>
    <x v="0"/>
    <s v="RW 01"/>
    <s v="6371020905080030"/>
    <s v="6371021304910002"/>
    <s v="BAIHAKI"/>
    <s v="ANAK"/>
    <x v="0"/>
    <s v="BANJARMASIN"/>
    <n v="13"/>
    <n v="4"/>
    <n v="1991"/>
    <n v="33"/>
    <s v="30-34 TAHUN"/>
    <x v="0"/>
    <x v="4"/>
    <x v="3"/>
    <s v="BELUM/TIDAK BEKERJA"/>
    <x v="1"/>
    <s v="PENDUDUK TETAP"/>
    <s v="JL. PEK. RAYA GG ALIMA"/>
    <s v="JL. PEK. RAYA GG ALIMA"/>
  </r>
  <r>
    <x v="0"/>
    <s v="RW 01"/>
    <s v="6371020905080030"/>
    <s v="6371020505930019"/>
    <s v="RIDUANSYAH"/>
    <s v="ANAK"/>
    <x v="0"/>
    <s v="BANJARMASIN"/>
    <n v="5"/>
    <n v="5"/>
    <n v="1993"/>
    <n v="31"/>
    <s v="30-34 TAHUN"/>
    <x v="0"/>
    <x v="0"/>
    <x v="3"/>
    <s v="BELUM/TIDAK BEKERJA"/>
    <x v="1"/>
    <s v="PENDUDUK TETAP"/>
    <s v="JL. PEK. RAYA GG ALIMA"/>
    <s v="JL. PEK. RAYA GG ALIMA"/>
  </r>
  <r>
    <x v="0"/>
    <s v="RW 01"/>
    <s v="6371020905080030"/>
    <s v="6371021205980009"/>
    <s v="M. FADLI"/>
    <s v="ANAK"/>
    <x v="0"/>
    <s v="BANJARMASIN"/>
    <n v="12"/>
    <n v="5"/>
    <n v="1998"/>
    <n v="26"/>
    <s v="25-29 TAHUN"/>
    <x v="0"/>
    <x v="0"/>
    <x v="2"/>
    <s v="PELAJAR/MAHASISWA"/>
    <x v="1"/>
    <s v="PENDUDUK TETAP"/>
    <s v="JL. PEK. RAYA GG ALIMA"/>
    <s v="JL. PEK. RAYA GG ALIMA"/>
  </r>
  <r>
    <x v="0"/>
    <s v="RW 01"/>
    <s v="6371021110100007"/>
    <s v="6371020701790004"/>
    <s v="HANAFI"/>
    <s v="KEPALA KELUARGA"/>
    <x v="0"/>
    <s v="BANJARMASIN"/>
    <n v="7"/>
    <n v="1"/>
    <n v="1979"/>
    <n v="45"/>
    <s v="45-49 TAHUN"/>
    <x v="0"/>
    <x v="0"/>
    <x v="0"/>
    <s v="WIRASWASTA"/>
    <x v="2"/>
    <s v="PENDUDUK TETAP"/>
    <s v="JL. PEKAPURAN RAYA GG.H.M. ARSYAD"/>
    <s v="JL. PEKAPURAN RAYA GG.H.M. ARSYAD"/>
  </r>
  <r>
    <x v="0"/>
    <s v="RW 01"/>
    <s v="6371021110100007"/>
    <s v="6371026112830005"/>
    <s v="MULIYANTI"/>
    <s v="ISTRI"/>
    <x v="1"/>
    <s v="BANJARMASIN"/>
    <n v="21"/>
    <n v="12"/>
    <n v="1983"/>
    <n v="41"/>
    <s v="40-44 TAHUN"/>
    <x v="0"/>
    <x v="4"/>
    <x v="1"/>
    <s v="MENGURUS RUMAH TANGGA"/>
    <x v="2"/>
    <s v="PENDUDUK TETAP"/>
    <s v="JL. PEKAPURAN RAYA GG.H.M. ARSYAD"/>
    <s v="JL. PEKAPURAN RAYA GG.H.M. ARSYAD"/>
  </r>
  <r>
    <x v="0"/>
    <s v="RW 01"/>
    <s v="6371021110100007"/>
    <s v="6371026305100002"/>
    <s v="SITI NUR KAMILA"/>
    <s v="ANAK"/>
    <x v="1"/>
    <s v="BANJARMASIN"/>
    <n v="23"/>
    <n v="5"/>
    <n v="2010"/>
    <n v="14"/>
    <s v="10-14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905080044"/>
    <s v="6371020707760013"/>
    <s v="HENDRA JAYA"/>
    <s v="KEPALA KELUARGA"/>
    <x v="0"/>
    <s v="BANJARMASIN"/>
    <n v="7"/>
    <n v="7"/>
    <n v="1976"/>
    <n v="48"/>
    <s v="45-49 TAHUN"/>
    <x v="0"/>
    <x v="0"/>
    <x v="8"/>
    <s v="TUKANG CUKUR"/>
    <x v="2"/>
    <s v="PENDUDUK TETAP"/>
    <s v="JL. PEKAPURAN RAYA GG.H.M. ARSYAD"/>
    <s v="JL. PEKAPURAN RAYA GG.H.M. ARSYAD"/>
  </r>
  <r>
    <x v="0"/>
    <s v="RW 01"/>
    <s v="6371020905080044"/>
    <s v="6371025705770006"/>
    <s v="RAUDAH"/>
    <s v="ISTRI"/>
    <x v="1"/>
    <s v="BANJARMASIN"/>
    <n v="17"/>
    <n v="5"/>
    <n v="1977"/>
    <n v="47"/>
    <s v="45-49 TAHUN"/>
    <x v="0"/>
    <x v="0"/>
    <x v="1"/>
    <s v="MENGURUS RUMAH TANGGA"/>
    <x v="2"/>
    <s v="PENDUDUK TETAP"/>
    <s v="JL. PEKAPURAN RAYA GG.H.M. ARSYAD"/>
    <s v="JL. PEKAPURAN RAYA GG.H.M. ARSYAD"/>
  </r>
  <r>
    <x v="0"/>
    <s v="RW 01"/>
    <s v="6371020905080044"/>
    <s v="6371022107970010"/>
    <s v="AKHMAD SYAHBANA"/>
    <s v="ANAK"/>
    <x v="0"/>
    <s v="BANJARMASIN"/>
    <n v="21"/>
    <n v="7"/>
    <n v="1997"/>
    <n v="27"/>
    <s v="25-29 TAHUN"/>
    <x v="0"/>
    <x v="3"/>
    <x v="3"/>
    <s v="BELUM/TIDAK BEKERJA"/>
    <x v="1"/>
    <s v="PENDUDUK TETAP"/>
    <s v="JL. PEKAPURAN RAYA GG.H.M. ARSYAD"/>
    <s v="JL. PEKAPURAN RAYA GG.H.M. ARSYAD"/>
  </r>
  <r>
    <x v="0"/>
    <s v="RW 01"/>
    <s v="6371020905080044"/>
    <s v="6371020510010009"/>
    <s v="M. SUBHAN"/>
    <s v="ANAK"/>
    <x v="0"/>
    <s v="BANJARMASIN"/>
    <n v="5"/>
    <n v="10"/>
    <n v="2001"/>
    <n v="23"/>
    <s v="20-24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905080044"/>
    <s v="6371021104050004"/>
    <s v="FAUZAN"/>
    <s v="ANAK"/>
    <x v="0"/>
    <s v="BANJARMASIN"/>
    <n v="11"/>
    <n v="4"/>
    <n v="2005"/>
    <n v="19"/>
    <s v="15-19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905080044"/>
    <s v="6371020311110002"/>
    <s v="FAJAR NAZWA"/>
    <s v="ANAK"/>
    <x v="0"/>
    <s v="BANJARMASIN"/>
    <n v="3"/>
    <n v="11"/>
    <n v="2011"/>
    <n v="13"/>
    <s v="10-14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501080434"/>
    <s v="6371021203650008"/>
    <s v="JUMBERAN"/>
    <s v="KEPALA KELUARGA"/>
    <x v="0"/>
    <s v="BANJARMASIN"/>
    <n v="12"/>
    <n v="3"/>
    <n v="1965"/>
    <n v="59"/>
    <s v="55-59 TAHUN"/>
    <x v="0"/>
    <x v="4"/>
    <x v="0"/>
    <s v="WIRASWASTA"/>
    <x v="2"/>
    <s v="PENDUDUK TETAP"/>
    <s v="JL. PEKAPURAN RAYA GG.H.M. ARSYAD"/>
    <s v="JL. PEKAPURAN RAYA GG.H.M. ARSYAD"/>
  </r>
  <r>
    <x v="0"/>
    <s v="RW 01"/>
    <s v="6371020501080434"/>
    <s v="6371024103660009"/>
    <s v="SAUDAH"/>
    <s v="ISTRI"/>
    <x v="1"/>
    <s v="BANJARMASIN"/>
    <n v="1"/>
    <n v="3"/>
    <n v="1966"/>
    <n v="58"/>
    <s v="55-59 TAHUN"/>
    <x v="0"/>
    <x v="4"/>
    <x v="1"/>
    <s v="MENGURUS RUMAH TANGGA"/>
    <x v="2"/>
    <s v="PENDUDUK TETAP"/>
    <s v="JL. PEKAPURAN RAYA GG.H.M. ARSYAD"/>
    <s v="JL. PEKAPURAN RAYA GG.H.M. ARSYAD"/>
  </r>
  <r>
    <x v="0"/>
    <s v="RW 01"/>
    <s v="6371020501080434"/>
    <s v="6371020808970006"/>
    <s v="ABUS SALAM"/>
    <s v="ANAK"/>
    <x v="0"/>
    <s v="BANJARMASIN"/>
    <n v="8"/>
    <n v="8"/>
    <n v="1997"/>
    <n v="27"/>
    <s v="25-29 TAHUN"/>
    <x v="0"/>
    <x v="3"/>
    <x v="3"/>
    <s v="BELUM/TIDAK BEKERJA"/>
    <x v="1"/>
    <s v="PENDUDUK TETAP"/>
    <s v="JL. PEKAPURAN RAYA GG.H.M. ARSYAD"/>
    <s v="JL. PEKAPURAN RAYA GG.H.M. ARSYAD"/>
  </r>
  <r>
    <x v="0"/>
    <s v="RW 01"/>
    <s v="6371026704750005"/>
    <s v="6371026704750005"/>
    <s v="SRIYATI. SH"/>
    <s v="KEPALA KELUARGA"/>
    <x v="1"/>
    <s v="BANJARMASIN"/>
    <n v="27"/>
    <n v="4"/>
    <n v="1975"/>
    <n v="49"/>
    <s v="45-49 TAHUN"/>
    <x v="0"/>
    <x v="6"/>
    <x v="0"/>
    <s v="WIRASWASTA"/>
    <x v="1"/>
    <s v="PENDUDUK TETAP"/>
    <s v="JL. PEKAPURAN RAYA NO.40"/>
    <s v="JL. PEKAPURAN RAYA NO.40"/>
  </r>
  <r>
    <x v="0"/>
    <s v="RW 01"/>
    <s v="6371026704750005"/>
    <s v="6371026201930006"/>
    <s v="FATMAWATI, SKM"/>
    <s v="ISTRI"/>
    <x v="1"/>
    <s v="BANJARMASIN"/>
    <n v="22"/>
    <n v="1"/>
    <n v="1993"/>
    <n v="31"/>
    <s v="30-34 TAHUN"/>
    <x v="0"/>
    <x v="6"/>
    <x v="2"/>
    <s v="PELAJAR/MAHASISWA"/>
    <x v="1"/>
    <s v="PENDUDUK TETAP"/>
    <s v="JL. PEKAPURAN RAYA NO.41"/>
    <s v="JL. PEKAPURAN RAYA NO.41"/>
  </r>
  <r>
    <x v="0"/>
    <s v="RW 01"/>
    <s v="6371026704750005"/>
    <s v="6307031310070001"/>
    <s v="MUHAMMAD MALIKI"/>
    <s v="ANAK"/>
    <x v="0"/>
    <s v="BANJARMASIN"/>
    <n v="13"/>
    <n v="10"/>
    <n v="2007"/>
    <n v="17"/>
    <s v="15-19 TAHUN"/>
    <x v="0"/>
    <x v="3"/>
    <x v="5"/>
    <s v="KARYAWAN SWASTA"/>
    <x v="1"/>
    <s v="PENDUDUK TETAP"/>
    <s v="JL. PEKAPURAN RAYA NO.42"/>
    <s v="JL. PEKAPURAN RAYA NO.42"/>
  </r>
  <r>
    <x v="0"/>
    <s v="RW 01"/>
    <s v="6371020902090008"/>
    <s v="6371021708750023"/>
    <s v="AHMAD SUBA’I"/>
    <s v="KEPALA KELUARGA"/>
    <x v="0"/>
    <s v="MADURA"/>
    <n v="17"/>
    <n v="8"/>
    <n v="1975"/>
    <n v="49"/>
    <s v="45-49 TAHUN"/>
    <x v="0"/>
    <x v="3"/>
    <x v="0"/>
    <s v="WIRASWASTA"/>
    <x v="2"/>
    <s v="PENDUDUK TETAP"/>
    <s v="JL. PEKAPURAN RAYA GG.H.M. ARSYAD"/>
    <s v="JL. PEKAPURAN RAYA GG.H.M. ARSYAD"/>
  </r>
  <r>
    <x v="0"/>
    <s v="RW 01"/>
    <s v="6371020902090008"/>
    <s v="6371056810840007"/>
    <s v="MUSIYEH"/>
    <s v="ISTRI"/>
    <x v="1"/>
    <s v="MADURA"/>
    <n v="28"/>
    <n v="10"/>
    <n v="1984"/>
    <n v="40"/>
    <s v="40-44 TAHUN"/>
    <x v="0"/>
    <x v="1"/>
    <x v="1"/>
    <s v="MENGURUS RUMAH TANGGA"/>
    <x v="2"/>
    <s v="PENDUDUK TETAP"/>
    <s v="JL. PEKAPURAN RAYA GG.H.M. ARSYAD"/>
    <s v="JL. PEKAPURAN RAYA GG.H.M. ARSYAD"/>
  </r>
  <r>
    <x v="0"/>
    <s v="RW 01"/>
    <s v="6371020902090008"/>
    <s v="6371021111120002"/>
    <s v="MUZEMMIL"/>
    <s v="ANAK"/>
    <x v="0"/>
    <s v="BANJARMASIN"/>
    <n v="11"/>
    <n v="11"/>
    <n v="2012"/>
    <n v="12"/>
    <s v="10-14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902090008"/>
    <s v="6371021110150005"/>
    <s v="ABQORI AGAM"/>
    <s v="ANAK"/>
    <x v="0"/>
    <s v="BANJARMASIN"/>
    <n v="11"/>
    <n v="10"/>
    <n v="2015"/>
    <n v="9"/>
    <s v="5-9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401080102"/>
    <s v="6371021006800006"/>
    <s v="MAHYUNI"/>
    <s v="KEPALA KELUARGA"/>
    <x v="0"/>
    <s v="BANJARMASIN"/>
    <n v="10"/>
    <n v="6"/>
    <n v="1980"/>
    <n v="44"/>
    <s v="40-44 TAHUN"/>
    <x v="0"/>
    <x v="3"/>
    <x v="4"/>
    <s v="PEDAGANG"/>
    <x v="0"/>
    <s v="PENDUDUK TETAP"/>
    <s v="JL. PEK. RAYA GG.H. ARSYAD NO. 47"/>
    <s v="JL. PEK. RAYA GG.H. ARSYAD NO. 47"/>
  </r>
  <r>
    <x v="0"/>
    <s v="RW 01"/>
    <s v="6371020401080102"/>
    <s v="6371024410790002"/>
    <s v="ASNAH WATI"/>
    <s v="ISTRI"/>
    <x v="1"/>
    <s v="MARGASARI"/>
    <n v="4"/>
    <n v="10"/>
    <n v="1979"/>
    <n v="45"/>
    <s v="45-49 TAHUN"/>
    <x v="0"/>
    <x v="3"/>
    <x v="1"/>
    <s v="MENGURUS RUMAH TANGGA"/>
    <x v="0"/>
    <s v="PENDUDUK TETAP"/>
    <s v="JL. PEK. RAYA GG.H. ARSYAD NO. 48"/>
    <s v="JL. PEK. RAYA GG.H. ARSYAD NO. 48"/>
  </r>
  <r>
    <x v="0"/>
    <s v="RW 01"/>
    <s v="6371020401080102"/>
    <s v="6371026106020005"/>
    <s v="HAIRUNNISA"/>
    <s v="ANAK"/>
    <x v="1"/>
    <s v="TAPIN"/>
    <n v="21"/>
    <n v="6"/>
    <n v="2002"/>
    <n v="22"/>
    <s v="20-24 TAHUN"/>
    <x v="0"/>
    <x v="0"/>
    <x v="2"/>
    <s v="PELAJAR/MAHASISWA"/>
    <x v="1"/>
    <s v="PENDUDUK TETAP"/>
    <s v="JL. PEK. RAYA GG.H. ARSYAD NO. 49"/>
    <s v="JL. PEK. RAYA GG.H. ARSYAD NO. 49"/>
  </r>
  <r>
    <x v="0"/>
    <s v="RW 01"/>
    <s v="6371020608090007"/>
    <s v="6371021006620011"/>
    <s v="ROSIKIN"/>
    <s v="KEPALA KELUARGA"/>
    <x v="0"/>
    <s v="BANJARMASIN"/>
    <n v="10"/>
    <n v="6"/>
    <n v="1962"/>
    <n v="62"/>
    <s v="60-64 TAHUN"/>
    <x v="0"/>
    <x v="3"/>
    <x v="0"/>
    <s v="WIRASWASTA"/>
    <x v="2"/>
    <s v="PENDUDUK TETAP"/>
    <s v="JL. PEKAPURAN RAYA GG. ALIMA"/>
    <s v="JL. PEKAPURAN RAYA GG. ALIMA"/>
  </r>
  <r>
    <x v="0"/>
    <s v="RW 01"/>
    <s v="6371020608090007"/>
    <s v="6371028808700008"/>
    <s v="SYAHMIATI"/>
    <s v="ISTRI"/>
    <x v="1"/>
    <s v="BANJARMASIN"/>
    <n v="28"/>
    <n v="8"/>
    <n v="1970"/>
    <n v="54"/>
    <s v="50-54 TAHUN"/>
    <x v="0"/>
    <x v="0"/>
    <x v="1"/>
    <s v="MENGURUS RUMAH TANGGA"/>
    <x v="2"/>
    <s v="PENDUDUK TETAP"/>
    <s v="JL. PEKAPURAN RAYA GG. ALIMA"/>
    <s v="JL. PEKAPURAN RAYA GG. ALIMA"/>
  </r>
  <r>
    <x v="0"/>
    <s v="RW 01"/>
    <s v="6371020608090007"/>
    <s v="6371022711950007"/>
    <s v="MUHAMMAD IHSAN"/>
    <s v="ANAK"/>
    <x v="0"/>
    <s v="BANJARMASIN"/>
    <n v="27"/>
    <n v="11"/>
    <n v="1995"/>
    <n v="29"/>
    <s v="25-29 TAHUN"/>
    <x v="0"/>
    <x v="0"/>
    <x v="2"/>
    <s v="PELAJAR/MAHASISWA"/>
    <x v="1"/>
    <s v="PENDUDUK TETAP"/>
    <s v="JL. PEKAPURAN RAYA GG. ALIMA"/>
    <s v="JL. PEKAPURAN RAYA GG. ALIMA"/>
  </r>
  <r>
    <x v="0"/>
    <s v="RW 01"/>
    <s v="6371020905190008"/>
    <s v="6305051409950001"/>
    <s v="AKHMAD BHUHARY MOESLIM"/>
    <s v="KEPALA KELUARGA"/>
    <x v="0"/>
    <s v="BANJARMASIN"/>
    <n v="14"/>
    <n v="9"/>
    <n v="1996"/>
    <n v="28"/>
    <s v="25-29 TAHUN"/>
    <x v="0"/>
    <x v="3"/>
    <x v="3"/>
    <s v="BELUM/TIDAK BEKERJA"/>
    <x v="1"/>
    <s v="PENDUDUK TETAP"/>
    <s v="JL. PEKAPURAN RAYA"/>
    <s v="JL. PEKAPURAN RAYA"/>
  </r>
  <r>
    <x v="0"/>
    <s v="RW 01"/>
    <s v="6371020905190008"/>
    <s v="6305055601000001"/>
    <s v="HARIYATI KHAFIJAH"/>
    <s v="ISTRI"/>
    <x v="1"/>
    <s v="BANJARMASIN"/>
    <n v="11"/>
    <n v="1"/>
    <n v="2000"/>
    <n v="24"/>
    <s v="20-24 TAHUN"/>
    <x v="0"/>
    <x v="3"/>
    <x v="3"/>
    <s v="BELUM/TIDAK BEKERJA"/>
    <x v="1"/>
    <s v="PENDUDUK TETAP"/>
    <s v="JL. PEKAPURAN RAYA"/>
    <s v="JL. PEKAPURAN RAYA"/>
  </r>
  <r>
    <x v="0"/>
    <s v="RW 01"/>
    <s v="6371020905190008"/>
    <s v="6305055105020002"/>
    <s v="SINTA DAMAYANTI"/>
    <s v="ANAK"/>
    <x v="1"/>
    <s v="BANJARMASIN"/>
    <n v="11"/>
    <n v="5"/>
    <n v="2002"/>
    <n v="22"/>
    <s v="20-24 TAHUN"/>
    <x v="0"/>
    <x v="3"/>
    <x v="2"/>
    <s v="PELAJAR/MAHASISWA"/>
    <x v="1"/>
    <s v="PENDUDUK TETAP"/>
    <s v="JL. PEKAPURAN RAYA"/>
    <s v="JL. PEKAPURAN RAYA"/>
  </r>
  <r>
    <x v="0"/>
    <s v="RW 01"/>
    <s v="6371022602150003"/>
    <s v="6371026712780006"/>
    <s v="MURNIAH"/>
    <s v="KEPALA KELUARGA"/>
    <x v="1"/>
    <s v="AMUNTAI"/>
    <n v="27"/>
    <n v="12"/>
    <n v="1978"/>
    <n v="46"/>
    <s v="45-49 TAHUN"/>
    <x v="0"/>
    <x v="0"/>
    <x v="1"/>
    <s v="MENGURUS RUMAH TANGGA"/>
    <x v="3"/>
    <s v="PENDUDUK TETAP"/>
    <s v="JL. PEKAPURAN RAYA GG.H.M. ARSYAD"/>
    <s v="JL. PEKAPURAN RAYA GG.H.M. ARSYA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s v="RT 06"/>
    <s v="RW 01"/>
    <s v="6371020511090029"/>
    <s v="6371022003740007"/>
    <s v="JUNIANSYAH"/>
    <s v="KEPALA KELUARGA"/>
    <x v="0"/>
    <s v="BANJARMASIN"/>
    <n v="20"/>
    <n v="3"/>
    <n v="1974"/>
    <n v="50"/>
    <s v="50-54 TAHUN"/>
    <s v="ISLAM"/>
    <s v="SLTP/SEDERAJAT"/>
    <s v="WIRASWASTA"/>
    <s v="WIRASWASTA"/>
    <s v="KAWIN TERCATAT"/>
    <x v="0"/>
    <s v="JL. PEKAPURAN RAYA GG.H.M. ARSYAD"/>
    <s v="JL. PEKAPURAN RAYA GG.H.M. ARSYAD"/>
    <s v="MILIK SENDIRI"/>
  </r>
  <r>
    <s v="RT 06"/>
    <s v="RW 01"/>
    <s v="6371020511090029"/>
    <s v="6371026004810005"/>
    <s v="WATI"/>
    <s v="ISTRI"/>
    <x v="1"/>
    <s v="BANJARMASIN"/>
    <n v="20"/>
    <n v="4"/>
    <n v="1981"/>
    <n v="43"/>
    <s v="40-44 TAHUN"/>
    <s v="ISLAM"/>
    <s v="SLTP/SEDERAJAT"/>
    <s v="MENGURUS RUMAH TANGGA"/>
    <s v="MENGURUS RUMAH TANGGA"/>
    <s v="KAWIN TERCATAT"/>
    <x v="0"/>
    <s v="JL. PEKAPURAN RAYA GG.H.M. ARSYAD"/>
    <s v="JL. PEKAPURAN RAYA GG.H.M. ARSYAD"/>
    <s v="MILIK SENDIRI"/>
  </r>
  <r>
    <s v="RT 06"/>
    <s v="RW 01"/>
    <s v="6371020511090029"/>
    <s v="6371024808070007"/>
    <s v="YUNITA"/>
    <s v="ANAK"/>
    <x v="1"/>
    <s v="BANJARMASIN"/>
    <n v="8"/>
    <n v="8"/>
    <n v="2007"/>
    <n v="17"/>
    <s v="15-19 TAHUN"/>
    <s v="ISLAM"/>
    <s v="BELUM TAMAT SD/SEDERAJAT"/>
    <s v="PELAJAR/MAHASISWA"/>
    <s v="PELAJAR/MAHASISWA"/>
    <s v="BELUM KAWIN"/>
    <x v="0"/>
    <s v="JL. PEKAPURAN RAYA GG.H.M. ARSYAD"/>
    <s v="JL. PEKAPURAN RAYA GG.H.M. ARSYAD"/>
    <s v="KONTRAK/SEWA"/>
  </r>
  <r>
    <s v="RT 06"/>
    <s v="RW 01"/>
    <s v="6371020511090029"/>
    <s v="6371023008110003_x000a_"/>
    <s v="FITRIADI"/>
    <s v="ANAK"/>
    <x v="0"/>
    <s v="BANJARMASIN"/>
    <n v="30"/>
    <n v="8"/>
    <n v="2011"/>
    <n v="13"/>
    <s v="10-14 TAHUN"/>
    <s v="ISLAM"/>
    <s v="BELUM TAMAT SD/SEDERAJAT"/>
    <s v="PELAJAR/MAHASISWA"/>
    <s v="PELAJAR/MAHASISWA"/>
    <s v="BELUM KAWIN"/>
    <x v="0"/>
    <s v="JL. PEKAPURAN RAYA GG.H.M. ARSYAD"/>
    <s v="JL. PEKAPURAN RAYA GG.H.M. ARSYAD"/>
    <s v="KONTRAK/SEWA"/>
  </r>
  <r>
    <s v="RT 06"/>
    <s v="RW 01"/>
    <s v="6371020511090029"/>
    <s v="6371024311180005"/>
    <s v="PUTRI NADYA"/>
    <s v="ANAK"/>
    <x v="1"/>
    <s v="BANJARMASIN"/>
    <n v="3"/>
    <n v="11"/>
    <n v="2018"/>
    <n v="6"/>
    <s v="5-9 TAHUN"/>
    <s v="ISLAM"/>
    <s v="TIDAK/BELUM SEKOLAH"/>
    <s v="BELUM/TIDAK BEKERJA"/>
    <s v="BELUM/TIDAK BEKERJA"/>
    <s v="BELUM KAWIN"/>
    <x v="0"/>
    <s v="JL. PEKAPURAN RAYA GG.H.M. ARSYAD"/>
    <s v="JL. PEKAPURAN RAYA GG.H.M. ARSYAD"/>
    <s v="KONTRAK/SEWA"/>
  </r>
  <r>
    <s v="RT 06"/>
    <s v="RW 01"/>
    <s v="6371020401080455"/>
    <s v="6371010409870010"/>
    <s v="HERIAN NOOR"/>
    <s v="KEPALA KELUARGA"/>
    <x v="0"/>
    <s v="BANJARMASIN"/>
    <n v="4"/>
    <n v="9"/>
    <n v="1987"/>
    <n v="37"/>
    <s v="35-39 TAHUN"/>
    <s v="ISLAM"/>
    <s v="TIDAK/BELUM SEKOLAH"/>
    <s v="WIRASWASTA"/>
    <s v="WIRASWASTA"/>
    <s v="KAWIN"/>
    <x v="0"/>
    <s v="JL. PEK. RAYA GG ALIMA"/>
    <s v="JL. PEK. RAYA GG ALIMA"/>
    <s v="BEBAS SEWA"/>
  </r>
  <r>
    <s v="RT 06"/>
    <s v="RW 01"/>
    <s v="6371020401080455"/>
    <s v="6371025306940001"/>
    <s v="EVA JULIATI"/>
    <s v="ISTRI"/>
    <x v="1"/>
    <s v="BANJARMASIN"/>
    <n v="13"/>
    <n v="6"/>
    <n v="1994"/>
    <n v="30"/>
    <s v="30-34 TAHUN"/>
    <s v="ISLAM"/>
    <s v="SLTP/SEDERAJAT"/>
    <s v="MENGURUS RUMAH TANGGA"/>
    <s v="MENGURUS RUMAH TANGGA"/>
    <s v="KAWIN"/>
    <x v="0"/>
    <s v="JL. PEK. RAYA GG ALIMA"/>
    <s v="JL. PEK. RAYA GG ALIMA"/>
    <s v="BEBAS SEWA"/>
  </r>
  <r>
    <s v="RT 06"/>
    <s v="RW 01"/>
    <s v="6371020401080455"/>
    <s v="6371022009140003"/>
    <s v="MUHAMMAD NADIL ANNAFIS"/>
    <s v="ANAK"/>
    <x v="0"/>
    <s v="BANJARMASIN"/>
    <n v="20"/>
    <n v="9"/>
    <n v="2014"/>
    <n v="10"/>
    <s v="10-14 TAHUN"/>
    <s v="ISLAM"/>
    <s v="TIDAK/BELUM SEKOLAH"/>
    <s v="BELUM/TIDAK BEKERJA"/>
    <s v="BELUM/TIDAK BEKERJA"/>
    <s v="BELUM KAWIN"/>
    <x v="0"/>
    <s v="JL. PEK. RAYA GG ALIMA"/>
    <s v="JL. PEK. RAYA GG ALIMA"/>
    <m/>
  </r>
  <r>
    <s v="RT 06"/>
    <s v="RW 01"/>
    <s v="6371020401080455"/>
    <s v="6371024212650003"/>
    <s v="ROHANI,HJ"/>
    <s v="FAMILI LAIN"/>
    <x v="1"/>
    <s v="BANJARMASIN"/>
    <n v="2"/>
    <n v="12"/>
    <n v="1965"/>
    <n v="59"/>
    <s v="55-59 TAHUN"/>
    <s v="ISLAM"/>
    <s v="SLTP/SEDERAJAT"/>
    <s v="MENGURUS RUMAH TANGGA"/>
    <s v="MENGURUS RUMAH TANGGA"/>
    <s v="CERAI HIDUP"/>
    <x v="0"/>
    <s v="JL. PEK. RAYA GG ALIMA"/>
    <s v="JL. PEK. RAYA GG ALIMA"/>
    <m/>
  </r>
  <r>
    <s v="RT 06"/>
    <s v="RW 01"/>
    <s v="6371020101080163"/>
    <s v="6371020102760008"/>
    <s v="MASTURI"/>
    <s v="KEPALA KELUARGA"/>
    <x v="0"/>
    <s v="BANGKALAN"/>
    <n v="1"/>
    <n v="2"/>
    <n v="1976"/>
    <n v="48"/>
    <s v="45-49 TAHUN"/>
    <s v="ISLAM"/>
    <s v="TAMAT SD/SEDERAJAT"/>
    <s v="PEDAGANG"/>
    <s v="PEDAGANG"/>
    <s v="CERAI MATI"/>
    <x v="0"/>
    <s v="JL. PEKAPURAN RAYA GG. A. LIMA"/>
    <s v="JL. PEKAPURAN RAYA GG. A. LIMA"/>
    <m/>
  </r>
  <r>
    <s v="RT 06"/>
    <s v="RW 01"/>
    <s v="6371020101080163"/>
    <s v="6371025204990003"/>
    <s v="NURHALIMAH"/>
    <s v="ISTRI"/>
    <x v="1"/>
    <s v="BANJARMASIN"/>
    <n v="12"/>
    <n v="4"/>
    <n v="1999"/>
    <n v="25"/>
    <s v="25-29 TAHUN"/>
    <s v="ISLAM"/>
    <s v="BELUM TAMAT SD/SEDERAJAT"/>
    <s v="PELAJAR/MAHASISWA"/>
    <s v="PELAJAR/MAHASISWA"/>
    <s v="BELUM KAWIN"/>
    <x v="0"/>
    <s v="JL. PEKAPURAN RAYA GG. A. LIMA"/>
    <s v="JL. PEKAPURAN RAYA GG. A. LIMA"/>
    <m/>
  </r>
  <r>
    <s v="RT 06"/>
    <s v="RW 01"/>
    <s v="6371020101080163"/>
    <s v="6371020305050002"/>
    <s v="ADAM"/>
    <s v="ANAK"/>
    <x v="0"/>
    <s v="BANJARMASIN"/>
    <n v="3"/>
    <n v="5"/>
    <n v="2005"/>
    <n v="19"/>
    <s v="15-19 TAHUN"/>
    <s v="ISLAM"/>
    <s v="TIDAK/BELUM SEKOLAH"/>
    <s v="BELUM/TIDAK BEKERJA"/>
    <s v="BELUM/TIDAK BEKERJA"/>
    <s v="BELUM KAWIN"/>
    <x v="0"/>
    <s v="JL. PEKAPURAN RAYA GG. A. LIMA"/>
    <s v="JL. PEKAPURAN RAYA GG. A. LIMA"/>
    <m/>
  </r>
  <r>
    <s v="RT 06"/>
    <s v="RW 01"/>
    <s v="6371020501080781"/>
    <s v="6371023112620039"/>
    <s v="SYAMSUDIN"/>
    <s v="KEPALA KELUARGA"/>
    <x v="0"/>
    <s v="BANGKALAN"/>
    <n v="31"/>
    <n v="12"/>
    <n v="1962"/>
    <n v="62"/>
    <s v="60-64 TAHUN"/>
    <s v="ISLAM"/>
    <s v="TAMAT SD/SEDERAJAT"/>
    <s v="WIRASWASTA"/>
    <s v="WIRASWASTA"/>
    <s v="KAWIN"/>
    <x v="0"/>
    <s v="JL. PEKAPURAN RAYA GG.H.M. ARSYAD"/>
    <s v="JL. PEKAPURAN RAYA GG.H.M. ARSYAD"/>
    <m/>
  </r>
  <r>
    <s v="RT 06"/>
    <s v="RW 01"/>
    <s v="6371020501080781"/>
    <s v="6371027112670026"/>
    <s v="JAINAH"/>
    <s v="ISTRI"/>
    <x v="1"/>
    <s v="BANJARMASIN"/>
    <n v="31"/>
    <n v="12"/>
    <n v="1967"/>
    <n v="57"/>
    <s v="55-59 TAHUN"/>
    <s v="ISLAM"/>
    <s v="SLTP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0501080781"/>
    <s v="6371023112870007"/>
    <s v="ZULKIPLI"/>
    <s v="ANAK"/>
    <x v="0"/>
    <s v="BANJARMASIN"/>
    <n v="25"/>
    <n v="3"/>
    <n v="1987"/>
    <n v="37"/>
    <s v="35-39 TAHUN"/>
    <s v="ISLAM"/>
    <s v="SLTP/SEDERAJAT"/>
    <s v="PELAJAR/MAHASISWA"/>
    <s v="PELAJAR/MAHASISWA"/>
    <s v="BELUM KAWIN"/>
    <x v="0"/>
    <s v="JL. PEKAPURAN RAYA GG.H.M. ARSYAD"/>
    <s v="JL. PEKAPURAN RAYA GG.H.M. ARSYAD"/>
    <m/>
  </r>
  <r>
    <s v="RT 06"/>
    <s v="RW 01"/>
    <s v="6371020501080781"/>
    <s v="6371020108970011"/>
    <s v="DULHADI"/>
    <s v="ANAK"/>
    <x v="0"/>
    <s v="BANJARMASIN"/>
    <n v="1"/>
    <n v="8"/>
    <n v="1997"/>
    <n v="27"/>
    <s v="25-29 TAHUN"/>
    <s v="ISLAM"/>
    <s v="TAMAT SD/SEDERAJAT"/>
    <s v="PELAJAR/MAHASISWA"/>
    <s v="PELAJAR/MAHASISWA"/>
    <s v="BELUM KAWIN"/>
    <x v="0"/>
    <s v="JL. PEKAPURAN RAYA GG.H.M. ARSYAD"/>
    <s v="JL. PEKAPURAN RAYA GG.H.M. ARSYAD"/>
    <m/>
  </r>
  <r>
    <s v="RT 06"/>
    <s v="RW 01"/>
    <s v="6371022205170005"/>
    <s v="6371027010820006"/>
    <s v="MASNAH"/>
    <s v="KEPALA KELUARGA"/>
    <x v="1"/>
    <s v="BANJARMASIN"/>
    <n v="30"/>
    <n v="10"/>
    <n v="1982"/>
    <n v="42"/>
    <s v="40-44 TAHUN"/>
    <s v="ISLAM"/>
    <s v="TAMAT SD/SEDERAJAT"/>
    <s v="MENGURUS RUMAH TANGGA"/>
    <s v="MENGURUS RUMAH TANGGA"/>
    <s v="CERAI HIDUP"/>
    <x v="0"/>
    <s v="JL. PEK. RAYA GG ALIMA"/>
    <s v="JL. PEK. RAYA GG ALIMA"/>
    <m/>
  </r>
  <r>
    <s v="RT 06"/>
    <s v="RW 01"/>
    <s v="6371022205170005"/>
    <s v="6371025211910003"/>
    <s v="NORJENAH"/>
    <s v="ISTRI"/>
    <x v="1"/>
    <s v="BANJARMASIN"/>
    <n v="12"/>
    <n v="11"/>
    <n v="1991"/>
    <n v="33"/>
    <s v="30-34 TAHUN"/>
    <s v="ISLAM"/>
    <s v="TAMAT SD/SEDERAJAT"/>
    <s v="PEDAGANG"/>
    <s v="PEDAGANG"/>
    <s v="KAWIN"/>
    <x v="0"/>
    <s v="JL. PEK. RAYA GG ALIMA"/>
    <s v="JL. PEK. RAYA GG ALIMA"/>
    <m/>
  </r>
  <r>
    <s v="RT 06"/>
    <s v="RW 01"/>
    <s v="6371022205170005"/>
    <s v="6371022701040003"/>
    <s v="AHMAD RASI"/>
    <s v="ANAK"/>
    <x v="0"/>
    <s v="BANJARMASIN"/>
    <n v="27"/>
    <n v="1"/>
    <n v="2004"/>
    <n v="20"/>
    <s v="20-24 TAHUN"/>
    <s v="ISLAM"/>
    <s v="BELUM TAMAT SD/SEDERAJAT"/>
    <s v="PELAJAR/MAHASISWA"/>
    <s v="PELAJAR/MAHASISWA"/>
    <s v="BELUM KAWIN"/>
    <x v="0"/>
    <s v="JL. PEK. RAYA GG ALIMA"/>
    <s v="JL. PEK. RAYA GG ALIMA"/>
    <m/>
  </r>
  <r>
    <s v="RT 06"/>
    <s v="RW 01"/>
    <s v="6371022205170005"/>
    <s v="6371021503080002"/>
    <s v="RAHMAN ALI"/>
    <s v="ANAK"/>
    <x v="0"/>
    <s v="BANJARMASIN"/>
    <n v="15"/>
    <n v="3"/>
    <n v="2008"/>
    <n v="16"/>
    <s v="15-19 TAHUN"/>
    <s v="ISLAM"/>
    <s v="TIDAK/BELUM SEKOLAH"/>
    <s v="BELUM/TIDAK BEKERJA"/>
    <s v="BELUM/TIDAK BEKERJA"/>
    <s v="BELUM KAWIN"/>
    <x v="0"/>
    <s v="JL. PEK. RAYA GG ALIMA"/>
    <s v="JL. PEK. RAYA GG ALIMA"/>
    <m/>
  </r>
  <r>
    <s v="RT 06"/>
    <s v="RW 01"/>
    <s v="6371022205170005"/>
    <s v="6371021706900004"/>
    <s v="SAMIUN"/>
    <s v="FAMILI LAIN"/>
    <x v="0"/>
    <s v="MADURA"/>
    <n v="17"/>
    <n v="6"/>
    <n v="1990"/>
    <n v="34"/>
    <s v="30-34 TAHUN"/>
    <s v="ISLAM"/>
    <s v="TAMAT SD/SEDERAJAT"/>
    <s v="PEDAGANG"/>
    <s v="PEDAGANG"/>
    <s v="BELUM KAWIN"/>
    <x v="0"/>
    <s v="JL. PEK. RAYA GG ALIMA"/>
    <s v="JL. PEK. RAYA GG ALIMA"/>
    <m/>
  </r>
  <r>
    <s v="RT 06"/>
    <s v="RW 01"/>
    <s v="6371020501080806"/>
    <s v="6371021807540001"/>
    <s v="M. SIRAJUDDIN HASAN, H"/>
    <s v="KEPALA KELUARGA"/>
    <x v="0"/>
    <s v="NEGARA"/>
    <n v="18"/>
    <n v="7"/>
    <n v="1954"/>
    <n v="70"/>
    <s v="70-74 TAHUN"/>
    <s v="ISLAM"/>
    <s v="SLTA/SEDERAJAT"/>
    <s v="PEDAGANG"/>
    <s v="PEDAGANG"/>
    <s v="KAWIN"/>
    <x v="0"/>
    <s v="JL. PEK. RAYA GG ALIMA NO.28"/>
    <s v="JL. PEK. RAYA GG ALIMA NO.28"/>
    <m/>
  </r>
  <r>
    <s v="RT 06"/>
    <s v="RW 01"/>
    <s v="6371020501080806"/>
    <s v="6371024202560005"/>
    <s v="ARBAYAH, HJ"/>
    <s v="ISTRI"/>
    <x v="1"/>
    <s v="BANJARMASIN"/>
    <n v="2"/>
    <n v="2"/>
    <n v="1955"/>
    <n v="69"/>
    <s v="65-69 TAHUN"/>
    <s v="ISLAM"/>
    <s v="TAMAT SD/SEDERAJAT"/>
    <s v="MENGURUS RUMAH TANGGA"/>
    <s v="MENGURUS RUMAH TANGGA"/>
    <s v="KAWIN"/>
    <x v="0"/>
    <s v="JL. PEK. RAYA GG ALIMA NO.29"/>
    <s v="JL. PEK. RAYA GG ALIMA NO.29"/>
    <m/>
  </r>
  <r>
    <s v="RT 06"/>
    <s v="RW 01"/>
    <s v="6371020501080806"/>
    <s v="6371020606860006"/>
    <s v="MISBAHUL MUNIR"/>
    <s v="ANAK"/>
    <x v="0"/>
    <s v="BANJARMASIN"/>
    <n v="11"/>
    <n v="5"/>
    <n v="1986"/>
    <n v="38"/>
    <s v="35-39 TAHUN"/>
    <s v="ISLAM"/>
    <s v="SLTA/SEDERAJAT"/>
    <s v="PEDAGANG"/>
    <s v="PEDAGANG"/>
    <s v="BELUM KAWIN"/>
    <x v="0"/>
    <s v="JL. PEK. RAYA GG ALIMA NO.30"/>
    <s v="JL. PEK. RAYA GG ALIMA NO.30"/>
    <m/>
  </r>
  <r>
    <s v="RT 06"/>
    <s v="RW 01"/>
    <s v="6371020501080806"/>
    <s v="6371020902920004"/>
    <s v="ABDULLAH SAHLY"/>
    <m/>
    <x v="0"/>
    <s v="BANJARMASIN"/>
    <n v="9"/>
    <n v="2"/>
    <n v="1992"/>
    <n v="32"/>
    <s v="30-34 TAHUN"/>
    <s v="ISLAM"/>
    <s v="SLTA/SEDERAJAT"/>
    <s v="PELAJAR/MAHASISWA"/>
    <s v="PELAJAR/MAHASISWA"/>
    <s v="BELUM KAWIN"/>
    <x v="0"/>
    <s v="JL. PEK. RAYA GG ALIMA NO.31"/>
    <s v="JL. PEK. RAYA GG ALIMA NO.31"/>
    <m/>
  </r>
  <r>
    <s v="RT 06"/>
    <s v="RW 01"/>
    <s v="6371020107820353"/>
    <s v="6371020107820353"/>
    <s v="SYAMSUDIN"/>
    <s v="KEPALA KELUARGA"/>
    <x v="0"/>
    <s v="BANJARMASIN"/>
    <n v="3"/>
    <n v="10"/>
    <n v="1995"/>
    <n v="29"/>
    <s v="25-29 TAHUN"/>
    <s v="ISLAM"/>
    <s v="SLTP/SEDERAJAT"/>
    <s v="WIRASWASTA"/>
    <s v="WIRASWASTA"/>
    <s v="KAWIN TERCATAT"/>
    <x v="0"/>
    <s v="JL. PEK. RAYA GG ALIMA"/>
    <s v="JL. PEK. RAYA GG ALIMA"/>
    <m/>
  </r>
  <r>
    <s v="RT 06"/>
    <s v="RW 01"/>
    <s v="6371020107820353"/>
    <s v="3526176202000004"/>
    <s v="JUM’ATI"/>
    <s v="ISTRI"/>
    <x v="1"/>
    <s v="BANGKALAN"/>
    <n v="22"/>
    <n v="2"/>
    <n v="2000"/>
    <n v="24"/>
    <s v="20-24 TAHUN"/>
    <s v="ISLAM"/>
    <s v="TAMAT SD/SEDERAJAT"/>
    <s v="MENGURUS RUMAH TANGGA"/>
    <s v="MENGURUS RUMAH TANGGA"/>
    <s v="KAWIN TERCATAT"/>
    <x v="0"/>
    <s v="JL. PEK. RAYA GG ALIMA"/>
    <s v="JL. PEK. RAYA GG ALIMA"/>
    <m/>
  </r>
  <r>
    <s v="RT 06"/>
    <s v="RW 01"/>
    <s v="6371020107820353"/>
    <s v="6371022309190002"/>
    <s v="MUHAMMAD HAFIZD"/>
    <s v="ANAK"/>
    <x v="0"/>
    <s v="BANJARMASIN"/>
    <n v="23"/>
    <n v="9"/>
    <n v="2019"/>
    <n v="5"/>
    <s v="5-9 TAHUN"/>
    <s v="ISLAM"/>
    <s v="TIDAK/BELUM SEKOLAH"/>
    <s v="BELUM/TIDAK BEKERJA"/>
    <s v="BELUM/TIDAK BEKERJA"/>
    <s v="BELUM KAWIN"/>
    <x v="0"/>
    <s v="JL. PEK. RAYA GG ALIMA"/>
    <s v="JL. PEK. RAYA GG ALIMA"/>
    <m/>
  </r>
  <r>
    <s v="RT 06"/>
    <s v="RW 01"/>
    <s v="6371020502150006"/>
    <s v="6371020508850010"/>
    <s v="DAYAT"/>
    <s v="KEPALA KELUARGA"/>
    <x v="0"/>
    <s v="BANJARMASIN"/>
    <n v="1"/>
    <n v="5"/>
    <n v="1983"/>
    <n v="41"/>
    <s v="40-44 TAHUN"/>
    <s v="ISLAM"/>
    <s v="TAMAT SD/SEDERAJAT"/>
    <s v="WIRASWASTA"/>
    <s v="WIRASWASTA"/>
    <s v="KAWIN TERCATAT"/>
    <x v="0"/>
    <s v="JL. PEKAPURAN RAYA GG. ALIMA"/>
    <s v="JL. PEKAPURAN RAYA GG. ALIMA"/>
    <m/>
  </r>
  <r>
    <s v="RT 06"/>
    <s v="RW 01"/>
    <s v="6371020502150006"/>
    <s v="6371026604890005"/>
    <s v="MUTIARA"/>
    <s v="ISTRI"/>
    <x v="1"/>
    <s v="BANJARMASIN"/>
    <n v="26"/>
    <n v="4"/>
    <n v="1989"/>
    <n v="35"/>
    <s v="35-39 TAHUN"/>
    <s v="ISLAM"/>
    <s v="SLTP/SEDERAJAT"/>
    <s v="MENGURUS RUMAH TANGGA"/>
    <s v="MENGURUS RUMAH TANGGA"/>
    <s v="KAWIN TERCATAT"/>
    <x v="0"/>
    <s v="JL. PEKAPURAN RAYA GG. ALIMA"/>
    <s v="JL. PEKAPURAN RAYA GG. ALIMA"/>
    <m/>
  </r>
  <r>
    <s v="RT 06"/>
    <s v="RW 01"/>
    <s v="6371020502150006"/>
    <s v="6371025210080003"/>
    <s v="SASKIA"/>
    <s v="ANAK"/>
    <x v="1"/>
    <s v="BANJARMASIN"/>
    <n v="12"/>
    <n v="10"/>
    <n v="2008"/>
    <n v="16"/>
    <s v="15-19 TAHUN"/>
    <s v="ISLAM"/>
    <s v="BELUM TAMAT SD/SEDERAJAT"/>
    <s v="PELAJAR/MAHASISWA"/>
    <s v="PELAJAR/MAHASISWA"/>
    <s v="BELUM KAWIN"/>
    <x v="0"/>
    <s v="JL. PEKAPURAN RAYA GG. ALIMA"/>
    <s v="JL. PEKAPURAN RAYA GG. ALIMA"/>
    <m/>
  </r>
  <r>
    <s v="RT 06"/>
    <s v="RW 01"/>
    <s v="6371020502150006"/>
    <s v="6371025105150003"/>
    <s v="SAFIA"/>
    <s v="ANAK"/>
    <x v="1"/>
    <s v="BANJARMASIN"/>
    <n v="11"/>
    <n v="5"/>
    <n v="2015"/>
    <n v="9"/>
    <s v="5-9 TAHUN"/>
    <s v="ISLAM"/>
    <s v="TIDAK/BELUM SEKOLAH"/>
    <s v="BELUM/TIDAK BEKERJA"/>
    <s v="BELUM/TIDAK BEKERJA"/>
    <s v="BELUM KAWIN"/>
    <x v="0"/>
    <s v="JL. PEKAPURAN RAYA GG. ALIMA"/>
    <s v="JL. PEKAPURAN RAYA GG. ALIMA"/>
    <m/>
  </r>
  <r>
    <s v="RT 06"/>
    <s v="RW 01"/>
    <s v="6371020502150006"/>
    <s v="6371021511160005"/>
    <s v="MUHAMMAD FAHRI"/>
    <s v="ANAK"/>
    <x v="0"/>
    <s v="BANJARMASIN"/>
    <n v="15"/>
    <n v="11"/>
    <n v="2018"/>
    <n v="6"/>
    <s v="5-9 TAHUN"/>
    <s v="ISLAM"/>
    <s v="TIDAK/BELUM SEKOLAH"/>
    <s v="BELUM/TIDAK BEKERJA"/>
    <s v="BELUM/TIDAK BEKERJA"/>
    <s v="BELUM KAWIN"/>
    <x v="0"/>
    <s v="JL. PEKAPURAN RAYA GG. ALIMA"/>
    <s v="JL. PEKAPURAN RAYA GG. ALIMA"/>
    <m/>
  </r>
  <r>
    <s v="RT 06"/>
    <s v="RW 01"/>
    <s v="6371020502150006"/>
    <s v="6371020807190001"/>
    <s v="MUHAMMAD AMIN"/>
    <s v="ANAK"/>
    <x v="0"/>
    <s v="BANJARMASIN"/>
    <n v="8"/>
    <n v="7"/>
    <n v="2019"/>
    <n v="5"/>
    <s v="5-9 TAHUN"/>
    <s v="ISLAM"/>
    <s v="TIDAK/BELUM SEKOLAH"/>
    <s v="BELUM/TIDAK BEKERJA"/>
    <s v="BELUM/TIDAK BEKERJA"/>
    <s v="BELUM KAWIN"/>
    <x v="0"/>
    <s v="JL. PEKAPURAN RAYA GG. ALIMA"/>
    <s v="JL. PEKAPURAN RAYA GG. ALIMA"/>
    <m/>
  </r>
  <r>
    <s v="RT 06"/>
    <s v="RW 01"/>
    <s v="6371021301080289"/>
    <s v="6371021304750003"/>
    <s v="MULKANI"/>
    <s v="KEPALA KELUARGA"/>
    <x v="0"/>
    <s v="TAPIN"/>
    <n v="12"/>
    <n v="4"/>
    <n v="1975"/>
    <n v="49"/>
    <s v="45-49 TAHUN"/>
    <s v="ISLAM"/>
    <s v="SLTP/SEDERAJAT"/>
    <s v="WIRASWASTA"/>
    <s v="WIRASWASTA"/>
    <s v="KAWIN"/>
    <x v="0"/>
    <s v="JL. PEKAPURAN RAYA GG.H.M. ARSYAD"/>
    <s v="JL. PEKAPURAN RAYA GG.H.M. ARSYAD"/>
    <m/>
  </r>
  <r>
    <s v="RT 06"/>
    <s v="RW 01"/>
    <s v="6371021301080289"/>
    <s v="6371025505800012"/>
    <s v="HANIFAH"/>
    <s v="ISTRI"/>
    <x v="1"/>
    <s v="BANJARMASIN"/>
    <n v="15"/>
    <n v="5"/>
    <n v="1980"/>
    <n v="44"/>
    <s v="40-44 TAHUN"/>
    <s v="ISLAM"/>
    <s v="SLTP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1301080289"/>
    <s v="6371034312030002"/>
    <s v="HANINDA"/>
    <s v="ANAK"/>
    <x v="1"/>
    <s v="BANJARMASIN"/>
    <n v="2"/>
    <n v="12"/>
    <n v="2003"/>
    <n v="21"/>
    <s v="20-24 TAHUN"/>
    <s v="ISLAM"/>
    <s v="BELUM TAMAT SD/SEDERAJAT"/>
    <s v="PELAJAR/MAHASISWA"/>
    <s v="PELAJAR/MAHASISWA"/>
    <s v="BELUM KAWIN"/>
    <x v="0"/>
    <s v="JL. PEKAPURAN RAYA GG.H.M. ARSYAD"/>
    <s v="JL. PEKAPURAN RAYA GG.H.M. ARSYAD"/>
    <m/>
  </r>
  <r>
    <s v="RT 06"/>
    <s v="RW 01"/>
    <s v="6371021301080289"/>
    <s v="6371025505060003"/>
    <s v="NORHAYATI"/>
    <s v="ANAK"/>
    <x v="1"/>
    <s v="BANJARMASIN"/>
    <n v="15"/>
    <n v="8"/>
    <n v="2005"/>
    <n v="19"/>
    <s v="15-19 TAHUN"/>
    <s v="ISLAM"/>
    <s v="BELUM TAMAT SD/SEDERAJAT"/>
    <s v="PELAJAR/MAHASISWA"/>
    <s v="PELAJAR/MAHASISWA"/>
    <s v="BELUM KAWIN"/>
    <x v="0"/>
    <s v="JL. PEKAPURAN RAYA GG.H.M. ARSYAD"/>
    <s v="JL. PEKAPURAN RAYA GG.H.M. ARSYAD"/>
    <m/>
  </r>
  <r>
    <s v="RT 06"/>
    <s v="RW 01"/>
    <s v="6371021301080289"/>
    <s v="6371028203140002"/>
    <s v="MUHAMMAD ALI"/>
    <s v="ANAK"/>
    <x v="0"/>
    <s v="BANJARMASIN"/>
    <n v="2"/>
    <n v="3"/>
    <n v="2014"/>
    <n v="10"/>
    <s v="10-14 TAHUN"/>
    <s v="ISLAM"/>
    <s v="BELUM TAMAT SD/SEDERAJAT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1405080002"/>
    <s v="6371021011700020"/>
    <s v="JOHAN ARIFIN"/>
    <s v="KEPALA KELUARGA"/>
    <x v="0"/>
    <s v="BANJARMASIN"/>
    <n v="10"/>
    <n v="11"/>
    <n v="1970"/>
    <n v="54"/>
    <s v="50-54 TAHUN"/>
    <s v="ISLAM"/>
    <s v="SLTA/SEDERAJAT"/>
    <s v="WIRASWASTA"/>
    <s v="WIRASWASTA"/>
    <s v="KAWIN"/>
    <x v="0"/>
    <s v="JL. PEKAPURAN RAYA NO. 76"/>
    <s v="JL. PEKAPURAN RAYA NO. 76"/>
    <m/>
  </r>
  <r>
    <s v="RT 06"/>
    <s v="RW 01"/>
    <s v="6371021405080002"/>
    <s v="6371025306740005"/>
    <s v="ASIAH"/>
    <s v="ISTRI"/>
    <x v="1"/>
    <s v="BANJARMASIN"/>
    <n v="13"/>
    <n v="6"/>
    <n v="1974"/>
    <n v="50"/>
    <s v="50-54 TAHUN"/>
    <s v="ISLAM"/>
    <s v="SLTP/SEDERAJAT"/>
    <s v="MENGURUS RUMAH TANGGA"/>
    <s v="MENGURUS RUMAH TANGGA"/>
    <s v="KAWIN"/>
    <x v="0"/>
    <s v="JL. PEKAPURAN RAYA NO. 77"/>
    <s v="JL. PEKAPURAN RAYA NO. 77"/>
    <m/>
  </r>
  <r>
    <s v="RT 06"/>
    <s v="RW 01"/>
    <s v="6371021405080002"/>
    <s v="6371027010940004"/>
    <s v="LILY HERAWATI"/>
    <s v="ANAK"/>
    <x v="1"/>
    <s v="BANJARMASIN"/>
    <n v="30"/>
    <n v="10"/>
    <n v="1994"/>
    <n v="30"/>
    <s v="30-34 TAHUN"/>
    <s v="ISLAM"/>
    <s v="SLTP/SEDERAJAT"/>
    <s v="PELAJAR/MAHASISWA"/>
    <s v="PELAJAR/MAHASISWA"/>
    <s v="BELUM KAWIN"/>
    <x v="0"/>
    <s v="JL. PEKAPURAN RAYA NO. 78"/>
    <s v="JL. PEKAPURAN RAYA NO. 78"/>
    <m/>
  </r>
  <r>
    <s v="RT 06"/>
    <s v="RW 01"/>
    <s v="6371021405080002"/>
    <s v="6371020710970008"/>
    <s v="IWAN RIGANI"/>
    <s v="ANAK"/>
    <x v="0"/>
    <s v="BANJARMASIN"/>
    <n v="7"/>
    <n v="10"/>
    <n v="1997"/>
    <n v="27"/>
    <s v="25-29 TAHUN"/>
    <s v="ISLAM"/>
    <s v="TAMAT SD/SEDERAJAT"/>
    <s v="PELAJAR/MAHASISWA"/>
    <s v="PELAJAR/MAHASISWA"/>
    <s v="BELUM KAWIN"/>
    <x v="0"/>
    <s v="JL. PEKAPURAN RAYA NO. 79"/>
    <s v="JL. PEKAPURAN RAYA NO. 79"/>
    <m/>
  </r>
  <r>
    <s v="RT 06"/>
    <s v="RW 01"/>
    <s v="6371021405080002"/>
    <s v="6371026309030003"/>
    <s v="AISYAH SALSABELA"/>
    <s v="ANAK"/>
    <x v="1"/>
    <s v="BANJARMASIN"/>
    <n v="23"/>
    <n v="9"/>
    <n v="2003"/>
    <n v="21"/>
    <s v="20-24 TAHUN"/>
    <s v="ISLAM"/>
    <s v="BELUM TAMAT SD/SEDERAJAT"/>
    <s v="PELAJAR/MAHASISWA"/>
    <s v="PELAJAR/MAHASISWA"/>
    <s v="BELUM KAWIN"/>
    <x v="0"/>
    <s v="JL. PEKAPURAN RAYA NO. 80"/>
    <s v="JL. PEKAPURAN RAYA NO. 80"/>
    <m/>
  </r>
  <r>
    <s v="RT 06"/>
    <s v="RW 01"/>
    <s v="6371021405080002"/>
    <s v="6371024603060003"/>
    <s v="LENY ARIYANI"/>
    <s v="ANAK"/>
    <x v="1"/>
    <s v="BANJARMASIN"/>
    <n v="6"/>
    <n v="3"/>
    <n v="2006"/>
    <n v="18"/>
    <s v="15-19 TAHUN"/>
    <s v="ISLAM"/>
    <s v="TIDAK/BELUM SEKOLAH"/>
    <s v="BELUM/TIDAK BEKERJA"/>
    <s v="BELUM/TIDAK BEKERJA"/>
    <s v="BELUM KAWIN"/>
    <x v="0"/>
    <s v="JL. PEKAPURAN RAYA NO. 81"/>
    <s v="JL. PEKAPURAN RAYA NO. 81"/>
    <m/>
  </r>
  <r>
    <s v="RT 06"/>
    <s v="RW 01"/>
    <s v="6371021405080002"/>
    <s v="6371021405130004"/>
    <s v="M. MAULANA SAPUTRA"/>
    <s v="ANAK"/>
    <x v="0"/>
    <s v="BANJARMASIN"/>
    <n v="14"/>
    <n v="5"/>
    <n v="2013"/>
    <n v="11"/>
    <s v="10-14 TAHUN"/>
    <s v="ISLAM"/>
    <s v="TIDAK/BELUM SEKOLAH"/>
    <s v="BELUM/TIDAK BEKERJA"/>
    <s v="BELUM/TIDAK BEKERJA"/>
    <s v="BELUM KAWIN"/>
    <x v="0"/>
    <s v="JL. PEKAPURAN RAYA NO. 82"/>
    <s v="JL. PEKAPURAN RAYA NO. 82"/>
    <m/>
  </r>
  <r>
    <s v="RT 06"/>
    <s v="RW 01"/>
    <s v="6371021704180005"/>
    <s v="6371020705940008"/>
    <s v="SUHADI"/>
    <s v="KEPALA KELUARGA"/>
    <x v="0"/>
    <s v="BANJARMASIN"/>
    <n v="7"/>
    <n v="5"/>
    <n v="1994"/>
    <n v="30"/>
    <s v="30-34 TAHUN"/>
    <s v="ISLAM"/>
    <s v="TAMAT SD/SEDERAJAT"/>
    <s v="WIRASWASTA"/>
    <s v="WIRASWASTA"/>
    <s v="KAWIN TERCATAT"/>
    <x v="0"/>
    <s v="JL. PEKAPURAN RAYA GG.H.M. ARSYAD"/>
    <s v="JL. PEKAPURAN RAYA GG.H.M. ARSYAD"/>
    <m/>
  </r>
  <r>
    <s v="RT 06"/>
    <s v="RW 01"/>
    <s v="6371021704180005"/>
    <s v="6371055308980002"/>
    <s v="SELVIANI"/>
    <s v="ISTRI"/>
    <x v="1"/>
    <s v="BANJARMASIN"/>
    <n v="13"/>
    <n v="8"/>
    <n v="1998"/>
    <n v="26"/>
    <s v="25-29 TAHUN"/>
    <s v="ISLAM"/>
    <s v="TAMAT SD/SEDERAJAT"/>
    <s v="MENGURUS RUMAH TANGGA"/>
    <s v="MENGURUS RUMAH TANGGA"/>
    <s v="KAWIN TERCATAT"/>
    <x v="0"/>
    <s v="JL. PEKAPURAN RAYA GG.H.M. ARSYAD"/>
    <s v="JL. PEKAPURAN RAYA GG.H.M. ARSYAD"/>
    <m/>
  </r>
  <r>
    <s v="RT 06"/>
    <s v="RW 01"/>
    <s v="6371021704180005"/>
    <s v="6371026512200001"/>
    <s v="NAIRA ARSYILA"/>
    <s v="ANAK"/>
    <x v="1"/>
    <s v="BANJARMASIN"/>
    <n v="25"/>
    <n v="12"/>
    <n v="2020"/>
    <n v="4"/>
    <s v="0-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1904100005"/>
    <s v="6371020107780652"/>
    <s v="ABDUL WACHID"/>
    <s v="ANAK"/>
    <x v="0"/>
    <s v="PALANGKARAYA"/>
    <n v="1"/>
    <n v="7"/>
    <n v="1978"/>
    <n v="46"/>
    <s v="45-49 TAHUN"/>
    <s v="ISLAM"/>
    <s v="TAMAT SD/SEDERAJAT"/>
    <s v="WIRASWASTA"/>
    <s v="WIRASWASTA"/>
    <s v="KAWIN TERCATAT"/>
    <x v="0"/>
    <s v="JL. PEKAPURAN RAYA GG.H.M. ARSYAD"/>
    <s v="JL. PEKAPURAN RAYA GG.H.M. ARSYAD"/>
    <m/>
  </r>
  <r>
    <s v="RT 06"/>
    <s v="RW 01"/>
    <s v="6371021904100005"/>
    <s v="3526105912800002"/>
    <s v="SUMA"/>
    <s v="ANAK"/>
    <x v="1"/>
    <s v="BANGKALAN"/>
    <n v="19"/>
    <n v="12"/>
    <n v="1980"/>
    <n v="44"/>
    <s v="40-44 TAHUN"/>
    <s v="ISLAM"/>
    <s v="TAMAT SD/SEDERAJAT"/>
    <s v="MENGURUS RUMAH TANGGA"/>
    <s v="MENGURUS RUMAH TANGGA"/>
    <s v="KAWIN TERCATAT"/>
    <x v="0"/>
    <s v="JL. PEKAPURAN RAYA GG.H.M. ARSYAD"/>
    <s v="JL. PEKAPURAN RAYA GG.H.M. ARSYAD"/>
    <m/>
  </r>
  <r>
    <s v="RT 06"/>
    <s v="RW 01"/>
    <s v="6371021904100005"/>
    <s v="6371026303060006"/>
    <s v="SALWATUL AFIFAH"/>
    <s v="ANAK"/>
    <x v="1"/>
    <s v="BANJARMASIN"/>
    <n v="23"/>
    <n v="3"/>
    <n v="2006"/>
    <n v="18"/>
    <s v="15-19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1904100005"/>
    <s v="6371027004190002"/>
    <s v="SITI FATIMATUZ ZAHRO"/>
    <s v="ANAK"/>
    <x v="1"/>
    <s v="BANJARMASIN"/>
    <n v="30"/>
    <n v="4"/>
    <n v="2019"/>
    <n v="5"/>
    <s v="5-9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2504190004"/>
    <s v="6371020408840002"/>
    <s v="AHMAD KUSASI"/>
    <s v="KEPALA KELUARGA"/>
    <x v="0"/>
    <s v="BANJARMASIN"/>
    <n v="4"/>
    <n v="8"/>
    <n v="1984"/>
    <n v="40"/>
    <s v="40-44 TAHUN"/>
    <s v="ISLAM"/>
    <s v="SLTA/SEDERAJAT"/>
    <s v="KARYAWAN SWASTA"/>
    <s v="KARYAWAN SWASTA"/>
    <s v="KAWIN TERCATAT"/>
    <x v="0"/>
    <s v="JL. PEKAPURAN RAYA"/>
    <s v="JL. PEKAPURAN RAYA"/>
    <m/>
  </r>
  <r>
    <s v="RT 06"/>
    <s v="RW 01"/>
    <s v="6371022504190004"/>
    <s v="6371025804870001"/>
    <s v="MAYA DWINTA SARI"/>
    <s v="ISTRI"/>
    <x v="1"/>
    <s v="BANJARMASIN"/>
    <n v="18"/>
    <n v="4"/>
    <n v="1987"/>
    <n v="37"/>
    <s v="35-39 TAHUN"/>
    <s v="ISLAM"/>
    <s v="SLTA/SEDERAJAT"/>
    <s v="MENGURUS RUMAH TANGGA"/>
    <s v="MENGURUS RUMAH TANGGA"/>
    <s v="KAWIN TERCATAT"/>
    <x v="0"/>
    <s v="JL. PEKAPURAN RAYA"/>
    <s v="JL. PEKAPURAN RAYA"/>
    <m/>
  </r>
  <r>
    <s v="RT 06"/>
    <s v="RW 01"/>
    <s v="6371020501080228"/>
    <s v="6371020106720008"/>
    <s v="SAPRI"/>
    <s v="KEPALA KELUARGA"/>
    <x v="0"/>
    <s v="PALANGKARAYA"/>
    <n v="1"/>
    <n v="6"/>
    <n v="1972"/>
    <n v="52"/>
    <s v="50-54 TAHUN"/>
    <s v="ISLAM"/>
    <s v="SLTA/SEDERAJAT"/>
    <s v="WIRASWASTA"/>
    <s v="WIRASWASTA"/>
    <s v="KAWIN"/>
    <x v="0"/>
    <s v="JL. PEKAPURAN RAYA"/>
    <s v="JL. PEKAPURAN RAYA"/>
    <m/>
  </r>
  <r>
    <s v="RT 06"/>
    <s v="RW 01"/>
    <s v="6371020501080228"/>
    <s v="6371025810750003"/>
    <s v="KIPTIYAH"/>
    <s v="ISTRI"/>
    <x v="1"/>
    <s v="PALANGKARAYA"/>
    <n v="18"/>
    <n v="10"/>
    <n v="1975"/>
    <n v="49"/>
    <s v="45-49 TAHUN"/>
    <s v="ISLAM"/>
    <s v="DIPLOMA I/II"/>
    <s v="PEGAWAI NEGERI SIPIL (PNS)"/>
    <s v="PEGAWAI NEGERI SIPIL (PNS)"/>
    <s v="KAWIN"/>
    <x v="0"/>
    <s v="JL. PEKAPURAN RAYA"/>
    <s v="JL. PEKAPURAN RAYA"/>
    <m/>
  </r>
  <r>
    <s v="RT 06"/>
    <s v="RW 01"/>
    <s v="6371020501080228"/>
    <s v="6371023112010004"/>
    <s v="MUHAMMAD TAUFIQURRAHMAN"/>
    <s v="ANAK"/>
    <x v="0"/>
    <s v="BANJARMASIN"/>
    <n v="31"/>
    <n v="12"/>
    <n v="2001"/>
    <n v="23"/>
    <s v="20-24 TAHUN"/>
    <s v="ISLAM"/>
    <s v="TAMAT SD/SEDERAJAT"/>
    <s v="PELAJAR/MAHASISWA"/>
    <s v="PELAJAR/MAHASISWA"/>
    <s v="BELUM KAWIN"/>
    <x v="0"/>
    <s v="JL. PEKAPURAN RAYA"/>
    <s v="JL. PEKAPURAN RAYA"/>
    <m/>
  </r>
  <r>
    <s v="RT 06"/>
    <s v="RW 01"/>
    <s v="6371020501080228"/>
    <s v="6371024403060005"/>
    <s v="NADILATUZ ZAHROH"/>
    <s v="ANAK"/>
    <x v="1"/>
    <s v="BANJARMASIN"/>
    <n v="4"/>
    <n v="3"/>
    <n v="2006"/>
    <n v="18"/>
    <s v="15-19 TAHUN"/>
    <s v="ISLAM"/>
    <s v="BELUM TAMAT SD/SEDERAJAT"/>
    <s v="PELAJAR/MAHASISWA"/>
    <s v="PELAJAR/MAHASISWA"/>
    <s v="BELUM KAWIN"/>
    <x v="0"/>
    <s v="JL. PEKAPURAN RAYA"/>
    <s v="JL. PEKAPURAN RAYA"/>
    <m/>
  </r>
  <r>
    <s v="RT 06"/>
    <s v="RW 01"/>
    <s v="6371020501080228"/>
    <s v="6371020610100002"/>
    <s v="IBNU AQIEL"/>
    <s v="ANAK"/>
    <x v="0"/>
    <s v="BANJARMASIN"/>
    <n v="6"/>
    <n v="10"/>
    <n v="2010"/>
    <n v="14"/>
    <s v="10-14 TAHUN"/>
    <s v="ISLAM"/>
    <s v="TIDAK/BELUM SEKOLAH"/>
    <s v="BELUM/TIDAK BEKERJA"/>
    <s v="BELUM/TIDAK BEKERJA"/>
    <s v="BELUM KAWIN"/>
    <x v="0"/>
    <s v="JL. PEKAPURAN RAYA"/>
    <s v="JL. PEKAPURAN RAYA"/>
    <m/>
  </r>
  <r>
    <s v="RT 06"/>
    <s v="RW 01"/>
    <s v="6371020501080228"/>
    <s v="6371021806160001"/>
    <s v="ABIDZAR ALGHIFARI"/>
    <s v="ANAK"/>
    <x v="0"/>
    <s v="BANJARMASIN"/>
    <n v="18"/>
    <n v="6"/>
    <n v="2016"/>
    <n v="8"/>
    <s v="5-9 TAHUN"/>
    <s v="ISLAM"/>
    <s v="TIDAK/BELUM SEKOLAH"/>
    <s v="BELUM/TIDAK BEKERJA"/>
    <s v="BELUM/TIDAK BEKERJA"/>
    <s v="BELUM KAWIN"/>
    <x v="0"/>
    <s v="JL. PEKAPURAN RAYA"/>
    <s v="JL. PEKAPURAN RAYA"/>
    <m/>
  </r>
  <r>
    <s v="RT 06"/>
    <s v="RW 01"/>
    <s v="6371020501080228"/>
    <s v="6371024803450003"/>
    <s v="HATIJAH, HJ"/>
    <s v="ANAK"/>
    <x v="1"/>
    <s v="BANJARMASIN"/>
    <n v="8"/>
    <n v="3"/>
    <n v="1945"/>
    <n v="79"/>
    <s v="75+ TAHUN"/>
    <s v="ISLAM"/>
    <s v="BELUM TAMAT SD/SEDERAJAT"/>
    <s v="MENGURUS RUMAH TANGGA"/>
    <s v="MENGURUS RUMAH TANGGA"/>
    <s v="KAWIN"/>
    <x v="0"/>
    <s v="JL. PEKAPURAN RAYA"/>
    <s v="JL. PEKAPURAN RAYA"/>
    <m/>
  </r>
  <r>
    <s v="RT 06"/>
    <s v="RW 01"/>
    <s v="6371020501080228"/>
    <s v="6371022507910010"/>
    <s v="MUHAMMAD YATIM"/>
    <s v="ANAK"/>
    <x v="0"/>
    <s v="BANJARMASIN"/>
    <n v="25"/>
    <n v="7"/>
    <n v="1991"/>
    <n v="33"/>
    <s v="30-34 TAHUN"/>
    <s v="ISLAM"/>
    <s v="BELUM TAMAT SD/SEDERAJAT"/>
    <s v="WIRASWASTA"/>
    <s v="WIRASWASTA"/>
    <s v="BELUM KAWIN"/>
    <x v="0"/>
    <s v="JL. PEKAPURAN RAYA"/>
    <s v="JL. PEKAPURAN RAYA"/>
    <m/>
  </r>
  <r>
    <s v="RT 06"/>
    <s v="RW 01"/>
    <s v="6371020905080030"/>
    <s v="6371020807580010"/>
    <s v="ALAMSYAH"/>
    <s v="KEPALA KELUARGA"/>
    <x v="0"/>
    <s v="ALABIO"/>
    <n v="8"/>
    <n v="7"/>
    <n v="1958"/>
    <n v="66"/>
    <s v="65-69 TAHUN"/>
    <s v="ISLAM"/>
    <s v="TAMAT SD/SEDERAJAT"/>
    <s v="TUKANG JAHIT"/>
    <s v="TUKANG JAHIT"/>
    <s v="KAWIN"/>
    <x v="0"/>
    <s v="JL. PEK. RAYA GG ALIMA"/>
    <s v="JL. PEK. RAYA GG ALIMA"/>
    <m/>
  </r>
  <r>
    <s v="RT 06"/>
    <s v="RW 01"/>
    <s v="6371020905080030"/>
    <s v="6371025502670007"/>
    <s v="HAMISAH"/>
    <s v="ISTRI"/>
    <x v="1"/>
    <s v="BANJARMASIN"/>
    <n v="15"/>
    <n v="2"/>
    <n v="1967"/>
    <n v="57"/>
    <s v="55-59 TAHUN"/>
    <s v="ISLAM"/>
    <s v="TAMAT SD/SEDERAJAT"/>
    <s v="WIRASWASTA"/>
    <s v="WIRASWASTA"/>
    <s v="KAWIN"/>
    <x v="0"/>
    <s v="JL. PEK. RAYA GG ALIMA"/>
    <s v="JL. PEK. RAYA GG ALIMA"/>
    <m/>
  </r>
  <r>
    <s v="RT 06"/>
    <s v="RW 01"/>
    <s v="6371020905080030"/>
    <s v="6371021304910002"/>
    <s v="BAIHAKI"/>
    <s v="ANAK"/>
    <x v="0"/>
    <s v="BANJARMASIN"/>
    <n v="13"/>
    <n v="4"/>
    <n v="1991"/>
    <n v="33"/>
    <s v="30-34 TAHUN"/>
    <s v="ISLAM"/>
    <s v="SLTA/SEDERAJAT"/>
    <s v="BELUM/TIDAK BEKERJA"/>
    <s v="BELUM/TIDAK BEKERJA"/>
    <s v="BELUM KAWIN"/>
    <x v="0"/>
    <s v="JL. PEK. RAYA GG ALIMA"/>
    <s v="JL. PEK. RAYA GG ALIMA"/>
    <m/>
  </r>
  <r>
    <s v="RT 06"/>
    <s v="RW 01"/>
    <s v="6371020905080030"/>
    <s v="6371020505930019"/>
    <s v="RIDUANSYAH"/>
    <s v="ANAK"/>
    <x v="0"/>
    <s v="BANJARMASIN"/>
    <n v="5"/>
    <n v="5"/>
    <n v="1993"/>
    <n v="31"/>
    <s v="30-34 TAHUN"/>
    <s v="ISLAM"/>
    <s v="SLTP/SEDERAJAT"/>
    <s v="BELUM/TIDAK BEKERJA"/>
    <s v="BELUM/TIDAK BEKERJA"/>
    <s v="BELUM KAWIN"/>
    <x v="0"/>
    <s v="JL. PEK. RAYA GG ALIMA"/>
    <s v="JL. PEK. RAYA GG ALIMA"/>
    <m/>
  </r>
  <r>
    <s v="RT 06"/>
    <s v="RW 01"/>
    <s v="6371020905080030"/>
    <s v="6371021205980009"/>
    <s v="M. FADLI"/>
    <s v="ANAK"/>
    <x v="0"/>
    <s v="BANJARMASIN"/>
    <n v="12"/>
    <n v="5"/>
    <n v="1998"/>
    <n v="26"/>
    <s v="25-29 TAHUN"/>
    <s v="ISLAM"/>
    <s v="SLTP/SEDERAJAT"/>
    <s v="PELAJAR/MAHASISWA"/>
    <s v="PELAJAR/MAHASISWA"/>
    <s v="BELUM KAWIN"/>
    <x v="0"/>
    <s v="JL. PEK. RAYA GG ALIMA"/>
    <s v="JL. PEK. RAYA GG ALIMA"/>
    <m/>
  </r>
  <r>
    <s v="RT 06"/>
    <s v="RW 01"/>
    <s v="6371021110100007"/>
    <s v="6371020701790004"/>
    <s v="HANAFI"/>
    <s v="KEPALA KELUARGA"/>
    <x v="0"/>
    <s v="BANJARMASIN"/>
    <n v="7"/>
    <n v="1"/>
    <n v="1979"/>
    <n v="45"/>
    <s v="45-49 TAHUN"/>
    <s v="ISLAM"/>
    <s v="SLTP/SEDERAJAT"/>
    <s v="WIRASWASTA"/>
    <s v="WIRASWASTA"/>
    <s v="KAWIN"/>
    <x v="0"/>
    <s v="JL. PEKAPURAN RAYA GG.H.M. ARSYAD"/>
    <s v="JL. PEKAPURAN RAYA GG.H.M. ARSYAD"/>
    <m/>
  </r>
  <r>
    <s v="RT 06"/>
    <s v="RW 01"/>
    <s v="6371021110100007"/>
    <s v="6371026112830005"/>
    <s v="MULIYANTI"/>
    <s v="ISTRI"/>
    <x v="1"/>
    <s v="BANJARMASIN"/>
    <n v="21"/>
    <n v="12"/>
    <n v="1983"/>
    <n v="41"/>
    <s v="40-44 TAHUN"/>
    <s v="ISLAM"/>
    <s v="SLTA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1110100007"/>
    <s v="6371026305100002"/>
    <s v="SITI NUR KAMILA"/>
    <s v="ANAK"/>
    <x v="1"/>
    <s v="BANJARMASIN"/>
    <n v="23"/>
    <n v="5"/>
    <n v="2010"/>
    <n v="14"/>
    <s v="10-1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905080044"/>
    <s v="6371020707760013"/>
    <s v="HENDRA JAYA"/>
    <s v="KEPALA KELUARGA"/>
    <x v="0"/>
    <s v="BANJARMASIN"/>
    <n v="7"/>
    <n v="7"/>
    <n v="1976"/>
    <n v="48"/>
    <s v="45-49 TAHUN"/>
    <s v="ISLAM"/>
    <s v="SLTP/SEDERAJAT"/>
    <s v="TUKANG CUKUR"/>
    <s v="TUKANG CUKUR"/>
    <s v="KAWIN"/>
    <x v="0"/>
    <s v="JL. PEKAPURAN RAYA GG.H.M. ARSYAD"/>
    <s v="JL. PEKAPURAN RAYA GG.H.M. ARSYAD"/>
    <m/>
  </r>
  <r>
    <s v="RT 06"/>
    <s v="RW 01"/>
    <s v="6371020905080044"/>
    <s v="6371025705770006"/>
    <s v="RAUDAH"/>
    <s v="ISTRI"/>
    <x v="1"/>
    <s v="BANJARMASIN"/>
    <n v="17"/>
    <n v="5"/>
    <n v="1977"/>
    <n v="47"/>
    <s v="45-49 TAHUN"/>
    <s v="ISLAM"/>
    <s v="SLTP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0905080044"/>
    <s v="6371022107970010"/>
    <s v="AKHMAD SYAHBANA"/>
    <s v="ANAK"/>
    <x v="0"/>
    <s v="BANJARMASIN"/>
    <n v="21"/>
    <n v="7"/>
    <n v="1997"/>
    <n v="27"/>
    <s v="25-29 TAHUN"/>
    <s v="ISLAM"/>
    <s v="TAMAT SD/SEDERAJAT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905080044"/>
    <s v="6371020510010009"/>
    <s v="M. SUBHAN"/>
    <s v="ANAK"/>
    <x v="0"/>
    <s v="BANJARMASIN"/>
    <n v="5"/>
    <n v="10"/>
    <n v="2001"/>
    <n v="23"/>
    <s v="20-2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905080044"/>
    <s v="6371021104050004"/>
    <s v="FAUZAN"/>
    <s v="ANAK"/>
    <x v="0"/>
    <s v="BANJARMASIN"/>
    <n v="11"/>
    <n v="4"/>
    <n v="2005"/>
    <n v="19"/>
    <s v="15-19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905080044"/>
    <s v="6371020311110002"/>
    <s v="FAJAR NAZWA"/>
    <s v="ANAK"/>
    <x v="0"/>
    <s v="BANJARMASIN"/>
    <n v="3"/>
    <n v="11"/>
    <n v="2011"/>
    <n v="13"/>
    <s v="10-1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501080434"/>
    <s v="6371021203650008"/>
    <s v="JUMBERAN"/>
    <s v="KEPALA KELUARGA"/>
    <x v="0"/>
    <s v="BANJARMASIN"/>
    <n v="12"/>
    <n v="3"/>
    <n v="1965"/>
    <n v="59"/>
    <s v="55-59 TAHUN"/>
    <s v="ISLAM"/>
    <s v="SLTA/SEDERAJAT"/>
    <s v="WIRASWASTA"/>
    <s v="WIRASWASTA"/>
    <s v="KAWIN"/>
    <x v="0"/>
    <s v="JL. PEKAPURAN RAYA GG.H.M. ARSYAD"/>
    <s v="JL. PEKAPURAN RAYA GG.H.M. ARSYAD"/>
    <m/>
  </r>
  <r>
    <s v="RT 06"/>
    <s v="RW 01"/>
    <s v="6371020501080434"/>
    <s v="6371024103660009"/>
    <s v="SAUDAH"/>
    <s v="ISTRI"/>
    <x v="1"/>
    <s v="BANJARMASIN"/>
    <n v="1"/>
    <n v="3"/>
    <n v="1966"/>
    <n v="58"/>
    <s v="55-59 TAHUN"/>
    <s v="ISLAM"/>
    <s v="SLTA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0501080434"/>
    <s v="6371020808970006"/>
    <s v="ABUS SALAM"/>
    <s v="ANAK"/>
    <x v="0"/>
    <s v="BANJARMASIN"/>
    <n v="8"/>
    <n v="8"/>
    <n v="1997"/>
    <n v="27"/>
    <s v="25-29 TAHUN"/>
    <s v="ISLAM"/>
    <s v="TAMAT SD/SEDERAJAT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6704750005"/>
    <s v="6371026704750005"/>
    <s v="SRIYATI. SH"/>
    <s v="KEPALA KELUARGA"/>
    <x v="1"/>
    <s v="BANJARMASIN"/>
    <n v="27"/>
    <n v="4"/>
    <n v="1975"/>
    <n v="49"/>
    <s v="45-49 TAHUN"/>
    <s v="ISLAM"/>
    <s v="DIV/S1"/>
    <s v="WIRASWASTA"/>
    <s v="WIRASWASTA"/>
    <s v="BELUM KAWIN"/>
    <x v="0"/>
    <s v="JL. PEKAPURAN RAYA NO.40"/>
    <s v="JL. PEKAPURAN RAYA NO.40"/>
    <m/>
  </r>
  <r>
    <s v="RT 06"/>
    <s v="RW 01"/>
    <s v="6371026704750005"/>
    <s v="6371026201930006"/>
    <s v="FATMAWATI, SKM"/>
    <s v="ISTRI"/>
    <x v="1"/>
    <s v="BANJARMASIN"/>
    <n v="22"/>
    <n v="1"/>
    <n v="1993"/>
    <n v="31"/>
    <s v="30-34 TAHUN"/>
    <s v="ISLAM"/>
    <s v="DIV/S1"/>
    <s v="PELAJAR/MAHASISWA"/>
    <s v="PELAJAR/MAHASISWA"/>
    <s v="BELUM KAWIN"/>
    <x v="0"/>
    <s v="JL. PEKAPURAN RAYA NO.41"/>
    <s v="JL. PEKAPURAN RAYA NO.41"/>
    <m/>
  </r>
  <r>
    <s v="RT 06"/>
    <s v="RW 01"/>
    <s v="6371026704750005"/>
    <s v="6307031310070001"/>
    <s v="MUHAMMAD MALIKI"/>
    <s v="ANAK"/>
    <x v="0"/>
    <s v="BANJARMASIN"/>
    <n v="13"/>
    <n v="10"/>
    <n v="2007"/>
    <n v="17"/>
    <s v="15-19 TAHUN"/>
    <s v="ISLAM"/>
    <s v="TAMAT SD/SEDERAJAT"/>
    <s v="KARYAWAN SWASTA"/>
    <s v="KARYAWAN SWASTA"/>
    <s v="BELUM KAWIN"/>
    <x v="0"/>
    <s v="JL. PEKAPURAN RAYA NO.42"/>
    <s v="JL. PEKAPURAN RAYA NO.42"/>
    <m/>
  </r>
  <r>
    <s v="RT 06"/>
    <s v="RW 01"/>
    <s v="6371020902090008"/>
    <s v="6371021708750023"/>
    <s v="AHMAD SUBA’I"/>
    <s v="KEPALA KELUARGA"/>
    <x v="0"/>
    <s v="MADURA"/>
    <n v="17"/>
    <n v="8"/>
    <n v="1975"/>
    <n v="49"/>
    <s v="45-49 TAHUN"/>
    <s v="ISLAM"/>
    <s v="TAMAT SD/SEDERAJAT"/>
    <s v="WIRASWASTA"/>
    <s v="WIRASWASTA"/>
    <s v="KAWIN"/>
    <x v="0"/>
    <s v="JL. PEKAPURAN RAYA GG.H.M. ARSYAD"/>
    <s v="JL. PEKAPURAN RAYA GG.H.M. ARSYAD"/>
    <m/>
  </r>
  <r>
    <s v="RT 06"/>
    <s v="RW 01"/>
    <s v="6371020902090008"/>
    <s v="6371056810840007"/>
    <s v="MUSIYEH"/>
    <s v="ISTRI"/>
    <x v="1"/>
    <s v="MADURA"/>
    <n v="28"/>
    <n v="10"/>
    <n v="1984"/>
    <n v="40"/>
    <s v="40-44 TAHUN"/>
    <s v="ISLAM"/>
    <s v="BELUM TAMAT SD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0902090008"/>
    <s v="6371021111120002"/>
    <s v="MUZEMMIL"/>
    <s v="ANAK"/>
    <x v="0"/>
    <s v="BANJARMASIN"/>
    <n v="11"/>
    <n v="11"/>
    <n v="2012"/>
    <n v="12"/>
    <s v="10-1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902090008"/>
    <s v="6371021110150005"/>
    <s v="ABQORI AGAM"/>
    <s v="ANAK"/>
    <x v="0"/>
    <s v="BANJARMASIN"/>
    <n v="11"/>
    <n v="10"/>
    <n v="2015"/>
    <n v="9"/>
    <s v="5-9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401080102"/>
    <s v="6371021006800006"/>
    <s v="MAHYUNI"/>
    <s v="KEPALA KELUARGA"/>
    <x v="0"/>
    <s v="BANJARMASIN"/>
    <n v="10"/>
    <n v="6"/>
    <n v="1980"/>
    <n v="44"/>
    <s v="40-44 TAHUN"/>
    <s v="ISLAM"/>
    <s v="TAMAT SD/SEDERAJAT"/>
    <s v="PEDAGANG"/>
    <s v="PEDAGANG"/>
    <s v="KAWIN TERCATAT"/>
    <x v="0"/>
    <s v="JL. PEK. RAYA GG.H. ARSYAD NO. 47"/>
    <s v="JL. PEK. RAYA GG.H. ARSYAD NO. 47"/>
    <m/>
  </r>
  <r>
    <s v="RT 06"/>
    <s v="RW 01"/>
    <s v="6371020401080102"/>
    <s v="6371024410790002"/>
    <s v="ASNAH WATI"/>
    <s v="ISTRI"/>
    <x v="1"/>
    <s v="MARGASARI"/>
    <n v="4"/>
    <n v="10"/>
    <n v="1979"/>
    <n v="45"/>
    <s v="45-49 TAHUN"/>
    <s v="ISLAM"/>
    <s v="TAMAT SD/SEDERAJAT"/>
    <s v="MENGURUS RUMAH TANGGA"/>
    <s v="MENGURUS RUMAH TANGGA"/>
    <s v="KAWIN TERCATAT"/>
    <x v="0"/>
    <s v="JL. PEK. RAYA GG.H. ARSYAD NO. 48"/>
    <s v="JL. PEK. RAYA GG.H. ARSYAD NO. 48"/>
    <m/>
  </r>
  <r>
    <s v="RT 06"/>
    <s v="RW 01"/>
    <s v="6371020401080102"/>
    <s v="6371026106020005"/>
    <s v="HAIRUNNISA"/>
    <s v="ANAK"/>
    <x v="1"/>
    <s v="TAPIN"/>
    <n v="21"/>
    <n v="6"/>
    <n v="2002"/>
    <n v="22"/>
    <s v="20-24 TAHUN"/>
    <s v="ISLAM"/>
    <s v="SLTP/SEDERAJAT"/>
    <s v="PELAJAR/MAHASISWA"/>
    <s v="PELAJAR/MAHASISWA"/>
    <s v="BELUM KAWIN"/>
    <x v="0"/>
    <s v="JL. PEK. RAYA GG.H. ARSYAD NO. 49"/>
    <s v="JL. PEK. RAYA GG.H. ARSYAD NO. 49"/>
    <m/>
  </r>
  <r>
    <s v="RT 06"/>
    <s v="RW 01"/>
    <s v="6371020608090007"/>
    <s v="6371021006620011"/>
    <s v="ROSIKIN"/>
    <s v="KEPALA KELUARGA"/>
    <x v="0"/>
    <s v="BANJARMASIN"/>
    <n v="10"/>
    <n v="6"/>
    <n v="1962"/>
    <n v="62"/>
    <s v="60-64 TAHUN"/>
    <s v="ISLAM"/>
    <s v="TAMAT SD/SEDERAJAT"/>
    <s v="WIRASWASTA"/>
    <s v="WIRASWASTA"/>
    <s v="KAWIN"/>
    <x v="0"/>
    <s v="JL. PEKAPURAN RAYA GG. ALIMA"/>
    <s v="JL. PEKAPURAN RAYA GG. ALIMA"/>
    <m/>
  </r>
  <r>
    <s v="RT 06"/>
    <s v="RW 01"/>
    <s v="6371020608090007"/>
    <s v="6371028808700008"/>
    <s v="SYAHMIATI"/>
    <s v="ISTRI"/>
    <x v="1"/>
    <s v="BANJARMASIN"/>
    <n v="28"/>
    <n v="8"/>
    <n v="1970"/>
    <n v="54"/>
    <s v="50-54 TAHUN"/>
    <s v="ISLAM"/>
    <s v="SLTP/SEDERAJAT"/>
    <s v="MENGURUS RUMAH TANGGA"/>
    <s v="MENGURUS RUMAH TANGGA"/>
    <s v="KAWIN"/>
    <x v="0"/>
    <s v="JL. PEKAPURAN RAYA GG. ALIMA"/>
    <s v="JL. PEKAPURAN RAYA GG. ALIMA"/>
    <m/>
  </r>
  <r>
    <s v="RT 06"/>
    <s v="RW 01"/>
    <s v="6371020608090007"/>
    <s v="6371022711950007"/>
    <s v="MUHAMMAD IHSAN"/>
    <s v="ANAK"/>
    <x v="0"/>
    <s v="BANJARMASIN"/>
    <n v="27"/>
    <n v="11"/>
    <n v="1995"/>
    <n v="29"/>
    <s v="25-29 TAHUN"/>
    <s v="ISLAM"/>
    <s v="SLTP/SEDERAJAT"/>
    <s v="PELAJAR/MAHASISWA"/>
    <s v="PELAJAR/MAHASISWA"/>
    <s v="BELUM KAWIN"/>
    <x v="0"/>
    <s v="JL. PEKAPURAN RAYA GG. ALIMA"/>
    <s v="JL. PEKAPURAN RAYA GG. ALIMA"/>
    <m/>
  </r>
  <r>
    <s v="RT 06"/>
    <s v="RW 01"/>
    <s v="6371020905190008"/>
    <s v="6305051409950001"/>
    <s v="AKHMAD BHUHARY MOESLIM"/>
    <s v="KEPALA KELUARGA"/>
    <x v="0"/>
    <s v="BANJARMASIN"/>
    <n v="14"/>
    <n v="9"/>
    <n v="1996"/>
    <n v="28"/>
    <s v="25-29 TAHUN"/>
    <s v="ISLAM"/>
    <s v="TAMAT SD/SEDERAJAT"/>
    <s v="BELUM/TIDAK BEKERJA"/>
    <s v="BELUM/TIDAK BEKERJA"/>
    <s v="BELUM KAWIN"/>
    <x v="0"/>
    <s v="JL. PEKAPURAN RAYA"/>
    <s v="JL. PEKAPURAN RAYA"/>
    <m/>
  </r>
  <r>
    <s v="RT 06"/>
    <s v="RW 01"/>
    <s v="6371020905190008"/>
    <s v="6305055601000001"/>
    <s v="HARIYATI KHAFIJAH"/>
    <s v="ISTRI"/>
    <x v="1"/>
    <s v="BANJARMASIN"/>
    <n v="11"/>
    <n v="1"/>
    <n v="2000"/>
    <n v="24"/>
    <s v="20-24 TAHUN"/>
    <s v="ISLAM"/>
    <s v="TAMAT SD/SEDERAJAT"/>
    <s v="BELUM/TIDAK BEKERJA"/>
    <s v="BELUM/TIDAK BEKERJA"/>
    <s v="BELUM KAWIN"/>
    <x v="0"/>
    <s v="JL. PEKAPURAN RAYA"/>
    <s v="JL. PEKAPURAN RAYA"/>
    <m/>
  </r>
  <r>
    <s v="RT 06"/>
    <s v="RW 01"/>
    <s v="6371020905190008"/>
    <s v="6305055105020002"/>
    <s v="SINTA DAMAYANTI"/>
    <s v="ANAK"/>
    <x v="1"/>
    <s v="BANJARMASIN"/>
    <n v="11"/>
    <n v="5"/>
    <n v="2002"/>
    <n v="22"/>
    <s v="20-24 TAHUN"/>
    <s v="ISLAM"/>
    <s v="TAMAT SD/SEDERAJAT"/>
    <s v="PELAJAR/MAHASISWA"/>
    <s v="PELAJAR/MAHASISWA"/>
    <s v="BELUM KAWIN"/>
    <x v="0"/>
    <s v="JL. PEKAPURAN RAYA"/>
    <s v="JL. PEKAPURAN RAYA"/>
    <m/>
  </r>
  <r>
    <s v="RT 06"/>
    <s v="RW 01"/>
    <s v="6371022602150003"/>
    <s v="6371026712780006"/>
    <s v="MURNIAH"/>
    <s v="KEPALA KELUARGA"/>
    <x v="1"/>
    <s v="AMUNTAI"/>
    <n v="27"/>
    <n v="12"/>
    <n v="1978"/>
    <n v="46"/>
    <s v="45-49 TAHUN"/>
    <s v="ISLAM"/>
    <s v="SLTP/SEDERAJAT"/>
    <s v="MENGURUS RUMAH TANGGA"/>
    <s v="MENGURUS RUMAH TANGGA"/>
    <s v="CERAI HIDUP"/>
    <x v="0"/>
    <s v="JL. PEKAPURAN RAYA GG.H.M. ARSYAD"/>
    <s v="JL. PEKAPURAN RAYA GG.H.M. ARSYAD"/>
    <m/>
  </r>
  <r>
    <s v="RT 06"/>
    <s v="RW 01"/>
    <s v="6371022602150003"/>
    <s v="6371027777980013"/>
    <s v="ELANG SURYANATA"/>
    <s v="ISTRI"/>
    <x v="0"/>
    <s v="BANJARMASIN"/>
    <n v="11"/>
    <n v="11"/>
    <n v="1998"/>
    <n v="26"/>
    <s v="25-29 TAHUN"/>
    <s v="ISLAM"/>
    <s v="SLTP/SEDERAJAT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2602150003"/>
    <s v="6371020802000011"/>
    <s v="WAIS AL KARNI"/>
    <s v="ANAK"/>
    <x v="0"/>
    <s v="BANJARMASIN"/>
    <n v="8"/>
    <n v="2"/>
    <n v="2000"/>
    <n v="24"/>
    <s v="20-24 TAHUN"/>
    <s v="ISLAM"/>
    <s v="SLTP/SEDERAJAT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2602150003"/>
    <s v="6371021804100003"/>
    <s v="AHMAD JIDAN"/>
    <s v="ANAK"/>
    <x v="0"/>
    <s v="BANJARMASIN"/>
    <n v="18"/>
    <n v="4"/>
    <n v="2010"/>
    <n v="14"/>
    <s v="10-1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2602150003"/>
    <s v="6371022001770004"/>
    <s v="ZULKIFLI"/>
    <s v="ANAK"/>
    <x v="0"/>
    <s v="BANJARMASIN"/>
    <n v="20"/>
    <n v="1"/>
    <n v="1977"/>
    <n v="47"/>
    <s v="45-49 TAHUN"/>
    <s v="ISLAM"/>
    <s v="SLTP/SEDERAJAT"/>
    <s v="BURUH HARIAN LEPAS"/>
    <s v="BURUH HARIAN LEPAS"/>
    <s v="CERAI HIDUP"/>
    <x v="0"/>
    <s v="JL. PEKAPURAN RAYA GG.H.M. ARSYAD"/>
    <s v="JL. PEKAPURAN RAYA GG.H.M. ARSYAD"/>
    <m/>
  </r>
  <r>
    <s v="RT 06"/>
    <s v="RW 01"/>
    <s v="6371021412170003"/>
    <s v="6371020306820001"/>
    <s v="AKHMAD JUNAIDI"/>
    <s v="ANAK"/>
    <x v="0"/>
    <s v="BANJARMASIN"/>
    <n v="3"/>
    <n v="6"/>
    <n v="1982"/>
    <n v="42"/>
    <s v="40-44 TAHUN"/>
    <s v="ISLAM"/>
    <s v="SLTP/SEDERAJAT"/>
    <s v="PEDAGANG"/>
    <s v="PEDAGANG"/>
    <s v="KAWIN TERCATAT"/>
    <x v="0"/>
    <s v="JL. PEK. RAYA GG ALIMA NO.28"/>
    <s v="JL. PEK. RAYA GG ALIMA NO.28"/>
    <m/>
  </r>
  <r>
    <s v="RT 06"/>
    <s v="RW 01"/>
    <s v="6371021412170003"/>
    <s v="6371026602970008"/>
    <s v="RABIATUL ADAWIYAH"/>
    <s v="ANAK"/>
    <x v="1"/>
    <s v="BANJARMASIN"/>
    <n v="2"/>
    <n v="5"/>
    <n v="1997"/>
    <n v="27"/>
    <s v="25-29 TAHUN"/>
    <s v="ISLAM"/>
    <s v="SLTP/SEDERAJAT"/>
    <s v="MENGURUS RUMAH TANGGA"/>
    <s v="MENGURUS RUMAH TANGGA"/>
    <s v="KAWIN TERCATAT"/>
    <x v="0"/>
    <s v="JL. PEK. RAYA GG ALIMA NO.29"/>
    <s v="JL. PEK. RAYA GG ALIMA NO.29"/>
    <m/>
  </r>
  <r>
    <s v="RT 06"/>
    <s v="RW 01"/>
    <s v="6371021412170003"/>
    <s v="6371025209180001"/>
    <s v="AUFA ZHAFIRA"/>
    <s v="ANAK"/>
    <x v="1"/>
    <s v="BANJARMASIN"/>
    <n v="12"/>
    <n v="9"/>
    <n v="2018"/>
    <n v="6"/>
    <s v="5-9 TAHUN"/>
    <s v="ISLAM"/>
    <s v="TIDAK/BELUM SEKOLAH"/>
    <s v="BELUM/TIDAK BEKERJA"/>
    <s v="BELUM/TIDAK BEKERJA"/>
    <s v="BELUM KAWIN"/>
    <x v="0"/>
    <s v="JL. PEK. RAYA GG ALIMA NO.30"/>
    <s v="JL. PEK. RAYA GG ALIMA NO.30"/>
    <m/>
  </r>
  <r>
    <s v="RT 10"/>
    <s v="RW 01"/>
    <s v="6371020501080261"/>
    <s v="6371021501460001"/>
    <s v="AINI, H"/>
    <s v="KEPALA KELUARGA"/>
    <x v="0"/>
    <s v="TAPIN"/>
    <n v="15"/>
    <n v="1"/>
    <n v="1946"/>
    <n v="78"/>
    <s v="75+ TAHUN"/>
    <s v="ISLAM"/>
    <s v="TAMAT SD/SEDERAJAT"/>
    <s v="PEDAGANG"/>
    <s v="PEDAGANG"/>
    <s v="KAWIN"/>
    <x v="0"/>
    <s v="JL. PEK. RAYA GG. RATU RIANG NO 13"/>
    <s v="JL. PEK. RAYA GG. RATU RIANG NO 13"/>
    <m/>
  </r>
  <r>
    <s v="RT 10"/>
    <s v="RW 01"/>
    <s v="6371020501080261"/>
    <s v="6371025705480002"/>
    <s v="MASRUKIAH, HJ"/>
    <s v="ISTRI"/>
    <x v="1"/>
    <s v="HULU SUNGAI UTARA"/>
    <n v="17"/>
    <n v="5"/>
    <n v="1948"/>
    <n v="76"/>
    <s v="75+ TAHUN"/>
    <s v="ISLAM"/>
    <s v="TAMAT SD/SEDERAJAT"/>
    <s v="PEDAGANG"/>
    <s v="PEDAGANG"/>
    <s v="KAWIN"/>
    <x v="0"/>
    <s v="JL. PEK. RAYA GG. RATU RIANG NO 13"/>
    <s v="JL. PEK. RAYA GG. RATU RIANG NO 13"/>
    <m/>
  </r>
  <r>
    <s v="RT 10"/>
    <s v="RW 01"/>
    <s v="6371020501080261"/>
    <s v="6371025406790007"/>
    <s v="RINA, HJ"/>
    <s v="ANAK"/>
    <x v="1"/>
    <s v="BANJARMASIN"/>
    <n v="14"/>
    <n v="6"/>
    <n v="1979"/>
    <n v="45"/>
    <s v="45-49 TAHUN"/>
    <s v="ISLAM"/>
    <s v="SLTP/SEDERAJAT"/>
    <s v="PEDAGANG"/>
    <s v="PEDAGANG"/>
    <s v="BELUM KAWIN"/>
    <x v="0"/>
    <s v="JL. PEK. RAYA GG. RATU RIANG NO 13"/>
    <s v="JL. PEK. RAYA GG. RATU RIANG NO 13"/>
    <m/>
  </r>
  <r>
    <s v="RT 08"/>
    <s v="RW 01"/>
    <s v="6371020501080217"/>
    <s v="6371022306700002"/>
    <s v="MISRAN"/>
    <s v="KEPALA KELUARGA"/>
    <x v="0"/>
    <s v="BANJARMASIN"/>
    <n v="23"/>
    <n v="6"/>
    <n v="1970"/>
    <n v="54"/>
    <s v="50-54 TAHUN"/>
    <s v="ISLAM"/>
    <s v="SLTA/SEDERAJAT"/>
    <s v="KARYAWAN SWASTA"/>
    <s v="KARYAWAN SWASTA"/>
    <s v="KAWIN"/>
    <x v="0"/>
    <s v="JL. PEKAPURAN RAYA"/>
    <s v="JL. PEKAPURAN RAYA"/>
    <m/>
  </r>
  <r>
    <s v="RT 08"/>
    <s v="RW 01"/>
    <s v="6371020501080217"/>
    <s v="6371026401830003"/>
    <s v="NURMILA SANTI"/>
    <s v="ISTRI"/>
    <x v="1"/>
    <s v="BANJARMASIN"/>
    <n v="24"/>
    <n v="1"/>
    <n v="1983"/>
    <n v="41"/>
    <s v="40-44 TAHUN"/>
    <s v="ISLAM"/>
    <s v="SLTA/SEDERAJAT"/>
    <s v="MENGURUS RUMAH TANGGA"/>
    <s v="MENGURUS RUMAH TANGGA"/>
    <s v="KAWIN"/>
    <x v="0"/>
    <s v="JL. PEKAPURAN RAYA"/>
    <s v="JL. PEKAPURAN RAYA"/>
    <m/>
  </r>
  <r>
    <s v="RT 08"/>
    <s v="RW 01"/>
    <s v="6371020501080217"/>
    <s v="6371025812050003"/>
    <s v="NURKHAIRANI"/>
    <s v="ANAK"/>
    <x v="1"/>
    <s v="BANJARMASIN"/>
    <n v="18"/>
    <n v="12"/>
    <n v="2005"/>
    <n v="19"/>
    <s v="15-19 TAHUN"/>
    <s v="ISLAM"/>
    <s v="BELUM TAMAT SD/SEDERAJAT"/>
    <s v="PELAJAR/MAHASISWA"/>
    <s v="PELAJAR/MAHASISWA"/>
    <s v="BELUM KAWIN"/>
    <x v="0"/>
    <s v="JL. PEKAPURAN RAYA"/>
    <s v="JL. PEKAPURAN RAYA"/>
    <m/>
  </r>
  <r>
    <s v="RT 08"/>
    <s v="RW 01"/>
    <s v="6371020501080217"/>
    <s v="6371024705140003"/>
    <s v="KHAIRUNNISA"/>
    <s v="ANAK"/>
    <x v="1"/>
    <s v="BANJARMASIN"/>
    <n v="7"/>
    <n v="5"/>
    <n v="2014"/>
    <n v="10"/>
    <s v="10-14 TAHUN"/>
    <s v="ISLAM"/>
    <s v="TIDAK/BELUM SEKOLAH"/>
    <s v="BELUM/TIDAK BEKERJA"/>
    <s v="BELUM/TIDAK BEKERJA"/>
    <s v="BELUM KAWIN"/>
    <x v="0"/>
    <s v="JL. PEKAPURAN RAYA"/>
    <s v="JL. PEKAPURAN RAYA"/>
    <m/>
  </r>
  <r>
    <s v="RT 08"/>
    <s v="RW 01"/>
    <s v="6371020501080621"/>
    <s v="6371023012750007"/>
    <s v="SYAHRIANI"/>
    <s v="KEPALA KELUARGA"/>
    <x v="0"/>
    <s v="SUNGAI ELANG"/>
    <n v="30"/>
    <n v="12"/>
    <n v="1975"/>
    <n v="49"/>
    <s v="45-49 TAHUN"/>
    <s v="ISLAM"/>
    <s v="SLTA/SEDERAJAT"/>
    <s v="WIRASWASTA"/>
    <s v="WIRASWASTA"/>
    <s v="KAWIN"/>
    <x v="0"/>
    <s v="JL. PEK. RAYA GG. RATU RIANG"/>
    <s v="JL. PEK. RAYA GG. RATU RIANG"/>
    <m/>
  </r>
  <r>
    <s v="RT 08"/>
    <s v="RW 01"/>
    <s v="6371020501080621"/>
    <s v="6371025310740002"/>
    <s v="MISNIAH"/>
    <s v="ISTRI"/>
    <x v="1"/>
    <s v="BANJARMASIN"/>
    <n v="13"/>
    <n v="10"/>
    <n v="1974"/>
    <n v="50"/>
    <s v="50-54 TAHUN"/>
    <s v="ISLAM"/>
    <s v="SLTA/SEDERAJAT"/>
    <s v="MENGURUS RUMAH TANGGA"/>
    <s v="MENGURUS RUMAH TANGGA"/>
    <s v="KAWIN"/>
    <x v="0"/>
    <s v="JL. PEK. RAYA GG. RATU RIANG"/>
    <s v="JL. PEK. RAYA GG. RATU RIANG"/>
    <m/>
  </r>
  <r>
    <s v="RT 08"/>
    <s v="RW 01"/>
    <s v="6371020501080621"/>
    <s v="6371024207010005"/>
    <s v="YULIANI SYAFITRI"/>
    <s v="ANAK"/>
    <x v="1"/>
    <s v="BANJARMASIN"/>
    <n v="2"/>
    <n v="7"/>
    <n v="2001"/>
    <n v="23"/>
    <s v="20-24 TAHUN"/>
    <s v="ISLAM"/>
    <s v="TIDAK/BELUM SEKOLAH"/>
    <s v="BELUM/TIDAK BEKERJA"/>
    <s v="BELUM/TIDAK BEKERJA"/>
    <s v="BELUM KAWIN"/>
    <x v="0"/>
    <s v="JL. PEK. RAYA GG. RATU RIANG"/>
    <s v="JL. PEK. RAYA GG. RATU RIANG"/>
    <m/>
  </r>
  <r>
    <s v="RT 08"/>
    <s v="RW 01"/>
    <s v="6371020501080621"/>
    <s v="6371026310080003"/>
    <s v="NUR AMELIA"/>
    <s v="ANAK"/>
    <x v="1"/>
    <s v="BANJARMASIN"/>
    <n v="23"/>
    <n v="10"/>
    <n v="2008"/>
    <n v="16"/>
    <s v="15-19 TAHUN"/>
    <s v="ISLAM"/>
    <s v="TIDAK/BELUM SEKOLAH"/>
    <s v="BELUM/TIDAK BEKERJA"/>
    <s v="BELUM/TIDAK BEKERJA"/>
    <s v="BELUM KAWIN"/>
    <x v="0"/>
    <s v="JL. PEK. RAYA GG. RATU RIANG"/>
    <s v="JL. PEK. RAYA GG. RATU RIANG"/>
    <m/>
  </r>
  <r>
    <s v="RT 08"/>
    <s v="RW 01"/>
    <s v="6371020307080064"/>
    <s v="6371024912570006"/>
    <s v="NORHAYATI, HJ"/>
    <s v="KEPALA KELUARGA"/>
    <x v="1"/>
    <s v="BANJARMASIN"/>
    <n v="9"/>
    <n v="12"/>
    <n v="1957"/>
    <n v="67"/>
    <s v="65-69 TAHUN"/>
    <s v="ISLAM"/>
    <s v="BELUM TAMAT SD/SEDERAJAT"/>
    <s v="WIRASWASTA"/>
    <s v="WIRASWASTA"/>
    <s v="CERAI MATI"/>
    <x v="0"/>
    <s v="JL. PEK. RAYA GG. RATU RIANG"/>
    <s v="JL. PEK. RAYA GG. RATU RIANG"/>
    <m/>
  </r>
  <r>
    <s v="RT 08"/>
    <s v="RW 01"/>
    <s v="63710215111180001"/>
    <s v="3526091110970002"/>
    <s v="MUSTOPA"/>
    <s v="KEPALA KELUARGA"/>
    <x v="0"/>
    <s v="BANGKALAN"/>
    <n v="11"/>
    <n v="10"/>
    <n v="1997"/>
    <n v="27"/>
    <s v="25-29 TAHUN"/>
    <s v="ISLAM"/>
    <s v="TIDAK/BELUM SEKOLAH"/>
    <s v="WIRASWASTA"/>
    <s v="WIRASWASTA"/>
    <s v="KAWIN TERCATAT"/>
    <x v="0"/>
    <s v="JL. PEKAPURAN RAYA GG. RATU RIANG"/>
    <s v="JL. PEKAPURAN RAYA GG. RATU RIANG"/>
    <m/>
  </r>
  <r>
    <s v="RT 08"/>
    <s v="RW 01"/>
    <s v="63710215111180001"/>
    <s v="6371024406040003"/>
    <s v="NURUL JANNAH"/>
    <s v="ANAK"/>
    <x v="1"/>
    <s v="BANJARMASIN"/>
    <n v="4"/>
    <n v="6"/>
    <n v="2004"/>
    <n v="20"/>
    <s v="20-24 TAHUN"/>
    <s v="ISLAM"/>
    <s v="SLTP/SEDERAJAT"/>
    <s v="MENGURUS RUMAH TANGGA"/>
    <s v="MENGURUS RUMAH TANGGA"/>
    <s v="KAWIN TERCATAT"/>
    <x v="0"/>
    <s v="JL. PEKAPURAN RAYA GG. RATU RIANG"/>
    <s v="JL. PEKAPURAN RAYA GG. RATU RIANG"/>
    <m/>
  </r>
  <r>
    <s v="RT 08"/>
    <s v="RW 01"/>
    <s v="6371021910100015"/>
    <s v="6371054107510107"/>
    <s v="RUSITA"/>
    <s v="KEPALA KELUARGA"/>
    <x v="1"/>
    <s v="BANJARMASIN"/>
    <n v="1"/>
    <n v="7"/>
    <n v="1951"/>
    <n v="73"/>
    <s v="70-74 TAHUN"/>
    <s v="ISLAM"/>
    <s v="TAMAT SD/SEDERAJAT"/>
    <s v="MENGURUS RUMAH TANGGA"/>
    <s v="MENGURUS RUMAH TANGGA"/>
    <s v="CERAI MATI"/>
    <x v="0"/>
    <s v="JL. PEKAPURAN RAYA GG. RATU RIANG"/>
    <s v="JL. PEKAPURAN RAYA GG. RATU RIANG"/>
    <m/>
  </r>
  <r>
    <s v="RT 08"/>
    <s v="RW 01"/>
    <s v="6371021910100015"/>
    <s v="6371052008840002"/>
    <s v="MISRAN"/>
    <s v="ANAK"/>
    <x v="0"/>
    <s v="BANJARMASIN"/>
    <n v="20"/>
    <n v="8"/>
    <n v="1984"/>
    <n v="40"/>
    <s v="40-44 TAHUN"/>
    <s v="ISLAM"/>
    <s v="SLTP/SEDERAJAT"/>
    <s v="WIRASWASTA"/>
    <s v="WIRASWASTA"/>
    <s v="BELUM KAWIN"/>
    <x v="0"/>
    <s v="JL. PEKAPURAN RAYA GG. RATU RIANG"/>
    <s v="JL. PEKAPURAN RAYA GG. RATU RIANG"/>
    <m/>
  </r>
  <r>
    <s v="RT 08"/>
    <s v="RW 01"/>
    <s v="6371020910100001"/>
    <s v="6371021503820008"/>
    <s v="AKHMAD MURJANI"/>
    <s v="KEPALA KELUARGA"/>
    <x v="0"/>
    <s v="KANDANGAN"/>
    <n v="15"/>
    <n v="3"/>
    <n v="1982"/>
    <n v="42"/>
    <s v="40-44 TAHUN"/>
    <s v="ISLAM"/>
    <s v="SLTA/SEDERAJAT"/>
    <s v="KARYAWAN SWASTA"/>
    <s v="KARYAWAN SWASTA"/>
    <s v="KAWIN"/>
    <x v="0"/>
    <s v="JL. PEK. RAYA GG. RATU RIANG NO. 10"/>
    <s v="JL. PEK. RAYA GG. RATU RIANG NO. 10"/>
    <m/>
  </r>
  <r>
    <s v="RT 08"/>
    <s v="RW 01"/>
    <s v="6371020910100001"/>
    <s v="6371026301820001"/>
    <s v="MARIANTI"/>
    <s v="ISTRI"/>
    <x v="1"/>
    <s v="BANJARMASIN"/>
    <n v="23"/>
    <n v="1"/>
    <n v="1982"/>
    <n v="42"/>
    <s v="40-44 TAHUN"/>
    <s v="ISLAM"/>
    <s v="SLTA/SEDERAJAT"/>
    <s v="KARYAWAN SWASTA"/>
    <s v="KARYAWAN SWASTA"/>
    <s v="KAWIN"/>
    <x v="0"/>
    <s v="JL. PEK. RAYA GG. RATU RIANG NO. 10"/>
    <s v="JL. PEK. RAYA GG. RATU RIANG NO. 10"/>
    <m/>
  </r>
  <r>
    <s v="RT 08"/>
    <s v="RW 01"/>
    <s v="6371020910100001"/>
    <s v="6371027008100001"/>
    <s v="ALYA DINA ESTIANTI"/>
    <s v="ANAK"/>
    <x v="1"/>
    <s v="BANJARMASIN"/>
    <n v="30"/>
    <n v="8"/>
    <n v="2010"/>
    <n v="14"/>
    <s v="10-14 TAHUN"/>
    <s v="ISLAM"/>
    <s v="TIDAK/BELUM SEKOLAH"/>
    <s v="BELUM/TIDAK BEKERJA"/>
    <s v="BELUM/TIDAK BEKERJA"/>
    <s v="BELUM KAWIN"/>
    <x v="0"/>
    <s v="JL. PEK. RAYA GG. RATU RIANG NO. 10"/>
    <s v="JL. PEK. RAYA GG. RATU RIANG NO. 10"/>
    <m/>
  </r>
  <r>
    <s v="RT 08"/>
    <s v="RW 01"/>
    <s v="6371020307080063"/>
    <s v="6371022012750012"/>
    <s v="SAM'ANI"/>
    <s v="KEPALA KELUARGA"/>
    <x v="0"/>
    <s v="PAMANGKIH"/>
    <n v="20"/>
    <n v="12"/>
    <n v="1976"/>
    <n v="48"/>
    <s v="45-49 TAHUN"/>
    <s v="ISLAM"/>
    <s v="TAMAT SD/SEDERAJAT"/>
    <s v="PEDAGANG"/>
    <s v="PEDAGANG"/>
    <s v="KAWIN"/>
    <x v="0"/>
    <s v="JL. PEK. RAYA GG. RATU RIANG"/>
    <s v="JL. PEK. RAYA GG. RATU RIANG"/>
    <m/>
  </r>
  <r>
    <s v="RT 08"/>
    <s v="RW 01"/>
    <s v="6371020307080063"/>
    <s v="6371025103770005"/>
    <s v="NOROR HAYATI"/>
    <s v="ISTRI"/>
    <x v="1"/>
    <s v="BANJARMASIN"/>
    <n v="11"/>
    <n v="3"/>
    <n v="1977"/>
    <n v="47"/>
    <s v="45-49 TAHUN"/>
    <s v="ISLAM"/>
    <s v="SLTA/SEDERAJAT"/>
    <s v="MENGURUS RUMAH TANGGA"/>
    <s v="MENGURUS RUMAH TANGGA"/>
    <s v="KAWIN"/>
    <x v="0"/>
    <s v="JL. PEK. RAYA GG. RATU RIANG"/>
    <s v="JL. PEK. RAYA GG. RATU RIANG"/>
    <m/>
  </r>
  <r>
    <s v="RT 08"/>
    <s v="RW 01"/>
    <s v="6371020307080063"/>
    <s v="6371020309990009"/>
    <s v="MASRI"/>
    <s v="ANAK"/>
    <x v="0"/>
    <s v="BANJARMASIN"/>
    <n v="3"/>
    <n v="9"/>
    <n v="1999"/>
    <n v="25"/>
    <s v="25-29 TAHUN"/>
    <s v="ISLAM"/>
    <s v="BELUM TAMAT SD/SEDERAJAT"/>
    <s v="BELUM/TIDAK BEKERJA"/>
    <s v="BELUM/TIDAK BEKERJA"/>
    <s v="BELUM KAWIN"/>
    <x v="0"/>
    <s v="JL. PEK. RAYA GG. RATU RIANG"/>
    <s v="JL. PEK. RAYA GG. RATU RIANG"/>
    <m/>
  </r>
  <r>
    <s v="RT 08"/>
    <s v="RW 01"/>
    <s v="6371020307080063"/>
    <s v="6371024906070003"/>
    <s v="PAHRIAH"/>
    <s v="ANAK"/>
    <x v="1"/>
    <s v="BANJARMASIN"/>
    <n v="9"/>
    <n v="6"/>
    <n v="2007"/>
    <n v="17"/>
    <s v="15-19 TAHUN"/>
    <s v="ISLAM"/>
    <s v="TIDAK/BELUM SEKOLAH"/>
    <s v="BELUM/TIDAK BEKERJA"/>
    <s v="BELUM/TIDAK BEKERJA"/>
    <s v="BELUM KAWIN"/>
    <x v="0"/>
    <s v="JL. PEK. RAYA GG. RATU RIANG"/>
    <s v="JL. PEK. RAYA GG. RATU RIANG"/>
    <m/>
  </r>
  <r>
    <s v="RT 08"/>
    <s v="RW 01"/>
    <s v="6371022804100009"/>
    <s v="6371030707780015"/>
    <s v="YAMANI"/>
    <s v="KEPALA KELUARGA"/>
    <x v="0"/>
    <s v="BANJARMASIN"/>
    <n v="7"/>
    <n v="7"/>
    <n v="1978"/>
    <n v="46"/>
    <s v="45-49 TAHUN"/>
    <s v="ISLAM"/>
    <s v="SLTP/SEDERAJAT"/>
    <s v="WIRASWASTA"/>
    <s v="WIRASWASTA"/>
    <s v="KAWIN TERCATAT"/>
    <x v="0"/>
    <s v="JL. PEKAPURAN RAYA GG. RATU RIANG"/>
    <s v="JL. PEKAPURAN RAYA GG. RATU RIANG"/>
    <m/>
  </r>
  <r>
    <s v="RT 08"/>
    <s v="RW 01"/>
    <s v="6371022804100009"/>
    <s v="6371025603850008"/>
    <s v="ANITA SUBUH"/>
    <s v="ISTRI"/>
    <x v="1"/>
    <s v="BANJARMASIN"/>
    <n v="16"/>
    <n v="3"/>
    <n v="1985"/>
    <n v="39"/>
    <s v="35-39 TAHUN"/>
    <s v="ISLAM"/>
    <s v="SLTP/SEDERAJAT"/>
    <s v="WIRASWASTA"/>
    <s v="WIRASWASTA"/>
    <s v="KAWIN TERCATAT"/>
    <x v="0"/>
    <s v="JL. PEKAPURAN RAYA GG. RATU RIANG"/>
    <s v="JL. PEKAPURAN RAYA GG. RATU RIANG"/>
    <m/>
  </r>
  <r>
    <s v="RT 08"/>
    <s v="RW 01"/>
    <s v="6371022804100009"/>
    <s v="6371026704080005"/>
    <s v="AMALIA"/>
    <s v="ANAK"/>
    <x v="1"/>
    <s v="BANJARMASIN"/>
    <n v="27"/>
    <n v="4"/>
    <n v="2008"/>
    <n v="16"/>
    <s v="15-19 TAHUN"/>
    <s v="ISLAM"/>
    <s v="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1511110001"/>
    <s v="RIZKY BAIHAQI"/>
    <s v="ANAK"/>
    <x v="0"/>
    <s v="BANJARMASIN"/>
    <n v="15"/>
    <n v="11"/>
    <n v="2011"/>
    <n v="13"/>
    <s v="10-14 TAHUN"/>
    <s v="ISLAM"/>
    <s v="BELUM 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5308150001"/>
    <s v="HANA RAFIKA"/>
    <s v="ANAK"/>
    <x v="1"/>
    <s v="BANJARMASIN"/>
    <n v="13"/>
    <n v="8"/>
    <n v="2015"/>
    <n v="9"/>
    <s v="5-9 TAHUN"/>
    <s v="ISLAM"/>
    <s v="BELUM 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6509220001"/>
    <s v="RAUDATUL ISHLAH"/>
    <s v="ANAK"/>
    <x v="1"/>
    <s v="BANJARMASIN"/>
    <n v="25"/>
    <n v="9"/>
    <n v="2022"/>
    <n v="2"/>
    <s v="0-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2910100008"/>
    <s v="6371020307720012"/>
    <s v="BARITA ALAMSYAH"/>
    <s v="KEPALA KELUARGA"/>
    <x v="0"/>
    <s v="BANJARMASIN"/>
    <n v="3"/>
    <n v="7"/>
    <n v="1972"/>
    <n v="52"/>
    <s v="50-54 TAHUN"/>
    <s v="ISLAM"/>
    <s v="SLTA/SEDERAJAT"/>
    <s v="WIRASWASTA"/>
    <s v="WIRASWASTA"/>
    <s v="CERAI HIDUP"/>
    <x v="0"/>
    <s v="JL. PEKAPURAN RAYA GG. RATU RIANG"/>
    <s v="JL. PEKAPURAN RAYA GG. RATU RIANG"/>
    <m/>
  </r>
  <r>
    <s v="RT 08"/>
    <s v="RW 01"/>
    <s v="6371022910100008"/>
    <s v="6371022811120003"/>
    <s v="ALDO BRATAMA"/>
    <s v="ISTRI"/>
    <x v="0"/>
    <s v="BANJARMASIN"/>
    <n v="28"/>
    <n v="11"/>
    <n v="2012"/>
    <n v="12"/>
    <s v="10-1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801190006"/>
    <s v="6371041503970008"/>
    <s v="MUHAMMAD FURQON KHAIRULLAH"/>
    <s v="ANAK"/>
    <x v="0"/>
    <s v="BANJARMASIN"/>
    <n v="15"/>
    <n v="3"/>
    <n v="1997"/>
    <n v="27"/>
    <s v="25-29 TAHUN"/>
    <s v="ISLAM"/>
    <s v="SLTA/SEDERAJAT"/>
    <s v="WIRASWASTA"/>
    <s v="WIRASWASTA"/>
    <s v="KAWIN TERCATAT"/>
    <x v="0"/>
    <s v="JL. PEKAPURAN RAYA GG. RATU RIANG"/>
    <s v="JL. PEKAPURAN RAYA GG. RATU RIANG"/>
    <m/>
  </r>
  <r>
    <s v="RT 08"/>
    <s v="RW 01"/>
    <s v="6371020801190006"/>
    <s v="6371025210860009"/>
    <s v="FATMAWATI"/>
    <s v="KEPALA KELUARGA"/>
    <x v="1"/>
    <s v="BANJARMASIN"/>
    <n v="12"/>
    <n v="10"/>
    <n v="1986"/>
    <n v="38"/>
    <s v="35-39 TAHUN"/>
    <s v="ISLAM"/>
    <s v="SLTA/SEDERAJAT"/>
    <s v="MENGURUS RUMAH TANGGA"/>
    <s v="MENGURUS RUMAH TANGGA"/>
    <s v="KAWIN TERCATAT"/>
    <x v="0"/>
    <s v="JL. PEKAPURAN RAYA GG. RATU RIANG"/>
    <s v="JL. PEKAPURAN RAYA GG. RATU RIANG"/>
    <m/>
  </r>
  <r>
    <s v="RT 08"/>
    <s v="RW 01"/>
    <s v="6371020801190006"/>
    <s v="6371021101050001"/>
    <s v="AKHMAD RIFANI"/>
    <s v="ISTRI"/>
    <x v="0"/>
    <s v="BANJARMASIN"/>
    <n v="11"/>
    <n v="1"/>
    <n v="2005"/>
    <n v="19"/>
    <s v="15-1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801190006"/>
    <s v="6371027107090001"/>
    <s v="NABILA"/>
    <s v="ANAK"/>
    <x v="1"/>
    <s v="BANJARMASIN"/>
    <n v="31"/>
    <n v="7"/>
    <n v="2009"/>
    <n v="15"/>
    <s v="15-1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801190006"/>
    <s v="6371026503190001"/>
    <s v="AZKADINA HUMAIRO"/>
    <s v="ANAK"/>
    <x v="1"/>
    <s v="BANJARMASIN"/>
    <n v="25"/>
    <n v="3"/>
    <n v="2019"/>
    <n v="5"/>
    <s v="5-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801190006"/>
    <s v="6371021207220001"/>
    <s v="MUHAMMAD RAYHAN EL RUMI"/>
    <s v="ANAK"/>
    <x v="0"/>
    <s v="BANJARMASIN"/>
    <n v="12"/>
    <n v="7"/>
    <n v="2022"/>
    <n v="2"/>
    <s v="0-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1604200003"/>
    <s v="6371026310580005"/>
    <s v="SITI AISYAH"/>
    <s v="KEPALA KELUARGA"/>
    <x v="1"/>
    <s v="SIDOARJO"/>
    <n v="23"/>
    <n v="10"/>
    <n v="1958"/>
    <n v="66"/>
    <s v="65-69 TAHUN"/>
    <s v="ISLAM"/>
    <s v="SLTA/SEDERAJAT"/>
    <s v="MENGURUS RUMAH TANGGA"/>
    <s v="MENGURUS RUMAH TANGGA"/>
    <s v="CERAI MATI"/>
    <x v="0"/>
    <s v="JL. PEKAPURAN RAYA GG. RATU RIANG NO.48"/>
    <s v="JL. PEKAPURAN RAYA GG. RATU RIANG NO.48"/>
    <m/>
  </r>
  <r>
    <s v="RT 08"/>
    <s v="RW 01"/>
    <s v="6371020501080363"/>
    <s v="6371027112680022"/>
    <s v="AINUN JARIAH"/>
    <s v="ISTRI"/>
    <x v="1"/>
    <s v="BANJARMASIN"/>
    <n v="31"/>
    <n v="12"/>
    <n v="1968"/>
    <n v="56"/>
    <s v="55-59 TAHUN"/>
    <s v="ISLAM"/>
    <s v="TAMAT SD/SEDERAJAT"/>
    <s v="PEDAGANG"/>
    <s v="PEDAGANG"/>
    <s v="CERAI MATI"/>
    <x v="0"/>
    <s v="JL. PEKAPURAN RAYA NO. 1"/>
    <s v="JL. PEKAPURAN RAYA NO. 1"/>
    <m/>
  </r>
  <r>
    <s v="RT 08"/>
    <s v="RW 01"/>
    <s v="6371020501080363"/>
    <s v="6371026001890002"/>
    <s v="SITI QAMARIAH"/>
    <s v="ANAK"/>
    <x v="1"/>
    <s v="BANJARMASIN"/>
    <n v="20"/>
    <n v="1"/>
    <n v="1989"/>
    <n v="35"/>
    <s v="35-39 TAHUN"/>
    <s v="ISLAM"/>
    <s v="SLTA/SEDERAJAT"/>
    <s v="WIRASWASTA"/>
    <s v="WIRASWASTA"/>
    <s v="BELUM KAWIN"/>
    <x v="0"/>
    <s v="JL. PEKAPURAN RAYA NO. 1"/>
    <s v="JL. PEKAPURAN RAYA NO. 1"/>
    <m/>
  </r>
  <r>
    <s v="RT 08"/>
    <s v="RW 01"/>
    <s v="6371020501080363"/>
    <s v="6371021309900005"/>
    <s v="MUHAMMAD DI ARIFIN"/>
    <s v="ANAK"/>
    <x v="0"/>
    <s v="BANJARMASIN"/>
    <n v="13"/>
    <n v="9"/>
    <n v="1990"/>
    <n v="34"/>
    <s v="30-34 TAHUN"/>
    <s v="ISLAM"/>
    <s v="SLTA/SEDERAJAT"/>
    <s v="WIRASWASTA"/>
    <s v="WIRASWASTA"/>
    <s v="BELUM KAWIN"/>
    <x v="0"/>
    <s v="JL. PEKAPURAN RAYA NO. 1"/>
    <s v="JL. PEKAPURAN RAYA NO. 1"/>
    <m/>
  </r>
  <r>
    <s v="RT 10"/>
    <s v="RW 01"/>
    <s v="6371020501080595"/>
    <s v="6371023112530021"/>
    <s v="SAMSUNI"/>
    <s v="KEPALA KELUARGA"/>
    <x v="0"/>
    <s v="RANTAU"/>
    <n v="31"/>
    <n v="12"/>
    <n v="1953"/>
    <n v="71"/>
    <s v="70-74 TAHUN"/>
    <s v="ISLAM"/>
    <s v="TAMAT SD/SEDERAJAT"/>
    <s v="WIRASWASTA"/>
    <s v="WIRASWASTA"/>
    <s v="KAWIN"/>
    <x v="0"/>
    <s v="JL. PEKAPURAN RAYA GG. RATU RIANG"/>
    <s v="JL. PEKAPURAN RAYA GG. RATU RIANG"/>
    <m/>
  </r>
  <r>
    <s v="RT 10"/>
    <s v="RW 01"/>
    <s v="6371020501080595"/>
    <s v="6371025506570003"/>
    <s v="MASLIANI"/>
    <s v="ISTRI"/>
    <x v="1"/>
    <s v="BANJARMASIN"/>
    <n v="15"/>
    <n v="6"/>
    <n v="1967"/>
    <n v="57"/>
    <s v="55-59 TAHUN"/>
    <s v="ISLAM"/>
    <s v="TAMAT SD/SEDERAJAT"/>
    <s v="MENGURUS RUMAH TANGGA"/>
    <s v="MENGURUS RUMAH TANGGA"/>
    <s v="KAWIN"/>
    <x v="0"/>
    <s v="JL. PEKAPURAN RAYA GG. RATU RIANG"/>
    <s v="JL. PEKAPURAN RAYA GG. RATU RIANG"/>
    <m/>
  </r>
  <r>
    <s v="RT 10"/>
    <s v="RW 01"/>
    <s v="6371020501080595"/>
    <s v="6371026301820001"/>
    <s v="MARIANTI"/>
    <s v="ANAK"/>
    <x v="1"/>
    <s v="BANJARMASIN"/>
    <n v="23"/>
    <n v="1"/>
    <n v="1982"/>
    <n v="42"/>
    <s v="40-44 TAHUN"/>
    <s v="ISLAM"/>
    <s v="SLTA/SEDERAJAT"/>
    <s v="PEDAGANG"/>
    <s v="PEDAGANG"/>
    <s v="BELUM KAWIN"/>
    <x v="0"/>
    <s v="JL. PEKAPURAN RAYA GG. RATU RIANG"/>
    <s v="JL. PEKAPURAN RAYA GG. RATU RIANG"/>
    <m/>
  </r>
  <r>
    <s v="RT 08"/>
    <s v="RW 01"/>
    <s v="6371020501080595"/>
    <s v="6371022408950005"/>
    <s v="KHAIRUL ABDILLAH"/>
    <s v="ANAK"/>
    <x v="0"/>
    <s v="BANJARMASIN"/>
    <n v="24"/>
    <n v="8"/>
    <n v="1995"/>
    <n v="29"/>
    <s v="25-29 TAHUN"/>
    <s v="ISLAM"/>
    <s v="SLTP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002150004"/>
    <s v="6371052711900002"/>
    <s v="SUBHANNOR"/>
    <s v="KEPALA KELUARGA"/>
    <x v="0"/>
    <s v="BANJARMASIN"/>
    <n v="27"/>
    <n v="11"/>
    <n v="1990"/>
    <n v="34"/>
    <s v="30-34 TAHUN"/>
    <s v="ISLAM"/>
    <s v="SLTA/SEDERAJAT"/>
    <s v="KARYAWAN SWASTA"/>
    <s v="KARYAWAN SWASTA"/>
    <s v="KAWIN"/>
    <x v="0"/>
    <s v="JL. RAWA SARI GG. VI NO. 42"/>
    <s v="JL. RAWA SARI GG. VI NO. 42"/>
    <m/>
  </r>
  <r>
    <s v="RT 08"/>
    <s v="RW 01"/>
    <s v="6371022002150004"/>
    <s v="6371035502900006"/>
    <s v="PARAMITA"/>
    <s v="ISTRI"/>
    <x v="1"/>
    <s v="BANJARMASIN"/>
    <n v="15"/>
    <n v="2"/>
    <n v="1990"/>
    <n v="34"/>
    <s v="30-34 TAHUN"/>
    <s v="ISLAM"/>
    <s v="DIV/S1"/>
    <s v="MENGURUS RUMAH TANGGA"/>
    <s v="MENGURUS RUMAH TANGGA"/>
    <s v="KAWIN"/>
    <x v="0"/>
    <s v="JL. RAWA SARI GG. VI NO. 43"/>
    <s v="JL. RAWA SARI GG. VI NO. 43"/>
    <m/>
  </r>
  <r>
    <s v="RT 08"/>
    <s v="RW 01"/>
    <s v="6371022002150004"/>
    <s v="6371051103160002"/>
    <s v="AL BOHA"/>
    <s v="ANAK"/>
    <x v="0"/>
    <s v="BANJARMASIN"/>
    <n v="11"/>
    <n v="3"/>
    <n v="2016"/>
    <n v="8"/>
    <s v="5-9 TAHUN"/>
    <s v="ISLAM"/>
    <s v="TIDAK/BELUM SEKOLAH"/>
    <s v="BELUM/TIDAK BEKERJA"/>
    <s v="BELUM/TIDAK BEKERJA"/>
    <s v="BELUM KAWIN"/>
    <x v="0"/>
    <s v="JL. RAWA SARI GG. VI NO. 44"/>
    <s v="JL. RAWA SARI GG. VI NO. 44"/>
    <m/>
  </r>
  <r>
    <s v="RT 08"/>
    <s v="RW 01"/>
    <s v="6371020607200012"/>
    <s v="6371025508730007"/>
    <s v="RAHMAH"/>
    <s v="KEPALA KELUARGA"/>
    <x v="1"/>
    <s v="BANJARMASIN"/>
    <n v="15"/>
    <n v="8"/>
    <n v="1973"/>
    <n v="51"/>
    <s v="50-54 TAHUN"/>
    <s v="ISLAM"/>
    <s v="TAMAT SD/SEDERAJAT"/>
    <s v="BURUH HARIAN LEPAS"/>
    <s v="BURUH HARIAN LEPAS"/>
    <s v="CERAI HIDUP BELUM TERCATAT"/>
    <x v="0"/>
    <s v="JL. PEKAPURAN RAYA GG. RATU RIANG"/>
    <s v="JL. PEKAPURAN RAYA GG. RATU RIANG"/>
    <m/>
  </r>
  <r>
    <s v="RT 08"/>
    <s v="RW 01"/>
    <s v="6371020607200012"/>
    <s v="6371027108050002"/>
    <s v="HAIRUN NISA"/>
    <s v="ISTRI"/>
    <x v="1"/>
    <s v="BANJARMASIN"/>
    <n v="31"/>
    <n v="8"/>
    <n v="2005"/>
    <n v="19"/>
    <s v="15-19 TAHUN"/>
    <s v="ISLAM"/>
    <s v="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0607200012"/>
    <s v="6371024102510002"/>
    <s v="NORIYANI"/>
    <s v="ANAK"/>
    <x v="1"/>
    <s v="BANJARMASIN"/>
    <n v="1"/>
    <n v="2"/>
    <n v="1951"/>
    <n v="73"/>
    <s v="70-74 TAHUN"/>
    <s v="ISLAM"/>
    <s v="TIDAK/BELUM SEKOLAH"/>
    <s v="BELUM/TIDAK BEKERJA"/>
    <s v="BELUM/TIDAK BEKERJA"/>
    <s v="CERAI MATI"/>
    <x v="0"/>
    <s v="JL. PEKAPURAN RAYA GG. RATU RIANG"/>
    <s v="JL. PEKAPURAN RAYA GG. RATU RIANG"/>
    <m/>
  </r>
  <r>
    <s v="RT 08"/>
    <s v="RW 01"/>
    <s v="6371020601080144"/>
    <s v="6371020301490001"/>
    <s v="SIMAN, H"/>
    <s v="KEPALA KELUARGA"/>
    <x v="0"/>
    <s v="BANGKALAN"/>
    <n v="3"/>
    <n v="1"/>
    <n v="1949"/>
    <n v="75"/>
    <s v="75+ TAHUN"/>
    <s v="ISLAM"/>
    <s v="TAMAT SD/SEDERAJAT"/>
    <s v="WIRASWASTA"/>
    <s v="WIRASWASTA"/>
    <s v="KAWIN BELUM TERCATAT"/>
    <x v="0"/>
    <s v="JL. PEKAPURAN RAYA GG. RATU RIANG"/>
    <s v="JL. PEKAPURAN RAYA GG. RATU RIANG"/>
    <m/>
  </r>
  <r>
    <s v="RT 08"/>
    <s v="RW 01"/>
    <s v="6371020601080144"/>
    <s v="6371024701560003"/>
    <s v="SANINTI, HJ"/>
    <s v="ISTRI"/>
    <x v="1"/>
    <s v="BANGKALAN"/>
    <n v="7"/>
    <n v="1"/>
    <n v="1956"/>
    <n v="68"/>
    <s v="65-69 TAHUN"/>
    <s v="ISLAM"/>
    <s v="TAMAT SD/SEDERAJAT"/>
    <s v="WIRASWASTA"/>
    <s v="WIRASWASTA"/>
    <s v="KAWIN BELUM TERCATAT"/>
    <x v="0"/>
    <s v="JL. PEKAPURAN RAYA GG. RATU RIANG"/>
    <s v="JL. PEKAPURAN RAYA GG. RATU RIANG"/>
    <m/>
  </r>
  <r>
    <s v="RT 08"/>
    <s v="RW 01"/>
    <s v="6371020601080144"/>
    <s v="6371025603940003"/>
    <s v="HESTITOAH"/>
    <s v="ANAK"/>
    <x v="1"/>
    <s v="BANJARMASIN"/>
    <n v="16"/>
    <n v="3"/>
    <n v="1994"/>
    <n v="30"/>
    <s v="30-3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601080144"/>
    <s v="6371025009990002"/>
    <s v="SITI KANIA RAHMAH"/>
    <s v="ANAK"/>
    <x v="1"/>
    <s v="BANJARMASIN"/>
    <n v="10"/>
    <n v="9"/>
    <n v="1999"/>
    <n v="25"/>
    <s v="25-29 TAHUN"/>
    <s v="ISLAM"/>
    <s v="BELUM 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023001120017"/>
    <s v="6371022704830008"/>
    <s v="ABDURRAHMAN MAWI, H"/>
    <s v="KEPALA KELUARGA"/>
    <x v="0"/>
    <s v="BANJARMASIN"/>
    <n v="5"/>
    <n v="4"/>
    <n v="1988"/>
    <n v="36"/>
    <s v="35-39 TAHUN"/>
    <s v="ISLAM"/>
    <s v="TIDAK/BELUM SEKOLAH"/>
    <s v="WIRASWASTA"/>
    <s v="WIRASWASTA"/>
    <s v="KAWIN"/>
    <x v="0"/>
    <s v="JL. PEKAPURAN RAYA GG. RATU RIANG"/>
    <s v="JL. PEKAPURAN RAYA GG. RATU RIANG"/>
    <m/>
  </r>
  <r>
    <s v="RT 08"/>
    <s v="RW 01"/>
    <s v="63710023001120017"/>
    <s v="6108104702790001"/>
    <s v="KHOLIFAH"/>
    <s v="ISTRI"/>
    <x v="1"/>
    <s v="PONTIANAK"/>
    <n v="6"/>
    <n v="4"/>
    <n v="1988"/>
    <n v="36"/>
    <s v="35-39 TAHUN"/>
    <s v="ISLAM"/>
    <s v="TAMAT SD/SEDERAJAT"/>
    <s v="MENGURUS RUMAH TANGGA"/>
    <s v="MENGURUS RUMAH TANGGA"/>
    <s v="KAWIN"/>
    <x v="0"/>
    <s v="JL. PEKAPURAN RAYA GG. RATU RIANG"/>
    <s v="JL. PEKAPURAN RAYA GG. RATU RIANG"/>
    <m/>
  </r>
  <r>
    <s v="RT 08"/>
    <s v="RW 01"/>
    <s v="63710023001120017"/>
    <s v="6371024205140005"/>
    <s v="QOTRUN NADHA"/>
    <s v="ANAK"/>
    <x v="1"/>
    <s v="BANJARMASIN"/>
    <n v="2"/>
    <n v="5"/>
    <n v="2014"/>
    <n v="10"/>
    <s v="10-1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307080061"/>
    <s v="6371021508560005"/>
    <s v="HAMBALI, H"/>
    <s v="KEPALA KELUARGA"/>
    <x v="0"/>
    <s v="MADURA"/>
    <n v="15"/>
    <n v="8"/>
    <n v="1956"/>
    <n v="68"/>
    <s v="65-69 TAHUN"/>
    <s v="ISLAM"/>
    <s v="TAMAT SD/SEDERAJAT"/>
    <s v="PEDAGANG"/>
    <s v="PEDAGANG"/>
    <s v="KAWIN"/>
    <x v="0"/>
    <s v="JL. PEK. RAYA GG. RATU RIANG"/>
    <s v="JL. PEK. RAYA GG. RATU RIANG"/>
    <m/>
  </r>
  <r>
    <s v="RT 08"/>
    <s v="RW 01"/>
    <s v="6371020307080061"/>
    <s v="6371027005640002"/>
    <s v="ROMIYAH, HJ"/>
    <s v="ISTRI"/>
    <x v="1"/>
    <s v="MADURA"/>
    <n v="30"/>
    <n v="5"/>
    <n v="1964"/>
    <n v="60"/>
    <s v="60-64 TAHUN"/>
    <s v="ISLAM"/>
    <s v="TAMAT SD/SEDERAJAT"/>
    <s v="WIRASWASTA"/>
    <s v="WIRASWASTA"/>
    <s v="KAWIN"/>
    <x v="0"/>
    <s v="JL. PEK. RAYA GG. RATU RIANG"/>
    <s v="JL. PEK. RAYA GG. RATU RIANG"/>
    <m/>
  </r>
  <r>
    <s v="RT 08"/>
    <s v="RW 01"/>
    <s v="6371020307080061"/>
    <s v="6371025004900009"/>
    <s v="HANANAH"/>
    <s v="ANAK"/>
    <x v="1"/>
    <s v="BANJARMASIN"/>
    <n v="10"/>
    <n v="4"/>
    <n v="1990"/>
    <n v="34"/>
    <s v="30-34 TAHUN"/>
    <s v="ISLAM"/>
    <s v="BELUM TAMAT SD/SEDERAJAT"/>
    <s v="BELUM/TIDAK BEKERJA"/>
    <s v="BELUM/TIDAK BEKERJA"/>
    <s v="BELUM KAWIN"/>
    <x v="0"/>
    <s v="JL. PEK. RAYA GG. RATU RIANG"/>
    <s v="JL. PEK. RAYA GG. RATU RIANG"/>
    <m/>
  </r>
  <r>
    <s v="RT 08"/>
    <s v="RW 01"/>
    <s v="6371020307080061"/>
    <s v="6371025204460002"/>
    <s v="MAR'AM, HJ"/>
    <s v="FAMILI LAIN"/>
    <x v="1"/>
    <s v="MADURA"/>
    <n v="12"/>
    <n v="4"/>
    <n v="1946"/>
    <n v="78"/>
    <s v="75+ TAHUN"/>
    <s v="ISLAM"/>
    <s v="TAMAT SD/SEDERAJAT"/>
    <s v="PETANI/PEKEBUN"/>
    <s v="PETANI/PEKEBUN"/>
    <s v="CERAI HIDUP"/>
    <x v="0"/>
    <s v="JL. PEK. RAYA GG. RATU RIANG"/>
    <s v="JL. PEK. RAYA GG. RATU RIANG"/>
    <m/>
  </r>
  <r>
    <s v="RT 08"/>
    <s v="RW 01"/>
    <s v="6371020307080061"/>
    <s v="6371026003750007"/>
    <s v="SURIYATI"/>
    <s v="FAMILI LAIN"/>
    <x v="1"/>
    <s v="MADURA"/>
    <n v="20"/>
    <n v="3"/>
    <n v="1975"/>
    <n v="49"/>
    <s v="45-49 TAHUN"/>
    <s v="ISLAM"/>
    <s v="TAMAT SD/SEDERAJAT"/>
    <s v="WIRASWASTA"/>
    <s v="WIRASWASTA"/>
    <s v="BELUM KAWIN"/>
    <x v="0"/>
    <s v="JL. PEK. RAYA GG. RATU RIANG"/>
    <s v="JL. PEK. RAYA GG. RATU RIANG"/>
    <m/>
  </r>
  <r>
    <s v="RT 08"/>
    <s v="RW 01"/>
    <s v="6371020307080061"/>
    <s v="6371026505750007"/>
    <s v="NORSARI"/>
    <s v="FAMILI LAIN"/>
    <x v="1"/>
    <s v="MADURA"/>
    <n v="25"/>
    <n v="5"/>
    <n v="1975"/>
    <n v="49"/>
    <s v="45-49 TAHUN"/>
    <s v="ISLAM"/>
    <s v="TAMAT SD/SEDERAJAT"/>
    <s v="WIRASWASTA"/>
    <s v="WIRASWASTA"/>
    <s v="CERAI HIDUP"/>
    <x v="0"/>
    <s v="JL. PEK. RAYA GG. RATU RIANG"/>
    <s v="JL. PEK. RAYA GG. RATU RIANG"/>
    <m/>
  </r>
  <r>
    <s v="RT 08"/>
    <s v="RW 01"/>
    <s v="6371020307080061"/>
    <s v="3526094308910002"/>
    <s v="PATIMA"/>
    <s v="FAMILI LAIN"/>
    <x v="1"/>
    <s v="BANGKALAN"/>
    <n v="3"/>
    <n v="8"/>
    <n v="1991"/>
    <n v="33"/>
    <s v="30-34 TAHUN"/>
    <s v="ISLAM"/>
    <s v="TAMAT SD/SEDERAJAT"/>
    <s v="WIRASWASTA"/>
    <s v="WIRASWASTA"/>
    <s v="BELUM KAWIN"/>
    <x v="0"/>
    <s v="JL. PEK. RAYA GG. RATU RIANG"/>
    <s v="JL. PEK. RAYA GG. RATU RIANG"/>
    <m/>
  </r>
  <r>
    <s v="RT 08"/>
    <s v="RW 01"/>
    <s v="6371021010170010"/>
    <s v="6371022507910010"/>
    <s v="MUHAMMAD YATIM, S.PD.I"/>
    <s v="KEPALA KELUARGA"/>
    <x v="0"/>
    <s v="BANJARMASIN"/>
    <n v="25"/>
    <n v="7"/>
    <n v="1991"/>
    <n v="33"/>
    <s v="30-34 TAHUN"/>
    <s v="ISLAM"/>
    <s v="DIV/S1"/>
    <s v="WIRASWASTA"/>
    <s v="WIRASWASTA"/>
    <s v="KAWIN"/>
    <x v="0"/>
    <s v="JL. PEKAPURAN RAYA GG. RATU RIANG"/>
    <s v="JL. PEKAPURAN RAYA GG. RATU RIANG"/>
    <m/>
  </r>
  <r>
    <s v="RT 08"/>
    <s v="RW 01"/>
    <s v="6371021010170010"/>
    <s v="6371025508950005"/>
    <s v="SAIDAH"/>
    <s v="ISTRI"/>
    <x v="1"/>
    <s v="BANJARMASIN"/>
    <n v="15"/>
    <n v="8"/>
    <n v="1995"/>
    <n v="29"/>
    <s v="25-29 TAHUN"/>
    <s v="ISLAM"/>
    <s v="SLTP/SEDERAJAT"/>
    <s v="MENGURUS RUMAH TANGGA"/>
    <s v="MENGURUS RUMAH TANGGA"/>
    <s v="KAWIN"/>
    <x v="0"/>
    <s v="JL. PEKAPURAN RAYA GG. RATU RIANG"/>
    <s v="JL. PEKAPURAN RAYA GG. RATU RIANG"/>
    <m/>
  </r>
  <r>
    <s v="RT 08"/>
    <s v="RW 01"/>
    <s v="6371021010170010"/>
    <s v="6371025804180003"/>
    <s v="HULYATUL MUKARROMAH"/>
    <s v="ANAK"/>
    <x v="1"/>
    <s v="BANJARMASIN"/>
    <n v="18"/>
    <n v="4"/>
    <n v="2018"/>
    <n v="6"/>
    <s v="5-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801080629"/>
    <s v="6371020406810006"/>
    <s v="RUSLAN"/>
    <s v="KEPALA KELUARGA"/>
    <x v="0"/>
    <s v="BANJARMASIN"/>
    <n v="4"/>
    <n v="6"/>
    <n v="1981"/>
    <n v="43"/>
    <s v="40-44 TAHUN"/>
    <s v="ISLAM"/>
    <s v="TAMAT SD/SEDERAJAT"/>
    <s v="WIRASWASTA"/>
    <s v="WIRASWASTA"/>
    <s v="KAWIN"/>
    <x v="0"/>
    <s v="JL. PEKAPURAN RAYA GG. RATU RIANG"/>
    <s v="JL. PEKAPURAN RAYA GG. RATU RIANG"/>
    <m/>
  </r>
  <r>
    <s v="RT 08"/>
    <s v="RW 01"/>
    <s v="6371020801080629"/>
    <s v="6371025607840009"/>
    <s v="MISNIAH"/>
    <s v="ISTRI"/>
    <x v="1"/>
    <s v="MADURA"/>
    <n v="16"/>
    <n v="7"/>
    <n v="1984"/>
    <n v="40"/>
    <s v="40-44 TAHUN"/>
    <s v="ISLAM"/>
    <s v="TAMAT SD/SEDERAJAT"/>
    <s v="WIRASWASTA"/>
    <s v="WIRASWASTA"/>
    <s v="KAWIN"/>
    <x v="0"/>
    <s v="JL. PEKAPURAN RAYA GG. RATU RIANG"/>
    <s v="JL. PEKAPURAN RAYA GG. RATU RIANG"/>
    <m/>
  </r>
  <r>
    <s v="RT 08"/>
    <s v="RW 01"/>
    <s v="6371020801080629"/>
    <s v="6371020101120003"/>
    <s v="M. FARIZ"/>
    <s v="ANAK"/>
    <x v="0"/>
    <s v="BANJARMASIN"/>
    <n v="1"/>
    <n v="1"/>
    <n v="2012"/>
    <n v="12"/>
    <s v="10-1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2305230008"/>
    <s v="6371021906930004"/>
    <s v="AHMAD FAUZI"/>
    <s v="KEPALA KELUARGA"/>
    <x v="0"/>
    <s v="BANJARMASIN"/>
    <n v="19"/>
    <n v="6"/>
    <n v="1993"/>
    <n v="31"/>
    <s v="30-34 TAHUN"/>
    <s v="ISLAM"/>
    <s v="SLTA/SEDERAJAT"/>
    <s v="BELUM/TIDAK BEKERJA"/>
    <s v="BELUM/TIDAK BEKERJA"/>
    <s v="BELUM KAWIN"/>
    <x v="0"/>
    <s v="JL. PEK. RAYA GG. RATU RIANG"/>
    <s v="JL. PEK. RAYA GG. RATU RIANG"/>
    <m/>
  </r>
  <r>
    <s v="RT 08"/>
    <s v="RW 01"/>
    <s v="6371022305230008"/>
    <s v="6371024505740013"/>
    <s v="NURUL AINA"/>
    <s v="ISTRI"/>
    <x v="1"/>
    <s v="BANJARMASIN"/>
    <n v="5"/>
    <n v="5"/>
    <n v="1974"/>
    <n v="50"/>
    <s v="50-54 TAHUN"/>
    <s v="ISLAM"/>
    <s v="SLTA/SEDERAJAT"/>
    <s v="MENGURUS RUMAH TANGGA"/>
    <s v="MENGURUS RUMAH TANGGA"/>
    <s v="KAWIN BELUM TERCATAT"/>
    <x v="0"/>
    <s v="JL. PEK. RAYA GG. RATU RIANG"/>
    <s v="JL. PEK. RAYA GG. RATU RIANG"/>
    <m/>
  </r>
  <r>
    <s v="RT 08"/>
    <s v="RW 01"/>
    <s v="6371021902190015"/>
    <s v="6371022901980003"/>
    <s v="SYAMSUL ARIF"/>
    <s v="KEPALA KELUARGA"/>
    <x v="0"/>
    <s v="BANJARMASIN"/>
    <n v="29"/>
    <n v="1"/>
    <n v="1998"/>
    <n v="26"/>
    <s v="25-29 TAHUN"/>
    <s v="ISLAM"/>
    <s v="SLTA/SEDERAJAT"/>
    <s v="KARYAWAN HONORER"/>
    <s v="KARYAWAN HONORER"/>
    <s v="KAWIN TERCATAT"/>
    <x v="0"/>
    <s v="JL. PEKAPURAN RAYA GG. RATU RIANG"/>
    <s v="JL. PEKAPURAN RAYA GG. RATU RIANG"/>
    <m/>
  </r>
  <r>
    <s v="RT 08"/>
    <s v="RW 01"/>
    <s v="6371021902190015"/>
    <s v="6371056204000004"/>
    <s v="FITRIANI"/>
    <s v="ISTRI"/>
    <x v="1"/>
    <s v="BANJARMASIN"/>
    <n v="22"/>
    <n v="4"/>
    <n v="2000"/>
    <n v="24"/>
    <s v="20-24 TAHUN"/>
    <s v="ISLAM"/>
    <s v="SLTA/SEDERAJAT"/>
    <s v="MENGURUS RUMAH TANGGA"/>
    <s v="MENGURUS RUMAH TANGGA"/>
    <s v="KAWIN TERCATAT"/>
    <x v="0"/>
    <s v="JL. PEKAPURAN RAYA GG. RATU RIANG"/>
    <s v="JL. PEKAPURAN RAYA GG. RATU RIANG"/>
    <m/>
  </r>
  <r>
    <s v="RT 08"/>
    <s v="RW 01"/>
    <s v="6371021902190015"/>
    <s v="6371024810190001"/>
    <s v="ARIFAH NABILA OKTAVIANI"/>
    <s v="ANAK"/>
    <x v="1"/>
    <s v="BANJARMASIN"/>
    <n v="8"/>
    <n v="10"/>
    <n v="2019"/>
    <n v="5"/>
    <s v="5-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1902190015"/>
    <s v="6371022707220003"/>
    <s v="MUHAMMAD BILAL ARIF AKBAR"/>
    <s v="ANAK"/>
    <x v="0"/>
    <s v="BANJARMASIN"/>
    <n v="27"/>
    <n v="7"/>
    <n v="2022"/>
    <n v="2"/>
    <s v="0-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1303180009"/>
    <s v="6371026210930004"/>
    <s v="SAHRATUN"/>
    <s v="KEPALA KELUARGA"/>
    <x v="1"/>
    <s v="BANJARMASIN"/>
    <n v="22"/>
    <n v="10"/>
    <n v="1993"/>
    <n v="31"/>
    <s v="30-34 TAHUN"/>
    <s v="ISLAM"/>
    <s v="TAMAT SD/SEDERAJAT"/>
    <s v="MENGURUS RUMAH TANGGA"/>
    <s v="MENGURUS RUMAH TANGGA"/>
    <s v="CERAI HIDUP"/>
    <x v="0"/>
    <s v="JL. PEKAPURAN RAYA GG. RATU RIANG"/>
    <s v="JL. PEKAPURAN RAYA GG. RATU RIANG"/>
    <m/>
  </r>
  <r>
    <s v="RT 08"/>
    <s v="RW 01"/>
    <s v="6371021303180009"/>
    <s v="6371022006120003"/>
    <s v="M. FIKRI HAIKAL"/>
    <s v="ANAK"/>
    <x v="0"/>
    <s v="BANJARMASIN"/>
    <n v="20"/>
    <n v="6"/>
    <n v="2012"/>
    <n v="12"/>
    <s v="10-1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601080148"/>
    <s v="6371022008550001"/>
    <s v="NORHAWI"/>
    <s v="KEPALA KELUARGA"/>
    <x v="0"/>
    <s v="MADURA"/>
    <n v="20"/>
    <n v="8"/>
    <n v="1955"/>
    <n v="69"/>
    <s v="65-69 TAHUN"/>
    <s v="ISLAM"/>
    <s v="TAMAT SD/SEDERAJAT"/>
    <s v="WIRASWASTA"/>
    <s v="WIRASWASTA"/>
    <s v="KAWIN TERCATAT"/>
    <x v="0"/>
    <s v="JL. PEKAPURAN RAYA GG. RATU RIANG"/>
    <s v="JL. PEKAPURAN RAYA GG. RATU RIANG"/>
    <m/>
  </r>
  <r>
    <s v="RT 08"/>
    <s v="RW 01"/>
    <s v="6371020601080148"/>
    <s v="6371025909640001"/>
    <s v="ARWATI"/>
    <s v="ISTRI"/>
    <x v="1"/>
    <s v="MADURA"/>
    <n v="19"/>
    <n v="9"/>
    <n v="1964"/>
    <n v="60"/>
    <s v="60-64 TAHUN"/>
    <s v="ISLAM"/>
    <s v="TAMAT SD/SEDERAJAT"/>
    <s v="PEDAGANG"/>
    <s v="PEDAGANG"/>
    <s v="KAWIN TERCATAT"/>
    <x v="0"/>
    <s v="JL. PEKAPURAN RAYA GG. RATU RIANG"/>
    <s v="JL. PEKAPURAN RAYA GG. RATU RIANG"/>
    <m/>
  </r>
  <r>
    <s v="RT 08"/>
    <s v="RW 01"/>
    <s v="6371020601080148"/>
    <s v="6371025110040001"/>
    <s v="RAHMADHANIA"/>
    <s v="ANAK"/>
    <x v="1"/>
    <s v="BANJARMASIN"/>
    <n v="11"/>
    <n v="10"/>
    <n v="2004"/>
    <n v="20"/>
    <s v="20-2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103170002"/>
    <s v="6371012806890004"/>
    <s v="FAISAL"/>
    <s v="KEPALA KELUARGA"/>
    <x v="0"/>
    <s v="BANJARMASIN"/>
    <n v="28"/>
    <n v="6"/>
    <n v="1989"/>
    <n v="35"/>
    <s v="35-39 TAHUN"/>
    <s v="ISLAM"/>
    <s v="BELUM TAMAT SD/SEDERAJAT"/>
    <s v="BELUM/TIDAK BEKERJA"/>
    <s v="BELUM/TIDAK BEKERJA"/>
    <s v="BELUM KAWIN"/>
    <x v="0"/>
    <s v="JL. PEKAPURAN RAYA"/>
    <s v="JL. PEKAPURAN RAYA"/>
    <m/>
  </r>
  <r>
    <s v="RT 08"/>
    <s v="RW 01"/>
    <s v="6371020103170002"/>
    <s v="6371024510950011"/>
    <s v="MISDAWATI"/>
    <s v="ISTRI"/>
    <x v="1"/>
    <s v="BANJARMASIN"/>
    <n v="5"/>
    <n v="10"/>
    <n v="1995"/>
    <n v="29"/>
    <s v="25-29 TAHUN"/>
    <s v="ISLAM"/>
    <s v="BELUM TAMAT SD/SEDERAJAT"/>
    <s v="MENGURUS RUMAH TANGGA"/>
    <s v="MENGURUS RUMAH TANGGA"/>
    <s v="BELUM KAWIN"/>
    <x v="0"/>
    <s v="JL. PEKAPURAN RAYA"/>
    <s v="JL. PEKAPURAN RAYA"/>
    <m/>
  </r>
  <r>
    <s v="RT 08"/>
    <s v="RW 01"/>
    <s v="6371020103170002"/>
    <s v="6371025405130004"/>
    <s v="GOPIYA AULIA"/>
    <s v="ANAK"/>
    <x v="1"/>
    <s v="BANJARMASIN"/>
    <n v="14"/>
    <n v="5"/>
    <n v="2013"/>
    <n v="11"/>
    <s v="10-14 TAHUN"/>
    <s v="ISLAM"/>
    <s v="TIDAK/BELUM SEKOLAH"/>
    <s v="BELUM/TIDAK BEKERJA"/>
    <s v="BELUM/TIDAK BEKERJA"/>
    <s v="BELUM KAWIN"/>
    <x v="0"/>
    <s v="JL. PEKAPURAN RAYA"/>
    <s v="JL. PEKAPURAN RAYA"/>
    <m/>
  </r>
  <r>
    <s v="RT 08"/>
    <s v="RW 01"/>
    <s v="63710511050900003"/>
    <s v="6371050510770010"/>
    <s v="ABDUS SYOMAD"/>
    <s v="KEPALA KELUARGA"/>
    <x v="0"/>
    <s v="BANGKALAN"/>
    <n v="5"/>
    <n v="10"/>
    <n v="1977"/>
    <n v="47"/>
    <s v="45-49 TAHUN"/>
    <s v="ISLAM"/>
    <s v="TAMAT SD/SEDERAJAT"/>
    <s v="BURUH HARIAN LEPAS"/>
    <s v="BURUH HARIAN LEPAS"/>
    <s v="KAWIN"/>
    <x v="0"/>
    <s v="JL. PEKAPURAN RAYA GG. RATU RIANG"/>
    <s v="JL. PEKAPURAN RAYA GG. RATU RIANG"/>
    <m/>
  </r>
  <r>
    <s v="RT 08"/>
    <s v="RW 01"/>
    <s v="63710511050900003"/>
    <s v="6371055405800010"/>
    <s v="MASRIAH"/>
    <s v="ISTRI"/>
    <x v="1"/>
    <s v="BANGKALAN"/>
    <n v="14"/>
    <n v="5"/>
    <n v="1980"/>
    <n v="44"/>
    <s v="40-44 TAHUN"/>
    <s v="ISLAM"/>
    <s v="TAMAT SD/SEDERAJAT"/>
    <s v="MENGURUS RUMAH TANGGA"/>
    <s v="MENGURUS RUMAH TANGGA"/>
    <s v="KAWIN"/>
    <x v="0"/>
    <s v="JL. PEKAPURAN RAYA GG. RATU RIANG"/>
    <s v="JL. PEKAPURAN RAYA GG. RATU RIANG"/>
    <m/>
  </r>
  <r>
    <s v="RT 08"/>
    <s v="RW 01"/>
    <s v="63710511050900003"/>
    <s v="6371056602060004"/>
    <s v="ROBIATUL ADAWIAH"/>
    <s v="ANAK"/>
    <x v="1"/>
    <s v="SAMPANG"/>
    <n v="16"/>
    <n v="2"/>
    <n v="2006"/>
    <n v="18"/>
    <s v="15-1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2311080012"/>
    <s v="6371021505820028"/>
    <s v="MAHMUDI"/>
    <s v="KEPALA KELUARGA"/>
    <x v="0"/>
    <s v="BANGKALAN"/>
    <n v="15"/>
    <n v="5"/>
    <n v="1982"/>
    <n v="42"/>
    <s v="40-44 TAHUN"/>
    <s v="ISLAM"/>
    <s v="TAMAT SD/SEDERAJAT"/>
    <s v="WIRASWASTA"/>
    <s v="WIRASWASTA"/>
    <s v="KAWIN"/>
    <x v="0"/>
    <s v="JL. PEKAPURAN RAYA GG. BUNGA"/>
    <s v="JL. PEKAPURAN RAYA GG. BUNGA"/>
    <m/>
  </r>
  <r>
    <s v="RT 05"/>
    <s v="RW 01"/>
    <s v="6371022311080012"/>
    <s v="6371020507850008"/>
    <s v="HAMIDAH"/>
    <m/>
    <x v="1"/>
    <s v="SAMARINDA"/>
    <n v="25"/>
    <n v="7"/>
    <n v="1985"/>
    <n v="39"/>
    <s v="35-39 TAHUN"/>
    <s v="ISLAM"/>
    <s v="TAMAT SD/SEDERAJAT"/>
    <s v="MENGURUS RUMAH TANGGA"/>
    <s v="MENGURUS RUMAH TANGGA"/>
    <s v="KAWIN"/>
    <x v="0"/>
    <s v="JL. PEKAPURAN RAYA GG. BUNGA"/>
    <s v="JL. PEKAPURAN RAYA GG. BUNGA"/>
    <m/>
  </r>
  <r>
    <s v="RT 08"/>
    <s v="RW 01"/>
    <s v="6371022311080012"/>
    <s v="6371024806050004"/>
    <s v="NAJMATUS SHOBIHAH"/>
    <s v="ANAK"/>
    <x v="1"/>
    <s v="SAMARINDA"/>
    <n v="8"/>
    <n v="6"/>
    <n v="2005"/>
    <n v="19"/>
    <s v="15-19 TAHUN"/>
    <s v="ISLAM"/>
    <s v="BELUM TAMAT SD/SEDERAJAT"/>
    <s v="PELAJAR/MAHASISWA"/>
    <s v="PELAJAR/MAHASISWA"/>
    <s v="BELUM KAWIN"/>
    <x v="0"/>
    <s v="JL. PEKAPURAN RAYA GG. BUNGA"/>
    <s v="JL. PEKAPURAN RAYA GG. BUNGA"/>
    <m/>
  </r>
  <r>
    <s v="RT 08"/>
    <s v="RW 01"/>
    <s v="6371022311080012"/>
    <s v="6371025709080002"/>
    <s v="ADINDA ROHMADANI"/>
    <s v="ANAK"/>
    <x v="1"/>
    <s v="SAMARINDA"/>
    <n v="17"/>
    <n v="9"/>
    <n v="2009"/>
    <n v="15"/>
    <s v="15-19 TAHUN"/>
    <s v="ISLAM"/>
    <s v="TIDAK/BELUM SEKOLAH"/>
    <s v="BELUM/TIDAK BEKERJA"/>
    <s v="BELUM/TIDAK BEKERJA"/>
    <s v="BELUM KAWIN"/>
    <x v="0"/>
    <s v="JL. PEKAPURAN RAYA GG. BUNGA"/>
    <s v="JL. PEKAPURAN RAYA GG. BUNGA"/>
    <m/>
  </r>
  <r>
    <s v="RT 08"/>
    <s v="RW 01"/>
    <s v="6371022311080012"/>
    <s v="6371021307150005"/>
    <s v="MUHAMMAD AFRIADI"/>
    <s v="ANAK"/>
    <x v="0"/>
    <s v="BANJARMASIN"/>
    <n v="13"/>
    <n v="7"/>
    <n v="2015"/>
    <n v="9"/>
    <s v="5-9 TAHUN"/>
    <s v="ISLAM"/>
    <s v="TIDAK/BELUM SEKOLAH"/>
    <s v="BELUM/TIDAK BEKERJA"/>
    <s v="BELUM/TIDAK BEKERJA"/>
    <s v="BELUM KAWIN"/>
    <x v="0"/>
    <s v="JL. PEKAPURAN RAYA GG. BUNGA"/>
    <s v="JL. PEKAPURAN RAYA GG. BUNGA"/>
    <m/>
  </r>
  <r>
    <s v="RT 08"/>
    <s v="RW 01"/>
    <s v="6371020601080159"/>
    <s v="6371020107680622"/>
    <s v="MUHDIANSYAH"/>
    <s v="KEPALA KELUARGA"/>
    <x v="0"/>
    <s v="BARIKIN"/>
    <n v="2"/>
    <n v="2"/>
    <n v="1964"/>
    <n v="60"/>
    <s v="60-64 TAHUN"/>
    <s v="ISLAM"/>
    <s v="SLTA/SEDERAJAT"/>
    <s v="BURUH HARIAN LEPAS"/>
    <s v="BURUH HARIAN LEPAS"/>
    <s v="KAWIN"/>
    <x v="0"/>
    <s v="JL. PEKAPURAN RAYA"/>
    <s v="JL. PEKAPURAN RAYA"/>
    <m/>
  </r>
  <r>
    <s v="RT 08"/>
    <s v="RW 01"/>
    <s v="6371020601080159"/>
    <s v="6371024107710237"/>
    <s v="ERNA WATI"/>
    <s v="ISTRI"/>
    <x v="1"/>
    <s v="BARABAI"/>
    <n v="1"/>
    <n v="7"/>
    <n v="1971"/>
    <n v="53"/>
    <s v="50-54 TAHUN"/>
    <s v="ISLAM"/>
    <s v="TAMAT SD/SEDERAJAT"/>
    <s v="MENGURUS RUMAH TANGGA"/>
    <s v="MENGURUS RUMAH TANGGA"/>
    <s v="KAWIN"/>
    <x v="0"/>
    <s v="JL. PEKAPURAN RAYA"/>
    <s v="JL. PEKAPURAN RAYA"/>
    <m/>
  </r>
  <r>
    <s v="RT 08"/>
    <s v="RW 01"/>
    <s v="6371020601080159"/>
    <s v="6371024107940229"/>
    <s v="NITA ANGGRAENI"/>
    <s v="ANAK"/>
    <x v="1"/>
    <s v="PANTAI  HAMBAWANG"/>
    <n v="22"/>
    <n v="8"/>
    <n v="1994"/>
    <n v="30"/>
    <s v="30-34 TAHUN"/>
    <s v="ISLAM"/>
    <s v="SLTP/SEDERAJAT"/>
    <s v="PELAJAR/MAHASISWA"/>
    <s v="PELAJAR/MAHASISWA"/>
    <s v="BELUM KAWIN"/>
    <x v="0"/>
    <s v="JL. PEKAPURAN RAYA"/>
    <s v="JL. PEKAPURAN RAYA"/>
    <m/>
  </r>
  <r>
    <s v="RT 08"/>
    <s v="RW 01"/>
    <s v="6371020601080159"/>
    <s v="6371020107010237"/>
    <s v="MUHAMMAD FEQY"/>
    <s v="ANAK"/>
    <x v="0"/>
    <s v="BANJARMASIN"/>
    <n v="15"/>
    <n v="7"/>
    <n v="2001"/>
    <n v="23"/>
    <s v="20-24 TAHUN"/>
    <s v="ISLAM"/>
    <s v="TAMAT SD/SEDERAJAT"/>
    <s v="PELAJAR/MAHASISWA"/>
    <s v="PELAJAR/MAHASISWA"/>
    <s v="BELUM KAWIN"/>
    <x v="0"/>
    <s v="JL. PEKAPURAN RAYA"/>
    <s v="JL. PEKAPURAN RAYA"/>
    <m/>
  </r>
  <r>
    <s v="RT 08"/>
    <s v="RW 01"/>
    <s v="6371020704110002"/>
    <s v="6371021307750004"/>
    <s v="HUSAINI"/>
    <s v="KEPALA KELUARGA"/>
    <x v="0"/>
    <s v="BANJARMASIN"/>
    <n v="13"/>
    <n v="7"/>
    <n v="1975"/>
    <n v="49"/>
    <s v="45-49 TAHUN"/>
    <s v="ISLAM"/>
    <s v="TAMAT SD/SEDERAJAT"/>
    <s v="WIRASWASTA"/>
    <s v="WIRASWASTA"/>
    <s v="KAWIN TERCATAT"/>
    <x v="0"/>
    <s v="JL. PEK. RAYA GG. RATU RIANG"/>
    <s v="JL. PEK. RAYA GG. RATU RIANG"/>
    <m/>
  </r>
  <r>
    <s v="RT 08"/>
    <s v="RW 01"/>
    <s v="6371020704110002"/>
    <s v="6371025704860002"/>
    <s v="ANITA"/>
    <s v="ISTRI"/>
    <x v="1"/>
    <s v="TAMBAN"/>
    <n v="17"/>
    <n v="4"/>
    <n v="1986"/>
    <n v="38"/>
    <s v="35-39 TAHUN"/>
    <s v="ISLAM"/>
    <s v="TAMAT SD/SEDERAJAT"/>
    <s v="MENGURUS RUMAH TANGGA"/>
    <s v="MENGURUS RUMAH TANGGA"/>
    <s v="KAWIN TERCATAT"/>
    <x v="0"/>
    <s v="JL. PEK. RAYA GG. RATU RIANG"/>
    <s v="JL. PEK. RAYA GG. RATU RIANG"/>
    <m/>
  </r>
  <r>
    <s v="RT 08"/>
    <s v="RW 01"/>
    <s v="6371020704110002"/>
    <s v="6371020507100005"/>
    <s v="MUHAMMAD ROJABI"/>
    <s v="ANAK"/>
    <x v="0"/>
    <s v="BANJARMASIN"/>
    <n v="5"/>
    <n v="7"/>
    <n v="2010"/>
    <n v="14"/>
    <s v="10-14 TAHUN"/>
    <s v="ISLAM"/>
    <s v="BELUM TAMAT SD/SEDERAJAT"/>
    <s v="PELAJAR/MAHASISWA"/>
    <s v="PELAJAR/MAHASISWA"/>
    <s v="BELUM KAWIN"/>
    <x v="0"/>
    <s v="JL. PEK. RAYA GG. RATU RIANG"/>
    <s v="JL. PEK. RAYA GG. RATU RIANG"/>
    <m/>
  </r>
  <r>
    <s v="RT 08"/>
    <s v="RW 01"/>
    <s v="6371020704110002"/>
    <s v="6371023003200004"/>
    <s v="MUHAMMAD KHARAMARTULLAH"/>
    <s v="ANAK"/>
    <x v="0"/>
    <s v="BARITO KUALA"/>
    <n v="30"/>
    <n v="3"/>
    <n v="2020"/>
    <n v="4"/>
    <s v="0-4 TAHUN"/>
    <s v="ISLAM"/>
    <s v="TIDAK/BELUM SEKOLAH"/>
    <s v="BELUM/TIDAK BEKERJA"/>
    <s v="BELUM/TIDAK BEKERJA"/>
    <s v="BELUM KAWIN"/>
    <x v="0"/>
    <s v="JL. PEK. RAYA GG. RATU RIANG"/>
    <s v="JL. PEK. RAYA GG. RATU RIANG"/>
    <m/>
  </r>
  <r>
    <s v="RT 08"/>
    <s v="RW 01"/>
    <s v="6371020810090029"/>
    <s v="6371020212740006"/>
    <s v="M. SADERI"/>
    <s v="KEPALA KELUARGA"/>
    <x v="0"/>
    <s v="BANJARMASIN"/>
    <n v="2"/>
    <n v="12"/>
    <n v="1974"/>
    <n v="50"/>
    <s v="50-54 TAHUN"/>
    <s v="ISLAM"/>
    <s v="SLTA/SEDERAJAT"/>
    <s v="PEDAGANG"/>
    <s v="PEDAGANG"/>
    <s v="KAWIN TERCATAT"/>
    <x v="0"/>
    <s v="JL. PEKAPURAN RAYA"/>
    <s v="JL. PEKAPURAN RAYA"/>
    <m/>
  </r>
  <r>
    <s v="RT 08"/>
    <s v="RW 01"/>
    <s v="6371020810090029"/>
    <s v="6371026311810006"/>
    <s v="MELDAWATI"/>
    <s v="ISTRI"/>
    <x v="1"/>
    <s v="BANJARMASIN"/>
    <n v="23"/>
    <n v="11"/>
    <n v="1981"/>
    <n v="43"/>
    <s v="40-44 TAHUN"/>
    <s v="ISLAM"/>
    <s v="SLTP/SEDERAJAT"/>
    <s v="MENGURUS RUMAH TANGGA"/>
    <s v="MENGURUS RUMAH TANGGA"/>
    <s v="KAWIN TERCATAT"/>
    <x v="0"/>
    <s v="JL. PEKAPURAN RAYA"/>
    <s v="JL. PEKAPURAN RAYA"/>
    <m/>
  </r>
  <r>
    <s v="RT 08"/>
    <s v="RW 01"/>
    <s v="6371020810090029"/>
    <s v="6371022702090001"/>
    <s v="M. RIZQI MAULANA"/>
    <s v="ANAK"/>
    <x v="0"/>
    <s v="BANJARMASIN"/>
    <n v="27"/>
    <n v="2"/>
    <n v="2009"/>
    <n v="15"/>
    <s v="15-19 TAHUN"/>
    <s v="ISLAM"/>
    <s v="TIDAK/BELUM SEKOLAH"/>
    <s v="BELUM/TIDAK BEKERJA"/>
    <s v="BELUM/TIDAK BEKERJA"/>
    <s v="BELUM KAWIN"/>
    <x v="0"/>
    <s v="JL. PEKAPURAN RAYA"/>
    <s v="JL. PEKAPURAN RAYA"/>
    <m/>
  </r>
  <r>
    <s v="RT 08"/>
    <s v="RW 01"/>
    <s v="6371020601080151"/>
    <s v="6371020607720003"/>
    <s v="ELDI SYARIWANTO"/>
    <s v="KEPALA KELUARGA"/>
    <x v="0"/>
    <s v="TARUSAN"/>
    <n v="6"/>
    <n v="7"/>
    <n v="1972"/>
    <n v="52"/>
    <s v="50-54 TAHUN"/>
    <s v="ISLAM"/>
    <s v="SLTA/SEDERAJAT"/>
    <s v="BURUH TANI/PERKEBUNAN"/>
    <s v="BURUH TANI/PERKEBUNAN"/>
    <s v="KAWIN BELUM TERCATAT"/>
    <x v="0"/>
    <s v="JL. PEK. RAYA GG. RATU RIANG NO. 50"/>
    <s v="JL. PEK. RAYA GG. RATU RIANG NO. 50"/>
    <m/>
  </r>
  <r>
    <s v="RT 08"/>
    <s v="RW 01"/>
    <s v="6371020601080151"/>
    <s v="6371025502740005"/>
    <s v="INTAN SARI"/>
    <s v="ISTRI"/>
    <x v="1"/>
    <s v="BANJARMASIN"/>
    <n v="15"/>
    <n v="2"/>
    <n v="1974"/>
    <n v="50"/>
    <s v="50-54 TAHUN"/>
    <s v="ISLAM"/>
    <s v="SLTA/SEDERAJAT"/>
    <s v="TAMAT SD/SEDERAJAT"/>
    <s v="TAMAT SD/SEDERAJAT"/>
    <s v="KAWIN BELUM TERCATAT"/>
    <x v="0"/>
    <s v="JL. PEK. RAYA GG. RATU RIANG NO. 50"/>
    <s v="JL. PEK. RAYA GG. RATU RIANG NO. 50"/>
    <m/>
  </r>
  <r>
    <s v="RT 08"/>
    <s v="RW 01"/>
    <s v="6371020601080151"/>
    <s v="6371025301950005"/>
    <s v="MARTI HARYANA PUTRI, SKM"/>
    <s v="ANAK"/>
    <x v="1"/>
    <s v="MARABAHAN"/>
    <n v="13"/>
    <n v="1"/>
    <n v="1995"/>
    <n v="29"/>
    <s v="25-29 TAHUN"/>
    <s v="ISLAM"/>
    <s v="DIV/S1"/>
    <s v="BELUM/TIDAK BEKERJA"/>
    <s v="BELUM/TIDAK BEKERJA"/>
    <s v="BELUM KAWIN"/>
    <x v="0"/>
    <s v="JL. PEK. RAYA GG. RATU RIANG NO. 50"/>
    <s v="JL. PEK. RAYA GG. RATU RIANG NO. 50"/>
    <m/>
  </r>
  <r>
    <s v="RT 08"/>
    <s v="RW 01"/>
    <s v="6371022804100009"/>
    <s v="6371030707780015"/>
    <s v="YAMANI"/>
    <s v="KEPALA KELUARGA"/>
    <x v="0"/>
    <s v="BANJARMASIN"/>
    <n v="7"/>
    <n v="7"/>
    <n v="1978"/>
    <n v="46"/>
    <s v="45-49 TAHUN"/>
    <s v="ISLAM"/>
    <s v="SLTP/SEDERAJAT"/>
    <s v="WIRASWASTA"/>
    <s v="WIRASWASTA"/>
    <s v="KAWIN TERCATAT"/>
    <x v="0"/>
    <s v="JL. PEKAPURAN RAYA GG. RATU RIANG"/>
    <s v="JL. PEKAPURAN RAYA GG. RATU RIANG"/>
    <m/>
  </r>
  <r>
    <s v="RT 08"/>
    <s v="RW 01"/>
    <s v="6371022804100009"/>
    <s v="6371025603850008"/>
    <s v="ANITA SUBUH"/>
    <s v="ISTRI"/>
    <x v="1"/>
    <s v="BANJARMASIN"/>
    <n v="16"/>
    <n v="3"/>
    <n v="1985"/>
    <n v="39"/>
    <s v="35-39 TAHUN"/>
    <s v="ISLAM"/>
    <s v="SLTP/SEDERAJAT"/>
    <s v="WIRASWASTA"/>
    <s v="WIRASWASTA"/>
    <s v="KAWIN TERCATAT"/>
    <x v="0"/>
    <s v="JL. PEKAPURAN RAYA GG. RATU RIANG"/>
    <s v="JL. PEKAPURAN RAYA GG. RATU RIANG"/>
    <m/>
  </r>
  <r>
    <s v="RT 08"/>
    <s v="RW 01"/>
    <s v="6371022804100009"/>
    <s v="6371026704080005"/>
    <s v="AMALIA"/>
    <s v="ANAK"/>
    <x v="1"/>
    <s v="BANJARMASIN"/>
    <n v="27"/>
    <n v="4"/>
    <n v="2008"/>
    <n v="16"/>
    <s v="15-19 TAHUN"/>
    <s v="ISLAM"/>
    <s v="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1511110001"/>
    <s v="RIZKY BAIHAQI"/>
    <s v="ANAK"/>
    <x v="0"/>
    <s v="BANJARMASIN"/>
    <n v="15"/>
    <n v="11"/>
    <n v="2011"/>
    <n v="13"/>
    <s v="10-14 TAHUN"/>
    <s v="ISLAM"/>
    <s v="BELUM 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5308150001"/>
    <s v="HANA RAFIKA"/>
    <s v="ANAK"/>
    <x v="1"/>
    <s v="BANJARMASIN"/>
    <n v="13"/>
    <n v="8"/>
    <n v="2015"/>
    <n v="9"/>
    <s v="5-9 TAHUN"/>
    <s v="ISLAM"/>
    <s v="BELUM 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6509220001"/>
    <s v="RAUDATUL ISHLAH"/>
    <s v="ANAK"/>
    <x v="1"/>
    <s v="BANJARMASIN"/>
    <n v="25"/>
    <n v="9"/>
    <n v="2022"/>
    <n v="2"/>
    <s v="0-4 TAHUN"/>
    <s v="ISLAM"/>
    <s v="TIDAK/BELUM SEKOLAH"/>
    <s v="BELUM/TIDAK BEKERJA"/>
    <s v="BELUM/TIDAK BEKERJA"/>
    <s v="BELUM KAWIN"/>
    <x v="0"/>
    <s v="JL. PEKAPURAN RAYA GG. RATU RIANG"/>
    <s v="JL. PEKAPURAN RAYA GG. RATU RIANG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7">
  <r>
    <s v="RT 06"/>
    <s v="RW 01"/>
    <s v="6371020511090029"/>
    <s v="6371022003740007"/>
    <s v="JUNIANSYAH"/>
    <s v="KEPALA KELUARGA"/>
    <x v="0"/>
    <s v="BANJARMASIN"/>
    <n v="20"/>
    <n v="3"/>
    <n v="1974"/>
    <n v="50"/>
    <x v="0"/>
    <x v="0"/>
    <x v="0"/>
    <x v="0"/>
    <s v="WIRASWASTA"/>
    <x v="0"/>
    <s v="PENDUDUK TETAP"/>
    <s v="JL. PEKAPURAN RAYA GG.H.M. ARSYAD"/>
    <s v="JL. PEKAPURAN RAYA GG.H.M. ARSYAD"/>
    <s v="MILIK SENDIRI"/>
  </r>
  <r>
    <s v="RT 06"/>
    <s v="RW 01"/>
    <s v="6371020511090029"/>
    <s v="6371026004810005"/>
    <s v="WATI"/>
    <s v="ISTRI"/>
    <x v="1"/>
    <s v="BANJARMASIN"/>
    <n v="20"/>
    <n v="4"/>
    <n v="1981"/>
    <n v="43"/>
    <x v="1"/>
    <x v="0"/>
    <x v="0"/>
    <x v="1"/>
    <s v="MENGURUS RUMAH TANGGA"/>
    <x v="0"/>
    <s v="PENDUDUK TETAP"/>
    <s v="JL. PEKAPURAN RAYA GG.H.M. ARSYAD"/>
    <s v="JL. PEKAPURAN RAYA GG.H.M. ARSYAD"/>
    <s v="MILIK SENDIRI"/>
  </r>
  <r>
    <s v="RT 06"/>
    <s v="RW 01"/>
    <s v="6371020511090029"/>
    <s v="6371024808070007"/>
    <s v="YUNITA"/>
    <s v="ANAK"/>
    <x v="1"/>
    <s v="BANJARMASIN"/>
    <n v="8"/>
    <n v="8"/>
    <n v="2007"/>
    <n v="17"/>
    <x v="2"/>
    <x v="0"/>
    <x v="1"/>
    <x v="2"/>
    <s v="PELAJAR/MAHASISWA"/>
    <x v="1"/>
    <s v="PENDUDUK TETAP"/>
    <s v="JL. PEKAPURAN RAYA GG.H.M. ARSYAD"/>
    <s v="JL. PEKAPURAN RAYA GG.H.M. ARSYAD"/>
    <s v="KONTRAK/SEWA"/>
  </r>
  <r>
    <s v="RT 06"/>
    <s v="RW 01"/>
    <s v="6371020511090029"/>
    <s v="6371023008110003_x000a_"/>
    <s v="FITRIADI"/>
    <s v="ANAK"/>
    <x v="0"/>
    <s v="BANJARMASIN"/>
    <n v="30"/>
    <n v="8"/>
    <n v="2011"/>
    <n v="13"/>
    <x v="3"/>
    <x v="0"/>
    <x v="1"/>
    <x v="2"/>
    <s v="PELAJAR/MAHASISWA"/>
    <x v="1"/>
    <s v="PENDUDUK TETAP"/>
    <s v="JL. PEKAPURAN RAYA GG.H.M. ARSYAD"/>
    <s v="JL. PEKAPURAN RAYA GG.H.M. ARSYAD"/>
    <s v="KONTRAK/SEWA"/>
  </r>
  <r>
    <s v="RT 06"/>
    <s v="RW 01"/>
    <s v="6371020511090029"/>
    <s v="6371024311180005"/>
    <s v="PUTRI NADYA"/>
    <s v="ANAK"/>
    <x v="1"/>
    <s v="BANJARMASIN"/>
    <n v="3"/>
    <n v="11"/>
    <n v="2018"/>
    <n v="6"/>
    <x v="4"/>
    <x v="0"/>
    <x v="2"/>
    <x v="3"/>
    <s v="BELUM/TIDAK BEKERJA"/>
    <x v="1"/>
    <s v="PENDUDUK TETAP"/>
    <s v="JL. PEKAPURAN RAYA GG.H.M. ARSYAD"/>
    <s v="JL. PEKAPURAN RAYA GG.H.M. ARSYAD"/>
    <s v="KONTRAK/SEWA"/>
  </r>
  <r>
    <s v="RT 06"/>
    <s v="RW 01"/>
    <s v="6371020401080455"/>
    <s v="6371010409870010"/>
    <s v="HERIAN NOOR"/>
    <s v="KEPALA KELUARGA"/>
    <x v="0"/>
    <s v="BANJARMASIN"/>
    <n v="4"/>
    <n v="9"/>
    <n v="1987"/>
    <n v="37"/>
    <x v="5"/>
    <x v="0"/>
    <x v="2"/>
    <x v="0"/>
    <s v="WIRASWASTA"/>
    <x v="2"/>
    <s v="PENDUDUK TETAP"/>
    <s v="JL. PEK. RAYA GG ALIMA"/>
    <s v="JL. PEK. RAYA GG ALIMA"/>
    <s v="BEBAS SEWA"/>
  </r>
  <r>
    <s v="RT 06"/>
    <s v="RW 01"/>
    <s v="6371020401080455"/>
    <s v="6371025306940001"/>
    <s v="EVA JULIATI"/>
    <s v="ISTRI"/>
    <x v="1"/>
    <s v="BANJARMASIN"/>
    <n v="13"/>
    <n v="6"/>
    <n v="1994"/>
    <n v="30"/>
    <x v="6"/>
    <x v="0"/>
    <x v="0"/>
    <x v="1"/>
    <s v="MENGURUS RUMAH TANGGA"/>
    <x v="2"/>
    <s v="PENDUDUK TETAP"/>
    <s v="JL. PEK. RAYA GG ALIMA"/>
    <s v="JL. PEK. RAYA GG ALIMA"/>
    <s v="BEBAS SEWA"/>
  </r>
  <r>
    <s v="RT 06"/>
    <s v="RW 01"/>
    <s v="6371020401080455"/>
    <s v="6371022009140003"/>
    <s v="MUHAMMAD NADIL ANNAFIS"/>
    <s v="ANAK"/>
    <x v="0"/>
    <s v="BANJARMASIN"/>
    <n v="20"/>
    <n v="9"/>
    <n v="2014"/>
    <n v="10"/>
    <x v="3"/>
    <x v="0"/>
    <x v="2"/>
    <x v="3"/>
    <s v="BELUM/TIDAK BEKERJA"/>
    <x v="1"/>
    <s v="PENDUDUK TETAP"/>
    <s v="JL. PEK. RAYA GG ALIMA"/>
    <s v="JL. PEK. RAYA GG ALIMA"/>
    <m/>
  </r>
  <r>
    <s v="RT 06"/>
    <s v="RW 01"/>
    <s v="6371020401080455"/>
    <s v="6371024212650003"/>
    <s v="ROHANI,HJ"/>
    <s v="FAMILI LAIN"/>
    <x v="1"/>
    <s v="BANJARMASIN"/>
    <n v="2"/>
    <n v="12"/>
    <n v="1965"/>
    <n v="59"/>
    <x v="7"/>
    <x v="0"/>
    <x v="0"/>
    <x v="1"/>
    <s v="MENGURUS RUMAH TANGGA"/>
    <x v="3"/>
    <s v="PENDUDUK TETAP"/>
    <s v="JL. PEK. RAYA GG ALIMA"/>
    <s v="JL. PEK. RAYA GG ALIMA"/>
    <m/>
  </r>
  <r>
    <s v="RT 06"/>
    <s v="RW 01"/>
    <s v="6371020101080163"/>
    <s v="6371020102760008"/>
    <s v="MASTURI"/>
    <s v="KEPALA KELUARGA"/>
    <x v="0"/>
    <s v="BANGKALAN"/>
    <n v="1"/>
    <n v="2"/>
    <n v="1976"/>
    <n v="48"/>
    <x v="8"/>
    <x v="0"/>
    <x v="3"/>
    <x v="4"/>
    <s v="PEDAGANG"/>
    <x v="4"/>
    <s v="PENDUDUK TETAP"/>
    <s v="JL. PEKAPURAN RAYA GG. A. LIMA"/>
    <s v="JL. PEKAPURAN RAYA GG. A. LIMA"/>
    <m/>
  </r>
  <r>
    <s v="RT 06"/>
    <s v="RW 01"/>
    <s v="6371020101080163"/>
    <s v="6371025204990003"/>
    <s v="NURHALIMAH"/>
    <s v="ISTRI"/>
    <x v="1"/>
    <s v="BANJARMASIN"/>
    <n v="12"/>
    <n v="4"/>
    <n v="1999"/>
    <n v="25"/>
    <x v="9"/>
    <x v="0"/>
    <x v="1"/>
    <x v="2"/>
    <s v="PELAJAR/MAHASISWA"/>
    <x v="1"/>
    <s v="PENDUDUK TETAP"/>
    <s v="JL. PEKAPURAN RAYA GG. A. LIMA"/>
    <s v="JL. PEKAPURAN RAYA GG. A. LIMA"/>
    <m/>
  </r>
  <r>
    <s v="RT 06"/>
    <s v="RW 01"/>
    <s v="6371020101080163"/>
    <s v="6371020305050002"/>
    <s v="ADAM"/>
    <s v="ANAK"/>
    <x v="0"/>
    <s v="BANJARMASIN"/>
    <n v="3"/>
    <n v="5"/>
    <n v="2005"/>
    <n v="19"/>
    <x v="2"/>
    <x v="0"/>
    <x v="2"/>
    <x v="3"/>
    <s v="BELUM/TIDAK BEKERJA"/>
    <x v="1"/>
    <s v="PENDUDUK TETAP"/>
    <s v="JL. PEKAPURAN RAYA GG. A. LIMA"/>
    <s v="JL. PEKAPURAN RAYA GG. A. LIMA"/>
    <m/>
  </r>
  <r>
    <s v="RT 06"/>
    <s v="RW 01"/>
    <s v="6371020501080781"/>
    <s v="6371023112620039"/>
    <s v="SYAMSUDIN"/>
    <s v="KEPALA KELUARGA"/>
    <x v="0"/>
    <s v="BANGKALAN"/>
    <n v="31"/>
    <n v="12"/>
    <n v="1962"/>
    <n v="62"/>
    <x v="10"/>
    <x v="0"/>
    <x v="3"/>
    <x v="0"/>
    <s v="WIRASWASTA"/>
    <x v="2"/>
    <s v="PENDUDUK TETAP"/>
    <s v="JL. PEKAPURAN RAYA GG.H.M. ARSYAD"/>
    <s v="JL. PEKAPURAN RAYA GG.H.M. ARSYAD"/>
    <m/>
  </r>
  <r>
    <s v="RT 06"/>
    <s v="RW 01"/>
    <s v="6371020501080781"/>
    <s v="6371027112670026"/>
    <s v="JAINAH"/>
    <s v="ISTRI"/>
    <x v="1"/>
    <s v="BANJARMASIN"/>
    <n v="31"/>
    <n v="12"/>
    <n v="1967"/>
    <n v="57"/>
    <x v="7"/>
    <x v="0"/>
    <x v="0"/>
    <x v="1"/>
    <s v="MENGURUS RUMAH TANGGA"/>
    <x v="2"/>
    <s v="PENDUDUK TETAP"/>
    <s v="JL. PEKAPURAN RAYA GG.H.M. ARSYAD"/>
    <s v="JL. PEKAPURAN RAYA GG.H.M. ARSYAD"/>
    <m/>
  </r>
  <r>
    <s v="RT 06"/>
    <s v="RW 01"/>
    <s v="6371020501080781"/>
    <s v="6371023112870007"/>
    <s v="ZULKIPLI"/>
    <s v="ANAK"/>
    <x v="0"/>
    <s v="BANJARMASIN"/>
    <n v="25"/>
    <n v="3"/>
    <n v="1987"/>
    <n v="37"/>
    <x v="5"/>
    <x v="0"/>
    <x v="0"/>
    <x v="2"/>
    <s v="PELAJAR/MAHASISWA"/>
    <x v="1"/>
    <s v="PENDUDUK TETAP"/>
    <s v="JL. PEKAPURAN RAYA GG.H.M. ARSYAD"/>
    <s v="JL. PEKAPURAN RAYA GG.H.M. ARSYAD"/>
    <m/>
  </r>
  <r>
    <s v="RT 06"/>
    <s v="RW 01"/>
    <s v="6371020501080781"/>
    <s v="6371020108970011"/>
    <s v="DULHADI"/>
    <s v="ANAK"/>
    <x v="0"/>
    <s v="BANJARMASIN"/>
    <n v="1"/>
    <n v="8"/>
    <n v="1997"/>
    <n v="27"/>
    <x v="9"/>
    <x v="0"/>
    <x v="3"/>
    <x v="2"/>
    <s v="PELAJAR/MAHASISWA"/>
    <x v="1"/>
    <s v="PENDUDUK TETAP"/>
    <s v="JL. PEKAPURAN RAYA GG.H.M. ARSYAD"/>
    <s v="JL. PEKAPURAN RAYA GG.H.M. ARSYAD"/>
    <m/>
  </r>
  <r>
    <s v="RT 06"/>
    <s v="RW 01"/>
    <s v="6371022205170005"/>
    <s v="6371027010820006"/>
    <s v="MASNAH"/>
    <s v="KEPALA KELUARGA"/>
    <x v="1"/>
    <s v="BANJARMASIN"/>
    <n v="30"/>
    <n v="10"/>
    <n v="1982"/>
    <n v="42"/>
    <x v="1"/>
    <x v="0"/>
    <x v="3"/>
    <x v="1"/>
    <s v="MENGURUS RUMAH TANGGA"/>
    <x v="3"/>
    <s v="PENDUDUK TETAP"/>
    <s v="JL. PEK. RAYA GG ALIMA"/>
    <s v="JL. PEK. RAYA GG ALIMA"/>
    <m/>
  </r>
  <r>
    <s v="RT 06"/>
    <s v="RW 01"/>
    <s v="6371022205170005"/>
    <s v="6371025211910003"/>
    <s v="NORJENAH"/>
    <s v="ISTRI"/>
    <x v="1"/>
    <s v="BANJARMASIN"/>
    <n v="12"/>
    <n v="11"/>
    <n v="1991"/>
    <n v="33"/>
    <x v="6"/>
    <x v="0"/>
    <x v="3"/>
    <x v="4"/>
    <s v="PEDAGANG"/>
    <x v="2"/>
    <s v="PENDUDUK TETAP"/>
    <s v="JL. PEK. RAYA GG ALIMA"/>
    <s v="JL. PEK. RAYA GG ALIMA"/>
    <m/>
  </r>
  <r>
    <s v="RT 06"/>
    <s v="RW 01"/>
    <s v="6371022205170005"/>
    <s v="6371022701040003"/>
    <s v="AHMAD RASI"/>
    <s v="ANAK"/>
    <x v="0"/>
    <s v="BANJARMASIN"/>
    <n v="27"/>
    <n v="1"/>
    <n v="2004"/>
    <n v="20"/>
    <x v="11"/>
    <x v="0"/>
    <x v="1"/>
    <x v="2"/>
    <s v="PELAJAR/MAHASISWA"/>
    <x v="1"/>
    <s v="PENDUDUK TETAP"/>
    <s v="JL. PEK. RAYA GG ALIMA"/>
    <s v="JL. PEK. RAYA GG ALIMA"/>
    <m/>
  </r>
  <r>
    <s v="RT 06"/>
    <s v="RW 01"/>
    <s v="6371022205170005"/>
    <s v="6371021503080002"/>
    <s v="RAHMAN ALI"/>
    <s v="ANAK"/>
    <x v="0"/>
    <s v="BANJARMASIN"/>
    <n v="15"/>
    <n v="3"/>
    <n v="2008"/>
    <n v="16"/>
    <x v="2"/>
    <x v="0"/>
    <x v="2"/>
    <x v="3"/>
    <s v="BELUM/TIDAK BEKERJA"/>
    <x v="1"/>
    <s v="PENDUDUK TETAP"/>
    <s v="JL. PEK. RAYA GG ALIMA"/>
    <s v="JL. PEK. RAYA GG ALIMA"/>
    <m/>
  </r>
  <r>
    <s v="RT 06"/>
    <s v="RW 01"/>
    <s v="6371022205170005"/>
    <s v="6371021706900004"/>
    <s v="SAMIUN"/>
    <s v="FAMILI LAIN"/>
    <x v="0"/>
    <s v="MADURA"/>
    <n v="17"/>
    <n v="6"/>
    <n v="1990"/>
    <n v="34"/>
    <x v="6"/>
    <x v="0"/>
    <x v="3"/>
    <x v="4"/>
    <s v="PEDAGANG"/>
    <x v="1"/>
    <s v="PENDUDUK TETAP"/>
    <s v="JL. PEK. RAYA GG ALIMA"/>
    <s v="JL. PEK. RAYA GG ALIMA"/>
    <m/>
  </r>
  <r>
    <s v="RT 06"/>
    <s v="RW 01"/>
    <s v="6371020501080806"/>
    <s v="6371021807540001"/>
    <s v="M. SIRAJUDDIN HASAN, H"/>
    <s v="KEPALA KELUARGA"/>
    <x v="0"/>
    <s v="NEGARA"/>
    <n v="18"/>
    <n v="7"/>
    <n v="1954"/>
    <n v="70"/>
    <x v="12"/>
    <x v="0"/>
    <x v="4"/>
    <x v="4"/>
    <s v="PEDAGANG"/>
    <x v="2"/>
    <s v="PENDUDUK TETAP"/>
    <s v="JL. PEK. RAYA GG ALIMA NO.28"/>
    <s v="JL. PEK. RAYA GG ALIMA NO.28"/>
    <m/>
  </r>
  <r>
    <s v="RT 06"/>
    <s v="RW 01"/>
    <s v="6371020501080806"/>
    <s v="6371024202560005"/>
    <s v="ARBAYAH, HJ"/>
    <s v="ISTRI"/>
    <x v="1"/>
    <s v="BANJARMASIN"/>
    <n v="2"/>
    <n v="2"/>
    <n v="1955"/>
    <n v="69"/>
    <x v="13"/>
    <x v="0"/>
    <x v="3"/>
    <x v="1"/>
    <s v="MENGURUS RUMAH TANGGA"/>
    <x v="2"/>
    <s v="PENDUDUK TETAP"/>
    <s v="JL. PEK. RAYA GG ALIMA NO.29"/>
    <s v="JL. PEK. RAYA GG ALIMA NO.29"/>
    <m/>
  </r>
  <r>
    <s v="RT 06"/>
    <s v="RW 01"/>
    <s v="6371020501080806"/>
    <s v="6371020606860006"/>
    <s v="MISBAHUL MUNIR"/>
    <s v="ANAK"/>
    <x v="0"/>
    <s v="BANJARMASIN"/>
    <n v="11"/>
    <n v="5"/>
    <n v="1986"/>
    <n v="38"/>
    <x v="5"/>
    <x v="0"/>
    <x v="4"/>
    <x v="4"/>
    <s v="PEDAGANG"/>
    <x v="1"/>
    <s v="PENDUDUK TETAP"/>
    <s v="JL. PEK. RAYA GG ALIMA NO.30"/>
    <s v="JL. PEK. RAYA GG ALIMA NO.30"/>
    <m/>
  </r>
  <r>
    <s v="RT 06"/>
    <s v="RW 01"/>
    <s v="6371020501080806"/>
    <s v="6371020902920004"/>
    <s v="ABDULLAH SAHLY"/>
    <m/>
    <x v="0"/>
    <s v="BANJARMASIN"/>
    <n v="9"/>
    <n v="2"/>
    <n v="1992"/>
    <n v="32"/>
    <x v="6"/>
    <x v="0"/>
    <x v="4"/>
    <x v="2"/>
    <s v="PELAJAR/MAHASISWA"/>
    <x v="1"/>
    <s v="PENDUDUK TETAP"/>
    <s v="JL. PEK. RAYA GG ALIMA NO.31"/>
    <s v="JL. PEK. RAYA GG ALIMA NO.31"/>
    <m/>
  </r>
  <r>
    <s v="RT 06"/>
    <s v="RW 01"/>
    <s v="6371020107820353"/>
    <s v="6371020107820353"/>
    <s v="SYAMSUDIN"/>
    <s v="KEPALA KELUARGA"/>
    <x v="0"/>
    <s v="BANJARMASIN"/>
    <n v="3"/>
    <n v="10"/>
    <n v="1995"/>
    <n v="29"/>
    <x v="9"/>
    <x v="0"/>
    <x v="0"/>
    <x v="0"/>
    <s v="WIRASWASTA"/>
    <x v="0"/>
    <s v="PENDUDUK TETAP"/>
    <s v="JL. PEK. RAYA GG ALIMA"/>
    <s v="JL. PEK. RAYA GG ALIMA"/>
    <m/>
  </r>
  <r>
    <s v="RT 06"/>
    <s v="RW 01"/>
    <s v="6371020107820353"/>
    <s v="3526176202000004"/>
    <s v="JUM’ATI"/>
    <s v="ISTRI"/>
    <x v="1"/>
    <s v="BANGKALAN"/>
    <n v="22"/>
    <n v="2"/>
    <n v="2000"/>
    <n v="24"/>
    <x v="11"/>
    <x v="0"/>
    <x v="3"/>
    <x v="1"/>
    <s v="MENGURUS RUMAH TANGGA"/>
    <x v="0"/>
    <s v="PENDUDUK TETAP"/>
    <s v="JL. PEK. RAYA GG ALIMA"/>
    <s v="JL. PEK. RAYA GG ALIMA"/>
    <m/>
  </r>
  <r>
    <s v="RT 06"/>
    <s v="RW 01"/>
    <s v="6371020107820353"/>
    <s v="6371022309190002"/>
    <s v="MUHAMMAD HAFIZD"/>
    <s v="ANAK"/>
    <x v="0"/>
    <s v="BANJARMASIN"/>
    <n v="23"/>
    <n v="9"/>
    <n v="2019"/>
    <n v="5"/>
    <x v="4"/>
    <x v="0"/>
    <x v="2"/>
    <x v="3"/>
    <s v="BELUM/TIDAK BEKERJA"/>
    <x v="1"/>
    <s v="PENDUDUK TETAP"/>
    <s v="JL. PEK. RAYA GG ALIMA"/>
    <s v="JL. PEK. RAYA GG ALIMA"/>
    <m/>
  </r>
  <r>
    <s v="RT 06"/>
    <s v="RW 01"/>
    <s v="6371020502150006"/>
    <s v="6371020508850010"/>
    <s v="DAYAT"/>
    <s v="KEPALA KELUARGA"/>
    <x v="0"/>
    <s v="BANJARMASIN"/>
    <n v="1"/>
    <n v="5"/>
    <n v="1983"/>
    <n v="41"/>
    <x v="1"/>
    <x v="0"/>
    <x v="3"/>
    <x v="0"/>
    <s v="WIRASWASTA"/>
    <x v="0"/>
    <s v="PENDUDUK TETAP"/>
    <s v="JL. PEKAPURAN RAYA GG. ALIMA"/>
    <s v="JL. PEKAPURAN RAYA GG. ALIMA"/>
    <m/>
  </r>
  <r>
    <s v="RT 06"/>
    <s v="RW 01"/>
    <s v="6371020502150006"/>
    <s v="6371026604890005"/>
    <s v="MUTIARA"/>
    <s v="ISTRI"/>
    <x v="1"/>
    <s v="BANJARMASIN"/>
    <n v="26"/>
    <n v="4"/>
    <n v="1989"/>
    <n v="35"/>
    <x v="5"/>
    <x v="0"/>
    <x v="0"/>
    <x v="1"/>
    <s v="MENGURUS RUMAH TANGGA"/>
    <x v="0"/>
    <s v="PENDUDUK TETAP"/>
    <s v="JL. PEKAPURAN RAYA GG. ALIMA"/>
    <s v="JL. PEKAPURAN RAYA GG. ALIMA"/>
    <m/>
  </r>
  <r>
    <s v="RT 06"/>
    <s v="RW 01"/>
    <s v="6371020502150006"/>
    <s v="6371025210080003"/>
    <s v="SASKIA"/>
    <s v="ANAK"/>
    <x v="1"/>
    <s v="BANJARMASIN"/>
    <n v="12"/>
    <n v="10"/>
    <n v="2008"/>
    <n v="16"/>
    <x v="2"/>
    <x v="0"/>
    <x v="1"/>
    <x v="2"/>
    <s v="PELAJAR/MAHASISWA"/>
    <x v="1"/>
    <s v="PENDUDUK TETAP"/>
    <s v="JL. PEKAPURAN RAYA GG. ALIMA"/>
    <s v="JL. PEKAPURAN RAYA GG. ALIMA"/>
    <m/>
  </r>
  <r>
    <s v="RT 06"/>
    <s v="RW 01"/>
    <s v="6371020502150006"/>
    <s v="6371025105150003"/>
    <s v="SAFIA"/>
    <s v="ANAK"/>
    <x v="1"/>
    <s v="BANJARMASIN"/>
    <n v="11"/>
    <n v="5"/>
    <n v="2015"/>
    <n v="9"/>
    <x v="4"/>
    <x v="0"/>
    <x v="2"/>
    <x v="3"/>
    <s v="BELUM/TIDAK BEKERJA"/>
    <x v="1"/>
    <s v="PENDUDUK TETAP"/>
    <s v="JL. PEKAPURAN RAYA GG. ALIMA"/>
    <s v="JL. PEKAPURAN RAYA GG. ALIMA"/>
    <m/>
  </r>
  <r>
    <s v="RT 06"/>
    <s v="RW 01"/>
    <s v="6371020502150006"/>
    <s v="6371021511160005"/>
    <s v="MUHAMMAD FAHRI"/>
    <s v="ANAK"/>
    <x v="0"/>
    <s v="BANJARMASIN"/>
    <n v="15"/>
    <n v="11"/>
    <n v="2018"/>
    <n v="6"/>
    <x v="4"/>
    <x v="0"/>
    <x v="2"/>
    <x v="3"/>
    <s v="BELUM/TIDAK BEKERJA"/>
    <x v="1"/>
    <s v="PENDUDUK TETAP"/>
    <s v="JL. PEKAPURAN RAYA GG. ALIMA"/>
    <s v="JL. PEKAPURAN RAYA GG. ALIMA"/>
    <m/>
  </r>
  <r>
    <s v="RT 06"/>
    <s v="RW 01"/>
    <s v="6371020502150006"/>
    <s v="6371020807190001"/>
    <s v="MUHAMMAD AMIN"/>
    <s v="ANAK"/>
    <x v="0"/>
    <s v="BANJARMASIN"/>
    <n v="8"/>
    <n v="7"/>
    <n v="2019"/>
    <n v="5"/>
    <x v="4"/>
    <x v="0"/>
    <x v="2"/>
    <x v="3"/>
    <s v="BELUM/TIDAK BEKERJA"/>
    <x v="1"/>
    <s v="PENDUDUK TETAP"/>
    <s v="JL. PEKAPURAN RAYA GG. ALIMA"/>
    <s v="JL. PEKAPURAN RAYA GG. ALIMA"/>
    <m/>
  </r>
  <r>
    <s v="RT 06"/>
    <s v="RW 01"/>
    <s v="6371021301080289"/>
    <s v="6371021304750003"/>
    <s v="MULKANI"/>
    <s v="KEPALA KELUARGA"/>
    <x v="0"/>
    <s v="TAPIN"/>
    <n v="12"/>
    <n v="4"/>
    <n v="1975"/>
    <n v="49"/>
    <x v="8"/>
    <x v="0"/>
    <x v="0"/>
    <x v="0"/>
    <s v="WIRASWASTA"/>
    <x v="2"/>
    <s v="PENDUDUK TETAP"/>
    <s v="JL. PEKAPURAN RAYA GG.H.M. ARSYAD"/>
    <s v="JL. PEKAPURAN RAYA GG.H.M. ARSYAD"/>
    <m/>
  </r>
  <r>
    <s v="RT 06"/>
    <s v="RW 01"/>
    <s v="6371021301080289"/>
    <s v="6371025505800012"/>
    <s v="HANIFAH"/>
    <s v="ISTRI"/>
    <x v="1"/>
    <s v="BANJARMASIN"/>
    <n v="15"/>
    <n v="5"/>
    <n v="1980"/>
    <n v="44"/>
    <x v="1"/>
    <x v="0"/>
    <x v="0"/>
    <x v="1"/>
    <s v="MENGURUS RUMAH TANGGA"/>
    <x v="2"/>
    <s v="PENDUDUK TETAP"/>
    <s v="JL. PEKAPURAN RAYA GG.H.M. ARSYAD"/>
    <s v="JL. PEKAPURAN RAYA GG.H.M. ARSYAD"/>
    <m/>
  </r>
  <r>
    <s v="RT 06"/>
    <s v="RW 01"/>
    <s v="6371021301080289"/>
    <s v="6371034312030002"/>
    <s v="HANINDA"/>
    <s v="ANAK"/>
    <x v="1"/>
    <s v="BANJARMASIN"/>
    <n v="2"/>
    <n v="12"/>
    <n v="2003"/>
    <n v="21"/>
    <x v="11"/>
    <x v="0"/>
    <x v="1"/>
    <x v="2"/>
    <s v="PELAJAR/MAHASISWA"/>
    <x v="1"/>
    <s v="PENDUDUK TETAP"/>
    <s v="JL. PEKAPURAN RAYA GG.H.M. ARSYAD"/>
    <s v="JL. PEKAPURAN RAYA GG.H.M. ARSYAD"/>
    <m/>
  </r>
  <r>
    <s v="RT 06"/>
    <s v="RW 01"/>
    <s v="6371021301080289"/>
    <s v="6371025505060003"/>
    <s v="NORHAYATI"/>
    <s v="ANAK"/>
    <x v="1"/>
    <s v="BANJARMASIN"/>
    <n v="15"/>
    <n v="8"/>
    <n v="2005"/>
    <n v="19"/>
    <x v="2"/>
    <x v="0"/>
    <x v="1"/>
    <x v="2"/>
    <s v="PELAJAR/MAHASISWA"/>
    <x v="1"/>
    <s v="PENDUDUK TETAP"/>
    <s v="JL. PEKAPURAN RAYA GG.H.M. ARSYAD"/>
    <s v="JL. PEKAPURAN RAYA GG.H.M. ARSYAD"/>
    <m/>
  </r>
  <r>
    <s v="RT 06"/>
    <s v="RW 01"/>
    <s v="6371021301080289"/>
    <s v="6371028203140002"/>
    <s v="MUHAMMAD ALI"/>
    <s v="ANAK"/>
    <x v="0"/>
    <s v="BANJARMASIN"/>
    <n v="2"/>
    <n v="3"/>
    <n v="2014"/>
    <n v="10"/>
    <x v="3"/>
    <x v="0"/>
    <x v="1"/>
    <x v="3"/>
    <s v="BELUM/TIDAK BEKERJA"/>
    <x v="1"/>
    <s v="PENDUDUK TETAP"/>
    <s v="JL. PEKAPURAN RAYA GG.H.M. ARSYAD"/>
    <s v="JL. PEKAPURAN RAYA GG.H.M. ARSYAD"/>
    <m/>
  </r>
  <r>
    <s v="RT 06"/>
    <s v="RW 01"/>
    <s v="6371021405080002"/>
    <s v="6371021011700020"/>
    <s v="JOHAN ARIFIN"/>
    <s v="KEPALA KELUARGA"/>
    <x v="0"/>
    <s v="BANJARMASIN"/>
    <n v="10"/>
    <n v="11"/>
    <n v="1970"/>
    <n v="54"/>
    <x v="0"/>
    <x v="0"/>
    <x v="4"/>
    <x v="0"/>
    <s v="WIRASWASTA"/>
    <x v="2"/>
    <s v="PENDUDUK TETAP"/>
    <s v="JL. PEKAPURAN RAYA NO. 76"/>
    <s v="JL. PEKAPURAN RAYA NO. 76"/>
    <m/>
  </r>
  <r>
    <s v="RT 06"/>
    <s v="RW 01"/>
    <s v="6371021405080002"/>
    <s v="6371025306740005"/>
    <s v="ASIAH"/>
    <s v="ISTRI"/>
    <x v="1"/>
    <s v="BANJARMASIN"/>
    <n v="13"/>
    <n v="6"/>
    <n v="1974"/>
    <n v="50"/>
    <x v="0"/>
    <x v="0"/>
    <x v="0"/>
    <x v="1"/>
    <s v="MENGURUS RUMAH TANGGA"/>
    <x v="2"/>
    <s v="PENDUDUK TETAP"/>
    <s v="JL. PEKAPURAN RAYA NO. 77"/>
    <s v="JL. PEKAPURAN RAYA NO. 77"/>
    <m/>
  </r>
  <r>
    <s v="RT 06"/>
    <s v="RW 01"/>
    <s v="6371021405080002"/>
    <s v="6371027010940004"/>
    <s v="LILY HERAWATI"/>
    <s v="ANAK"/>
    <x v="1"/>
    <s v="BANJARMASIN"/>
    <n v="30"/>
    <n v="10"/>
    <n v="1994"/>
    <n v="30"/>
    <x v="6"/>
    <x v="0"/>
    <x v="0"/>
    <x v="2"/>
    <s v="PELAJAR/MAHASISWA"/>
    <x v="1"/>
    <s v="PENDUDUK TETAP"/>
    <s v="JL. PEKAPURAN RAYA NO. 78"/>
    <s v="JL. PEKAPURAN RAYA NO. 78"/>
    <m/>
  </r>
  <r>
    <s v="RT 06"/>
    <s v="RW 01"/>
    <s v="6371021405080002"/>
    <s v="6371020710970008"/>
    <s v="IWAN RIGANI"/>
    <s v="ANAK"/>
    <x v="0"/>
    <s v="BANJARMASIN"/>
    <n v="7"/>
    <n v="10"/>
    <n v="1997"/>
    <n v="27"/>
    <x v="9"/>
    <x v="0"/>
    <x v="3"/>
    <x v="2"/>
    <s v="PELAJAR/MAHASISWA"/>
    <x v="1"/>
    <s v="PENDUDUK TETAP"/>
    <s v="JL. PEKAPURAN RAYA NO. 79"/>
    <s v="JL. PEKAPURAN RAYA NO. 79"/>
    <m/>
  </r>
  <r>
    <s v="RT 06"/>
    <s v="RW 01"/>
    <s v="6371021405080002"/>
    <s v="6371026309030003"/>
    <s v="AISYAH SALSABELA"/>
    <s v="ANAK"/>
    <x v="1"/>
    <s v="BANJARMASIN"/>
    <n v="23"/>
    <n v="9"/>
    <n v="2003"/>
    <n v="21"/>
    <x v="11"/>
    <x v="0"/>
    <x v="1"/>
    <x v="2"/>
    <s v="PELAJAR/MAHASISWA"/>
    <x v="1"/>
    <s v="PENDUDUK TETAP"/>
    <s v="JL. PEKAPURAN RAYA NO. 80"/>
    <s v="JL. PEKAPURAN RAYA NO. 80"/>
    <m/>
  </r>
  <r>
    <s v="RT 06"/>
    <s v="RW 01"/>
    <s v="6371021405080002"/>
    <s v="6371024603060003"/>
    <s v="LENY ARIYANI"/>
    <s v="ANAK"/>
    <x v="1"/>
    <s v="BANJARMASIN"/>
    <n v="6"/>
    <n v="3"/>
    <n v="2006"/>
    <n v="18"/>
    <x v="2"/>
    <x v="0"/>
    <x v="2"/>
    <x v="3"/>
    <s v="BELUM/TIDAK BEKERJA"/>
    <x v="1"/>
    <s v="PENDUDUK TETAP"/>
    <s v="JL. PEKAPURAN RAYA NO. 81"/>
    <s v="JL. PEKAPURAN RAYA NO. 81"/>
    <m/>
  </r>
  <r>
    <s v="RT 06"/>
    <s v="RW 01"/>
    <s v="6371021405080002"/>
    <s v="6371021405130004"/>
    <s v="M. MAULANA SAPUTRA"/>
    <s v="ANAK"/>
    <x v="0"/>
    <s v="BANJARMASIN"/>
    <n v="14"/>
    <n v="5"/>
    <n v="2013"/>
    <n v="11"/>
    <x v="3"/>
    <x v="0"/>
    <x v="2"/>
    <x v="3"/>
    <s v="BELUM/TIDAK BEKERJA"/>
    <x v="1"/>
    <s v="PENDUDUK TETAP"/>
    <s v="JL. PEKAPURAN RAYA NO. 82"/>
    <s v="JL. PEKAPURAN RAYA NO. 82"/>
    <m/>
  </r>
  <r>
    <s v="RT 06"/>
    <s v="RW 01"/>
    <s v="6371021704180005"/>
    <s v="6371020705940008"/>
    <s v="SUHADI"/>
    <s v="KEPALA KELUARGA"/>
    <x v="0"/>
    <s v="BANJARMASIN"/>
    <n v="7"/>
    <n v="5"/>
    <n v="1994"/>
    <n v="30"/>
    <x v="6"/>
    <x v="0"/>
    <x v="3"/>
    <x v="0"/>
    <s v="WIRASWASTA"/>
    <x v="0"/>
    <s v="PENDUDUK TETAP"/>
    <s v="JL. PEKAPURAN RAYA GG.H.M. ARSYAD"/>
    <s v="JL. PEKAPURAN RAYA GG.H.M. ARSYAD"/>
    <m/>
  </r>
  <r>
    <s v="RT 06"/>
    <s v="RW 01"/>
    <s v="6371021704180005"/>
    <s v="6371055308980002"/>
    <s v="SELVIANI"/>
    <s v="ISTRI"/>
    <x v="1"/>
    <s v="BANJARMASIN"/>
    <n v="13"/>
    <n v="8"/>
    <n v="1998"/>
    <n v="26"/>
    <x v="9"/>
    <x v="0"/>
    <x v="3"/>
    <x v="1"/>
    <s v="MENGURUS RUMAH TANGGA"/>
    <x v="0"/>
    <s v="PENDUDUK TETAP"/>
    <s v="JL. PEKAPURAN RAYA GG.H.M. ARSYAD"/>
    <s v="JL. PEKAPURAN RAYA GG.H.M. ARSYAD"/>
    <m/>
  </r>
  <r>
    <s v="RT 06"/>
    <s v="RW 01"/>
    <s v="6371021704180005"/>
    <s v="6371026512200001"/>
    <s v="NAIRA ARSYILA"/>
    <s v="ANAK"/>
    <x v="1"/>
    <s v="BANJARMASIN"/>
    <n v="25"/>
    <n v="12"/>
    <n v="2020"/>
    <n v="4"/>
    <x v="14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1904100005"/>
    <s v="6371020107780652"/>
    <s v="ABDUL WACHID"/>
    <s v="ANAK"/>
    <x v="0"/>
    <s v="PALANGKARAYA"/>
    <n v="1"/>
    <n v="7"/>
    <n v="1978"/>
    <n v="46"/>
    <x v="8"/>
    <x v="0"/>
    <x v="3"/>
    <x v="0"/>
    <s v="WIRASWASTA"/>
    <x v="0"/>
    <s v="PENDUDUK TETAP"/>
    <s v="JL. PEKAPURAN RAYA GG.H.M. ARSYAD"/>
    <s v="JL. PEKAPURAN RAYA GG.H.M. ARSYAD"/>
    <m/>
  </r>
  <r>
    <s v="RT 06"/>
    <s v="RW 01"/>
    <s v="6371021904100005"/>
    <s v="3526105912800002"/>
    <s v="SUMA"/>
    <s v="ANAK"/>
    <x v="1"/>
    <s v="BANGKALAN"/>
    <n v="19"/>
    <n v="12"/>
    <n v="1980"/>
    <n v="44"/>
    <x v="1"/>
    <x v="0"/>
    <x v="3"/>
    <x v="1"/>
    <s v="MENGURUS RUMAH TANGGA"/>
    <x v="0"/>
    <s v="PENDUDUK TETAP"/>
    <s v="JL. PEKAPURAN RAYA GG.H.M. ARSYAD"/>
    <s v="JL. PEKAPURAN RAYA GG.H.M. ARSYAD"/>
    <m/>
  </r>
  <r>
    <s v="RT 06"/>
    <s v="RW 01"/>
    <s v="6371021904100005"/>
    <s v="6371026303060006"/>
    <s v="SALWATUL AFIFAH"/>
    <s v="ANAK"/>
    <x v="1"/>
    <s v="BANJARMASIN"/>
    <n v="23"/>
    <n v="3"/>
    <n v="2006"/>
    <n v="18"/>
    <x v="2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1904100005"/>
    <s v="6371027004190002"/>
    <s v="SITI FATIMATUZ ZAHRO"/>
    <s v="ANAK"/>
    <x v="1"/>
    <s v="BANJARMASIN"/>
    <n v="30"/>
    <n v="4"/>
    <n v="2019"/>
    <n v="5"/>
    <x v="4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2504190004"/>
    <s v="6371020408840002"/>
    <s v="AHMAD KUSASI"/>
    <s v="KEPALA KELUARGA"/>
    <x v="0"/>
    <s v="BANJARMASIN"/>
    <n v="4"/>
    <n v="8"/>
    <n v="1984"/>
    <n v="40"/>
    <x v="1"/>
    <x v="0"/>
    <x v="4"/>
    <x v="5"/>
    <s v="KARYAWAN SWASTA"/>
    <x v="0"/>
    <s v="PENDUDUK TETAP"/>
    <s v="JL. PEKAPURAN RAYA"/>
    <s v="JL. PEKAPURAN RAYA"/>
    <m/>
  </r>
  <r>
    <s v="RT 06"/>
    <s v="RW 01"/>
    <s v="6371022504190004"/>
    <s v="6371025804870001"/>
    <s v="MAYA DWINTA SARI"/>
    <s v="ISTRI"/>
    <x v="1"/>
    <s v="BANJARMASIN"/>
    <n v="18"/>
    <n v="4"/>
    <n v="1987"/>
    <n v="37"/>
    <x v="5"/>
    <x v="0"/>
    <x v="4"/>
    <x v="1"/>
    <s v="MENGURUS RUMAH TANGGA"/>
    <x v="0"/>
    <s v="PENDUDUK TETAP"/>
    <s v="JL. PEKAPURAN RAYA"/>
    <s v="JL. PEKAPURAN RAYA"/>
    <m/>
  </r>
  <r>
    <s v="RT 06"/>
    <s v="RW 01"/>
    <s v="6371020501080228"/>
    <s v="6371020106720008"/>
    <s v="SAPRI"/>
    <s v="KEPALA KELUARGA"/>
    <x v="0"/>
    <s v="PALANGKARAYA"/>
    <n v="1"/>
    <n v="6"/>
    <n v="1972"/>
    <n v="52"/>
    <x v="0"/>
    <x v="0"/>
    <x v="4"/>
    <x v="0"/>
    <s v="WIRASWASTA"/>
    <x v="2"/>
    <s v="PENDUDUK TETAP"/>
    <s v="JL. PEKAPURAN RAYA"/>
    <s v="JL. PEKAPURAN RAYA"/>
    <m/>
  </r>
  <r>
    <s v="RT 06"/>
    <s v="RW 01"/>
    <s v="6371020501080228"/>
    <s v="6371025810750003"/>
    <s v="KIPTIYAH"/>
    <s v="ISTRI"/>
    <x v="1"/>
    <s v="PALANGKARAYA"/>
    <n v="18"/>
    <n v="10"/>
    <n v="1975"/>
    <n v="49"/>
    <x v="8"/>
    <x v="0"/>
    <x v="5"/>
    <x v="6"/>
    <s v="PEGAWAI NEGERI SIPIL (PNS)"/>
    <x v="2"/>
    <s v="PENDUDUK TETAP"/>
    <s v="JL. PEKAPURAN RAYA"/>
    <s v="JL. PEKAPURAN RAYA"/>
    <m/>
  </r>
  <r>
    <s v="RT 06"/>
    <s v="RW 01"/>
    <s v="6371020501080228"/>
    <s v="6371023112010004"/>
    <s v="MUHAMMAD TAUFIQURRAHMAN"/>
    <s v="ANAK"/>
    <x v="0"/>
    <s v="BANJARMASIN"/>
    <n v="31"/>
    <n v="12"/>
    <n v="2001"/>
    <n v="23"/>
    <x v="11"/>
    <x v="0"/>
    <x v="3"/>
    <x v="2"/>
    <s v="PELAJAR/MAHASISWA"/>
    <x v="1"/>
    <s v="PENDUDUK TETAP"/>
    <s v="JL. PEKAPURAN RAYA"/>
    <s v="JL. PEKAPURAN RAYA"/>
    <m/>
  </r>
  <r>
    <s v="RT 06"/>
    <s v="RW 01"/>
    <s v="6371020501080228"/>
    <s v="6371024403060005"/>
    <s v="NADILATUZ ZAHROH"/>
    <s v="ANAK"/>
    <x v="1"/>
    <s v="BANJARMASIN"/>
    <n v="4"/>
    <n v="3"/>
    <n v="2006"/>
    <n v="18"/>
    <x v="2"/>
    <x v="0"/>
    <x v="1"/>
    <x v="2"/>
    <s v="PELAJAR/MAHASISWA"/>
    <x v="1"/>
    <s v="PENDUDUK TETAP"/>
    <s v="JL. PEKAPURAN RAYA"/>
    <s v="JL. PEKAPURAN RAYA"/>
    <m/>
  </r>
  <r>
    <s v="RT 06"/>
    <s v="RW 01"/>
    <s v="6371020501080228"/>
    <s v="6371020610100002"/>
    <s v="IBNU AQIEL"/>
    <s v="ANAK"/>
    <x v="0"/>
    <s v="BANJARMASIN"/>
    <n v="6"/>
    <n v="10"/>
    <n v="2010"/>
    <n v="14"/>
    <x v="3"/>
    <x v="0"/>
    <x v="2"/>
    <x v="3"/>
    <s v="BELUM/TIDAK BEKERJA"/>
    <x v="1"/>
    <s v="PENDUDUK TETAP"/>
    <s v="JL. PEKAPURAN RAYA"/>
    <s v="JL. PEKAPURAN RAYA"/>
    <m/>
  </r>
  <r>
    <s v="RT 06"/>
    <s v="RW 01"/>
    <s v="6371020501080228"/>
    <s v="6371021806160001"/>
    <s v="ABIDZAR ALGHIFARI"/>
    <s v="ANAK"/>
    <x v="0"/>
    <s v="BANJARMASIN"/>
    <n v="18"/>
    <n v="6"/>
    <n v="2016"/>
    <n v="8"/>
    <x v="4"/>
    <x v="0"/>
    <x v="2"/>
    <x v="3"/>
    <s v="BELUM/TIDAK BEKERJA"/>
    <x v="1"/>
    <s v="PENDUDUK TETAP"/>
    <s v="JL. PEKAPURAN RAYA"/>
    <s v="JL. PEKAPURAN RAYA"/>
    <m/>
  </r>
  <r>
    <s v="RT 06"/>
    <s v="RW 01"/>
    <s v="6371020501080228"/>
    <s v="6371024803450003"/>
    <s v="HATIJAH, HJ"/>
    <s v="ANAK"/>
    <x v="1"/>
    <s v="BANJARMASIN"/>
    <n v="8"/>
    <n v="3"/>
    <n v="1945"/>
    <n v="79"/>
    <x v="15"/>
    <x v="0"/>
    <x v="1"/>
    <x v="1"/>
    <s v="MENGURUS RUMAH TANGGA"/>
    <x v="2"/>
    <s v="PENDUDUK TETAP"/>
    <s v="JL. PEKAPURAN RAYA"/>
    <s v="JL. PEKAPURAN RAYA"/>
    <m/>
  </r>
  <r>
    <s v="RT 06"/>
    <s v="RW 01"/>
    <s v="6371020501080228"/>
    <s v="6371022507910010"/>
    <s v="MUHAMMAD YATIM"/>
    <s v="ANAK"/>
    <x v="0"/>
    <s v="BANJARMASIN"/>
    <n v="25"/>
    <n v="7"/>
    <n v="1991"/>
    <n v="33"/>
    <x v="6"/>
    <x v="0"/>
    <x v="1"/>
    <x v="0"/>
    <s v="WIRASWASTA"/>
    <x v="1"/>
    <s v="PENDUDUK TETAP"/>
    <s v="JL. PEKAPURAN RAYA"/>
    <s v="JL. PEKAPURAN RAYA"/>
    <m/>
  </r>
  <r>
    <s v="RT 06"/>
    <s v="RW 01"/>
    <s v="6371020905080030"/>
    <s v="6371020807580010"/>
    <s v="ALAMSYAH"/>
    <s v="KEPALA KELUARGA"/>
    <x v="0"/>
    <s v="ALABIO"/>
    <n v="8"/>
    <n v="7"/>
    <n v="1958"/>
    <n v="66"/>
    <x v="13"/>
    <x v="0"/>
    <x v="3"/>
    <x v="7"/>
    <s v="TUKANG JAHIT"/>
    <x v="2"/>
    <s v="PENDUDUK TETAP"/>
    <s v="JL. PEK. RAYA GG ALIMA"/>
    <s v="JL. PEK. RAYA GG ALIMA"/>
    <m/>
  </r>
  <r>
    <s v="RT 06"/>
    <s v="RW 01"/>
    <s v="6371020905080030"/>
    <s v="6371025502670007"/>
    <s v="HAMISAH"/>
    <s v="ISTRI"/>
    <x v="1"/>
    <s v="BANJARMASIN"/>
    <n v="15"/>
    <n v="2"/>
    <n v="1967"/>
    <n v="57"/>
    <x v="7"/>
    <x v="0"/>
    <x v="3"/>
    <x v="0"/>
    <s v="WIRASWASTA"/>
    <x v="2"/>
    <s v="PENDUDUK TETAP"/>
    <s v="JL. PEK. RAYA GG ALIMA"/>
    <s v="JL. PEK. RAYA GG ALIMA"/>
    <m/>
  </r>
  <r>
    <s v="RT 06"/>
    <s v="RW 01"/>
    <s v="6371020905080030"/>
    <s v="6371021304910002"/>
    <s v="BAIHAKI"/>
    <s v="ANAK"/>
    <x v="0"/>
    <s v="BANJARMASIN"/>
    <n v="13"/>
    <n v="4"/>
    <n v="1991"/>
    <n v="33"/>
    <x v="6"/>
    <x v="0"/>
    <x v="4"/>
    <x v="3"/>
    <s v="BELUM/TIDAK BEKERJA"/>
    <x v="1"/>
    <s v="PENDUDUK TETAP"/>
    <s v="JL. PEK. RAYA GG ALIMA"/>
    <s v="JL. PEK. RAYA GG ALIMA"/>
    <m/>
  </r>
  <r>
    <s v="RT 06"/>
    <s v="RW 01"/>
    <s v="6371020905080030"/>
    <s v="6371020505930019"/>
    <s v="RIDUANSYAH"/>
    <s v="ANAK"/>
    <x v="0"/>
    <s v="BANJARMASIN"/>
    <n v="5"/>
    <n v="5"/>
    <n v="1993"/>
    <n v="31"/>
    <x v="6"/>
    <x v="0"/>
    <x v="0"/>
    <x v="3"/>
    <s v="BELUM/TIDAK BEKERJA"/>
    <x v="1"/>
    <s v="PENDUDUK TETAP"/>
    <s v="JL. PEK. RAYA GG ALIMA"/>
    <s v="JL. PEK. RAYA GG ALIMA"/>
    <m/>
  </r>
  <r>
    <s v="RT 06"/>
    <s v="RW 01"/>
    <s v="6371020905080030"/>
    <s v="6371021205980009"/>
    <s v="M. FADLI"/>
    <s v="ANAK"/>
    <x v="0"/>
    <s v="BANJARMASIN"/>
    <n v="12"/>
    <n v="5"/>
    <n v="1998"/>
    <n v="26"/>
    <x v="9"/>
    <x v="0"/>
    <x v="0"/>
    <x v="2"/>
    <s v="PELAJAR/MAHASISWA"/>
    <x v="1"/>
    <s v="PENDUDUK TETAP"/>
    <s v="JL. PEK. RAYA GG ALIMA"/>
    <s v="JL. PEK. RAYA GG ALIMA"/>
    <m/>
  </r>
  <r>
    <s v="RT 06"/>
    <s v="RW 01"/>
    <s v="6371021110100007"/>
    <s v="6371020701790004"/>
    <s v="HANAFI"/>
    <s v="KEPALA KELUARGA"/>
    <x v="0"/>
    <s v="BANJARMASIN"/>
    <n v="7"/>
    <n v="1"/>
    <n v="1979"/>
    <n v="45"/>
    <x v="8"/>
    <x v="0"/>
    <x v="0"/>
    <x v="0"/>
    <s v="WIRASWASTA"/>
    <x v="2"/>
    <s v="PENDUDUK TETAP"/>
    <s v="JL. PEKAPURAN RAYA GG.H.M. ARSYAD"/>
    <s v="JL. PEKAPURAN RAYA GG.H.M. ARSYAD"/>
    <m/>
  </r>
  <r>
    <s v="RT 06"/>
    <s v="RW 01"/>
    <s v="6371021110100007"/>
    <s v="6371026112830005"/>
    <s v="MULIYANTI"/>
    <s v="ISTRI"/>
    <x v="1"/>
    <s v="BANJARMASIN"/>
    <n v="21"/>
    <n v="12"/>
    <n v="1983"/>
    <n v="41"/>
    <x v="1"/>
    <x v="0"/>
    <x v="4"/>
    <x v="1"/>
    <s v="MENGURUS RUMAH TANGGA"/>
    <x v="2"/>
    <s v="PENDUDUK TETAP"/>
    <s v="JL. PEKAPURAN RAYA GG.H.M. ARSYAD"/>
    <s v="JL. PEKAPURAN RAYA GG.H.M. ARSYAD"/>
    <m/>
  </r>
  <r>
    <s v="RT 06"/>
    <s v="RW 01"/>
    <s v="6371021110100007"/>
    <s v="6371026305100002"/>
    <s v="SITI NUR KAMILA"/>
    <s v="ANAK"/>
    <x v="1"/>
    <s v="BANJARMASIN"/>
    <n v="23"/>
    <n v="5"/>
    <n v="2010"/>
    <n v="14"/>
    <x v="3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905080044"/>
    <s v="6371020707760013"/>
    <s v="HENDRA JAYA"/>
    <s v="KEPALA KELUARGA"/>
    <x v="0"/>
    <s v="BANJARMASIN"/>
    <n v="7"/>
    <n v="7"/>
    <n v="1976"/>
    <n v="48"/>
    <x v="8"/>
    <x v="0"/>
    <x v="0"/>
    <x v="8"/>
    <s v="TUKANG CUKUR"/>
    <x v="2"/>
    <s v="PENDUDUK TETAP"/>
    <s v="JL. PEKAPURAN RAYA GG.H.M. ARSYAD"/>
    <s v="JL. PEKAPURAN RAYA GG.H.M. ARSYAD"/>
    <m/>
  </r>
  <r>
    <s v="RT 06"/>
    <s v="RW 01"/>
    <s v="6371020905080044"/>
    <s v="6371025705770006"/>
    <s v="RAUDAH"/>
    <s v="ISTRI"/>
    <x v="1"/>
    <s v="BANJARMASIN"/>
    <n v="17"/>
    <n v="5"/>
    <n v="1977"/>
    <n v="47"/>
    <x v="8"/>
    <x v="0"/>
    <x v="0"/>
    <x v="1"/>
    <s v="MENGURUS RUMAH TANGGA"/>
    <x v="2"/>
    <s v="PENDUDUK TETAP"/>
    <s v="JL. PEKAPURAN RAYA GG.H.M. ARSYAD"/>
    <s v="JL. PEKAPURAN RAYA GG.H.M. ARSYAD"/>
    <m/>
  </r>
  <r>
    <s v="RT 06"/>
    <s v="RW 01"/>
    <s v="6371020905080044"/>
    <s v="6371022107970010"/>
    <s v="AKHMAD SYAHBANA"/>
    <s v="ANAK"/>
    <x v="0"/>
    <s v="BANJARMASIN"/>
    <n v="21"/>
    <n v="7"/>
    <n v="1997"/>
    <n v="27"/>
    <x v="9"/>
    <x v="0"/>
    <x v="3"/>
    <x v="3"/>
    <s v="BELUM/TIDAK BEKERJA"/>
    <x v="1"/>
    <s v="PENDUDUK TETAP"/>
    <s v="JL. PEKAPURAN RAYA GG.H.M. ARSYAD"/>
    <s v="JL. PEKAPURAN RAYA GG.H.M. ARSYAD"/>
    <m/>
  </r>
  <r>
    <s v="RT 06"/>
    <s v="RW 01"/>
    <s v="6371020905080044"/>
    <s v="6371020510010009"/>
    <s v="M. SUBHAN"/>
    <s v="ANAK"/>
    <x v="0"/>
    <s v="BANJARMASIN"/>
    <n v="5"/>
    <n v="10"/>
    <n v="2001"/>
    <n v="23"/>
    <x v="11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905080044"/>
    <s v="6371021104050004"/>
    <s v="FAUZAN"/>
    <s v="ANAK"/>
    <x v="0"/>
    <s v="BANJARMASIN"/>
    <n v="11"/>
    <n v="4"/>
    <n v="2005"/>
    <n v="19"/>
    <x v="2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905080044"/>
    <s v="6371020311110002"/>
    <s v="FAJAR NAZWA"/>
    <s v="ANAK"/>
    <x v="0"/>
    <s v="BANJARMASIN"/>
    <n v="3"/>
    <n v="11"/>
    <n v="2011"/>
    <n v="13"/>
    <x v="3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501080434"/>
    <s v="6371021203650008"/>
    <s v="JUMBERAN"/>
    <s v="KEPALA KELUARGA"/>
    <x v="0"/>
    <s v="BANJARMASIN"/>
    <n v="12"/>
    <n v="3"/>
    <n v="1965"/>
    <n v="59"/>
    <x v="7"/>
    <x v="0"/>
    <x v="4"/>
    <x v="0"/>
    <s v="WIRASWASTA"/>
    <x v="2"/>
    <s v="PENDUDUK TETAP"/>
    <s v="JL. PEKAPURAN RAYA GG.H.M. ARSYAD"/>
    <s v="JL. PEKAPURAN RAYA GG.H.M. ARSYAD"/>
    <m/>
  </r>
  <r>
    <s v="RT 06"/>
    <s v="RW 01"/>
    <s v="6371020501080434"/>
    <s v="6371024103660009"/>
    <s v="SAUDAH"/>
    <s v="ISTRI"/>
    <x v="1"/>
    <s v="BANJARMASIN"/>
    <n v="1"/>
    <n v="3"/>
    <n v="1966"/>
    <n v="58"/>
    <x v="7"/>
    <x v="0"/>
    <x v="4"/>
    <x v="1"/>
    <s v="MENGURUS RUMAH TANGGA"/>
    <x v="2"/>
    <s v="PENDUDUK TETAP"/>
    <s v="JL. PEKAPURAN RAYA GG.H.M. ARSYAD"/>
    <s v="JL. PEKAPURAN RAYA GG.H.M. ARSYAD"/>
    <m/>
  </r>
  <r>
    <s v="RT 06"/>
    <s v="RW 01"/>
    <s v="6371020501080434"/>
    <s v="6371020808970006"/>
    <s v="ABUS SALAM"/>
    <s v="ANAK"/>
    <x v="0"/>
    <s v="BANJARMASIN"/>
    <n v="8"/>
    <n v="8"/>
    <n v="1997"/>
    <n v="27"/>
    <x v="9"/>
    <x v="0"/>
    <x v="3"/>
    <x v="3"/>
    <s v="BELUM/TIDAK BEKERJA"/>
    <x v="1"/>
    <s v="PENDUDUK TETAP"/>
    <s v="JL. PEKAPURAN RAYA GG.H.M. ARSYAD"/>
    <s v="JL. PEKAPURAN RAYA GG.H.M. ARSYAD"/>
    <m/>
  </r>
  <r>
    <s v="RT 06"/>
    <s v="RW 01"/>
    <s v="6371026704750005"/>
    <s v="6371026704750005"/>
    <s v="SRIYATI. SH"/>
    <s v="KEPALA KELUARGA"/>
    <x v="1"/>
    <s v="BANJARMASIN"/>
    <n v="27"/>
    <n v="4"/>
    <n v="1975"/>
    <n v="49"/>
    <x v="8"/>
    <x v="0"/>
    <x v="6"/>
    <x v="0"/>
    <s v="WIRASWASTA"/>
    <x v="1"/>
    <s v="PENDUDUK TETAP"/>
    <s v="JL. PEKAPURAN RAYA NO.40"/>
    <s v="JL. PEKAPURAN RAYA NO.40"/>
    <m/>
  </r>
  <r>
    <s v="RT 06"/>
    <s v="RW 01"/>
    <s v="6371026704750005"/>
    <s v="6371026201930006"/>
    <s v="FATMAWATI, SKM"/>
    <s v="ISTRI"/>
    <x v="1"/>
    <s v="BANJARMASIN"/>
    <n v="22"/>
    <n v="1"/>
    <n v="1993"/>
    <n v="31"/>
    <x v="6"/>
    <x v="0"/>
    <x v="6"/>
    <x v="2"/>
    <s v="PELAJAR/MAHASISWA"/>
    <x v="1"/>
    <s v="PENDUDUK TETAP"/>
    <s v="JL. PEKAPURAN RAYA NO.41"/>
    <s v="JL. PEKAPURAN RAYA NO.41"/>
    <m/>
  </r>
  <r>
    <s v="RT 06"/>
    <s v="RW 01"/>
    <s v="6371026704750005"/>
    <s v="6307031310070001"/>
    <s v="MUHAMMAD MALIKI"/>
    <s v="ANAK"/>
    <x v="0"/>
    <s v="BANJARMASIN"/>
    <n v="13"/>
    <n v="10"/>
    <n v="2007"/>
    <n v="17"/>
    <x v="2"/>
    <x v="0"/>
    <x v="3"/>
    <x v="5"/>
    <s v="KARYAWAN SWASTA"/>
    <x v="1"/>
    <s v="PENDUDUK TETAP"/>
    <s v="JL. PEKAPURAN RAYA NO.42"/>
    <s v="JL. PEKAPURAN RAYA NO.42"/>
    <m/>
  </r>
  <r>
    <s v="RT 06"/>
    <s v="RW 01"/>
    <s v="6371020902090008"/>
    <s v="6371021708750023"/>
    <s v="AHMAD SUBA’I"/>
    <s v="KEPALA KELUARGA"/>
    <x v="0"/>
    <s v="MADURA"/>
    <n v="17"/>
    <n v="8"/>
    <n v="1975"/>
    <n v="49"/>
    <x v="8"/>
    <x v="0"/>
    <x v="3"/>
    <x v="0"/>
    <s v="WIRASWASTA"/>
    <x v="2"/>
    <s v="PENDUDUK TETAP"/>
    <s v="JL. PEKAPURAN RAYA GG.H.M. ARSYAD"/>
    <s v="JL. PEKAPURAN RAYA GG.H.M. ARSYAD"/>
    <m/>
  </r>
  <r>
    <s v="RT 06"/>
    <s v="RW 01"/>
    <s v="6371020902090008"/>
    <s v="6371056810840007"/>
    <s v="MUSIYEH"/>
    <s v="ISTRI"/>
    <x v="1"/>
    <s v="MADURA"/>
    <n v="28"/>
    <n v="10"/>
    <n v="1984"/>
    <n v="40"/>
    <x v="1"/>
    <x v="0"/>
    <x v="1"/>
    <x v="1"/>
    <s v="MENGURUS RUMAH TANGGA"/>
    <x v="2"/>
    <s v="PENDUDUK TETAP"/>
    <s v="JL. PEKAPURAN RAYA GG.H.M. ARSYAD"/>
    <s v="JL. PEKAPURAN RAYA GG.H.M. ARSYAD"/>
    <m/>
  </r>
  <r>
    <s v="RT 06"/>
    <s v="RW 01"/>
    <s v="6371020902090008"/>
    <s v="6371021111120002"/>
    <s v="MUZEMMIL"/>
    <s v="ANAK"/>
    <x v="0"/>
    <s v="BANJARMASIN"/>
    <n v="11"/>
    <n v="11"/>
    <n v="2012"/>
    <n v="12"/>
    <x v="3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902090008"/>
    <s v="6371021110150005"/>
    <s v="ABQORI AGAM"/>
    <s v="ANAK"/>
    <x v="0"/>
    <s v="BANJARMASIN"/>
    <n v="11"/>
    <n v="10"/>
    <n v="2015"/>
    <n v="9"/>
    <x v="4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401080102"/>
    <s v="6371021006800006"/>
    <s v="MAHYUNI"/>
    <s v="KEPALA KELUARGA"/>
    <x v="0"/>
    <s v="BANJARMASIN"/>
    <n v="10"/>
    <n v="6"/>
    <n v="1980"/>
    <n v="44"/>
    <x v="1"/>
    <x v="0"/>
    <x v="3"/>
    <x v="4"/>
    <s v="PEDAGANG"/>
    <x v="0"/>
    <s v="PENDUDUK TETAP"/>
    <s v="JL. PEK. RAYA GG.H. ARSYAD NO. 47"/>
    <s v="JL. PEK. RAYA GG.H. ARSYAD NO. 47"/>
    <m/>
  </r>
  <r>
    <s v="RT 06"/>
    <s v="RW 01"/>
    <s v="6371020401080102"/>
    <s v="6371024410790002"/>
    <s v="ASNAH WATI"/>
    <s v="ISTRI"/>
    <x v="1"/>
    <s v="MARGASARI"/>
    <n v="4"/>
    <n v="10"/>
    <n v="1979"/>
    <n v="45"/>
    <x v="8"/>
    <x v="0"/>
    <x v="3"/>
    <x v="1"/>
    <s v="MENGURUS RUMAH TANGGA"/>
    <x v="0"/>
    <s v="PENDUDUK TETAP"/>
    <s v="JL. PEK. RAYA GG.H. ARSYAD NO. 48"/>
    <s v="JL. PEK. RAYA GG.H. ARSYAD NO. 48"/>
    <m/>
  </r>
  <r>
    <s v="RT 06"/>
    <s v="RW 01"/>
    <s v="6371020401080102"/>
    <s v="6371026106020005"/>
    <s v="HAIRUNNISA"/>
    <s v="ANAK"/>
    <x v="1"/>
    <s v="TAPIN"/>
    <n v="21"/>
    <n v="6"/>
    <n v="2002"/>
    <n v="22"/>
    <x v="11"/>
    <x v="0"/>
    <x v="0"/>
    <x v="2"/>
    <s v="PELAJAR/MAHASISWA"/>
    <x v="1"/>
    <s v="PENDUDUK TETAP"/>
    <s v="JL. PEK. RAYA GG.H. ARSYAD NO. 49"/>
    <s v="JL. PEK. RAYA GG.H. ARSYAD NO. 49"/>
    <m/>
  </r>
  <r>
    <s v="RT 06"/>
    <s v="RW 01"/>
    <s v="6371020608090007"/>
    <s v="6371021006620011"/>
    <s v="ROSIKIN"/>
    <s v="KEPALA KELUARGA"/>
    <x v="0"/>
    <s v="BANJARMASIN"/>
    <n v="10"/>
    <n v="6"/>
    <n v="1962"/>
    <n v="62"/>
    <x v="10"/>
    <x v="0"/>
    <x v="3"/>
    <x v="0"/>
    <s v="WIRASWASTA"/>
    <x v="2"/>
    <s v="PENDUDUK TETAP"/>
    <s v="JL. PEKAPURAN RAYA GG. ALIMA"/>
    <s v="JL. PEKAPURAN RAYA GG. ALIMA"/>
    <m/>
  </r>
  <r>
    <s v="RT 06"/>
    <s v="RW 01"/>
    <s v="6371020608090007"/>
    <s v="6371028808700008"/>
    <s v="SYAHMIATI"/>
    <s v="ISTRI"/>
    <x v="1"/>
    <s v="BANJARMASIN"/>
    <n v="28"/>
    <n v="8"/>
    <n v="1970"/>
    <n v="54"/>
    <x v="0"/>
    <x v="0"/>
    <x v="0"/>
    <x v="1"/>
    <s v="MENGURUS RUMAH TANGGA"/>
    <x v="2"/>
    <s v="PENDUDUK TETAP"/>
    <s v="JL. PEKAPURAN RAYA GG. ALIMA"/>
    <s v="JL. PEKAPURAN RAYA GG. ALIMA"/>
    <m/>
  </r>
  <r>
    <s v="RT 06"/>
    <s v="RW 01"/>
    <s v="6371020608090007"/>
    <s v="6371022711950007"/>
    <s v="MUHAMMAD IHSAN"/>
    <s v="ANAK"/>
    <x v="0"/>
    <s v="BANJARMASIN"/>
    <n v="27"/>
    <n v="11"/>
    <n v="1995"/>
    <n v="29"/>
    <x v="9"/>
    <x v="0"/>
    <x v="0"/>
    <x v="2"/>
    <s v="PELAJAR/MAHASISWA"/>
    <x v="1"/>
    <s v="PENDUDUK TETAP"/>
    <s v="JL. PEKAPURAN RAYA GG. ALIMA"/>
    <s v="JL. PEKAPURAN RAYA GG. ALIMA"/>
    <m/>
  </r>
  <r>
    <s v="RT 06"/>
    <s v="RW 01"/>
    <s v="6371020905190008"/>
    <s v="6305051409950001"/>
    <s v="AKHMAD BHUHARY MOESLIM"/>
    <s v="KEPALA KELUARGA"/>
    <x v="0"/>
    <s v="BANJARMASIN"/>
    <n v="14"/>
    <n v="9"/>
    <n v="1996"/>
    <n v="28"/>
    <x v="9"/>
    <x v="0"/>
    <x v="3"/>
    <x v="3"/>
    <s v="BELUM/TIDAK BEKERJA"/>
    <x v="1"/>
    <s v="PENDUDUK TETAP"/>
    <s v="JL. PEKAPURAN RAYA"/>
    <s v="JL. PEKAPURAN RAYA"/>
    <m/>
  </r>
  <r>
    <s v="RT 06"/>
    <s v="RW 01"/>
    <s v="6371020905190008"/>
    <s v="6305055601000001"/>
    <s v="HARIYATI KHAFIJAH"/>
    <s v="ISTRI"/>
    <x v="1"/>
    <s v="BANJARMASIN"/>
    <n v="11"/>
    <n v="1"/>
    <n v="2000"/>
    <n v="24"/>
    <x v="11"/>
    <x v="0"/>
    <x v="3"/>
    <x v="3"/>
    <s v="BELUM/TIDAK BEKERJA"/>
    <x v="1"/>
    <s v="PENDUDUK TETAP"/>
    <s v="JL. PEKAPURAN RAYA"/>
    <s v="JL. PEKAPURAN RAYA"/>
    <m/>
  </r>
  <r>
    <s v="RT 06"/>
    <s v="RW 01"/>
    <s v="6371020905190008"/>
    <s v="6305055105020002"/>
    <s v="SINTA DAMAYANTI"/>
    <s v="ANAK"/>
    <x v="1"/>
    <s v="BANJARMASIN"/>
    <n v="11"/>
    <n v="5"/>
    <n v="2002"/>
    <n v="22"/>
    <x v="11"/>
    <x v="0"/>
    <x v="3"/>
    <x v="2"/>
    <s v="PELAJAR/MAHASISWA"/>
    <x v="1"/>
    <s v="PENDUDUK TETAP"/>
    <s v="JL. PEKAPURAN RAYA"/>
    <s v="JL. PEKAPURAN RAYA"/>
    <m/>
  </r>
  <r>
    <s v="RT 06"/>
    <s v="RW 01"/>
    <s v="6371022602150003"/>
    <s v="6371026712780006"/>
    <s v="MURNIAH"/>
    <s v="KEPALA KELUARGA"/>
    <x v="1"/>
    <s v="AMUNTAI"/>
    <n v="27"/>
    <n v="12"/>
    <n v="1978"/>
    <n v="46"/>
    <x v="8"/>
    <x v="0"/>
    <x v="0"/>
    <x v="1"/>
    <s v="MENGURUS RUMAH TANGGA"/>
    <x v="3"/>
    <s v="PENDUDUK TETAP"/>
    <s v="JL. PEKAPURAN RAYA GG.H.M. ARSYAD"/>
    <s v="JL. PEKAPURAN RAYA GG.H.M. ARSYAD"/>
    <m/>
  </r>
  <r>
    <s v="RT 06"/>
    <s v="RW 01"/>
    <s v="6371022602150003"/>
    <s v="6371027777980013"/>
    <s v="ELANG SURYANATA"/>
    <s v="ISTRI"/>
    <x v="0"/>
    <s v="BANJARMASIN"/>
    <n v="11"/>
    <n v="11"/>
    <n v="1998"/>
    <n v="26"/>
    <x v="9"/>
    <x v="0"/>
    <x v="0"/>
    <x v="3"/>
    <s v="BELUM/TIDAK BEKERJA"/>
    <x v="1"/>
    <s v="PENDUDUK TETAP"/>
    <s v="JL. PEKAPURAN RAYA GG.H.M. ARSYAD"/>
    <s v="JL. PEKAPURAN RAYA GG.H.M. ARSYAD"/>
    <m/>
  </r>
  <r>
    <s v="RT 06"/>
    <s v="RW 01"/>
    <s v="6371022602150003"/>
    <s v="6371020802000011"/>
    <s v="WAIS AL KARNI"/>
    <s v="ANAK"/>
    <x v="0"/>
    <s v="BANJARMASIN"/>
    <n v="8"/>
    <n v="2"/>
    <n v="2000"/>
    <n v="24"/>
    <x v="11"/>
    <x v="0"/>
    <x v="0"/>
    <x v="3"/>
    <s v="BELUM/TIDAK BEKERJA"/>
    <x v="1"/>
    <s v="PENDUDUK TETAP"/>
    <s v="JL. PEKAPURAN RAYA GG.H.M. ARSYAD"/>
    <s v="JL. PEKAPURAN RAYA GG.H.M. ARSYAD"/>
    <m/>
  </r>
  <r>
    <s v="RT 06"/>
    <s v="RW 01"/>
    <s v="6371022602150003"/>
    <s v="6371021804100003"/>
    <s v="AHMAD JIDAN"/>
    <s v="ANAK"/>
    <x v="0"/>
    <s v="BANJARMASIN"/>
    <n v="18"/>
    <n v="4"/>
    <n v="2010"/>
    <n v="14"/>
    <x v="3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2602150003"/>
    <s v="6371022001770004"/>
    <s v="ZULKIFLI"/>
    <s v="ANAK"/>
    <x v="0"/>
    <s v="BANJARMASIN"/>
    <n v="20"/>
    <n v="1"/>
    <n v="1977"/>
    <n v="47"/>
    <x v="8"/>
    <x v="0"/>
    <x v="0"/>
    <x v="9"/>
    <s v="BURUH HARIAN LEPAS"/>
    <x v="3"/>
    <s v="PENDUDUK TETAP"/>
    <s v="JL. PEKAPURAN RAYA GG.H.M. ARSYAD"/>
    <s v="JL. PEKAPURAN RAYA GG.H.M. ARSYAD"/>
    <m/>
  </r>
  <r>
    <s v="RT 06"/>
    <s v="RW 01"/>
    <s v="6371021412170003"/>
    <s v="6371020306820001"/>
    <s v="AKHMAD JUNAIDI"/>
    <s v="ANAK"/>
    <x v="0"/>
    <s v="BANJARMASIN"/>
    <n v="3"/>
    <n v="6"/>
    <n v="1982"/>
    <n v="42"/>
    <x v="1"/>
    <x v="0"/>
    <x v="0"/>
    <x v="4"/>
    <s v="PEDAGANG"/>
    <x v="0"/>
    <s v="PENDUDUK TETAP"/>
    <s v="JL. PEK. RAYA GG ALIMA NO.28"/>
    <s v="JL. PEK. RAYA GG ALIMA NO.28"/>
    <m/>
  </r>
  <r>
    <s v="RT 06"/>
    <s v="RW 01"/>
    <s v="6371021412170003"/>
    <s v="6371026602970008"/>
    <s v="RABIATUL ADAWIYAH"/>
    <s v="ANAK"/>
    <x v="1"/>
    <s v="BANJARMASIN"/>
    <n v="2"/>
    <n v="5"/>
    <n v="1997"/>
    <n v="27"/>
    <x v="9"/>
    <x v="0"/>
    <x v="0"/>
    <x v="1"/>
    <s v="MENGURUS RUMAH TANGGA"/>
    <x v="0"/>
    <s v="PENDUDUK TETAP"/>
    <s v="JL. PEK. RAYA GG ALIMA NO.29"/>
    <s v="JL. PEK. RAYA GG ALIMA NO.29"/>
    <m/>
  </r>
  <r>
    <s v="RT 06"/>
    <s v="RW 01"/>
    <s v="6371021412170003"/>
    <s v="6371025209180001"/>
    <s v="AUFA ZHAFIRA"/>
    <s v="ANAK"/>
    <x v="1"/>
    <s v="BANJARMASIN"/>
    <n v="12"/>
    <n v="9"/>
    <n v="2018"/>
    <n v="6"/>
    <x v="4"/>
    <x v="0"/>
    <x v="2"/>
    <x v="3"/>
    <s v="BELUM/TIDAK BEKERJA"/>
    <x v="1"/>
    <s v="PENDUDUK TETAP"/>
    <s v="JL. PEK. RAYA GG ALIMA NO.30"/>
    <s v="JL. PEK. RAYA GG ALIMA NO.30"/>
    <m/>
  </r>
  <r>
    <s v="RT 10"/>
    <s v="RW 01"/>
    <s v="6371020501080261"/>
    <s v="6371021501460001"/>
    <s v="AINI, H"/>
    <s v="KEPALA KELUARGA"/>
    <x v="0"/>
    <s v="TAPIN"/>
    <n v="15"/>
    <n v="1"/>
    <n v="1946"/>
    <n v="78"/>
    <x v="15"/>
    <x v="0"/>
    <x v="3"/>
    <x v="4"/>
    <s v="PEDAGANG"/>
    <x v="2"/>
    <s v="PENDUDUK TETAP"/>
    <s v="JL. PEK. RAYA GG. RATU RIANG NO 13"/>
    <s v="JL. PEK. RAYA GG. RATU RIANG NO 13"/>
    <m/>
  </r>
  <r>
    <s v="RT 10"/>
    <s v="RW 01"/>
    <s v="6371020501080261"/>
    <s v="6371025705480002"/>
    <s v="MASRUKIAH, HJ"/>
    <s v="ISTRI"/>
    <x v="1"/>
    <s v="HULU SUNGAI UTARA"/>
    <n v="17"/>
    <n v="5"/>
    <n v="1948"/>
    <n v="76"/>
    <x v="15"/>
    <x v="0"/>
    <x v="3"/>
    <x v="4"/>
    <s v="PEDAGANG"/>
    <x v="2"/>
    <s v="PENDUDUK TETAP"/>
    <s v="JL. PEK. RAYA GG. RATU RIANG NO 13"/>
    <s v="JL. PEK. RAYA GG. RATU RIANG NO 13"/>
    <m/>
  </r>
  <r>
    <s v="RT 10"/>
    <s v="RW 01"/>
    <s v="6371020501080261"/>
    <s v="6371025406790007"/>
    <s v="RINA, HJ"/>
    <s v="ANAK"/>
    <x v="1"/>
    <s v="BANJARMASIN"/>
    <n v="14"/>
    <n v="6"/>
    <n v="1979"/>
    <n v="45"/>
    <x v="8"/>
    <x v="0"/>
    <x v="0"/>
    <x v="4"/>
    <s v="PEDAGANG"/>
    <x v="1"/>
    <s v="PENDUDUK TETAP"/>
    <s v="JL. PEK. RAYA GG. RATU RIANG NO 13"/>
    <s v="JL. PEK. RAYA GG. RATU RIANG NO 13"/>
    <m/>
  </r>
  <r>
    <s v="RT 08"/>
    <s v="RW 01"/>
    <s v="6371020501080217"/>
    <s v="6371022306700002"/>
    <s v="MISRAN"/>
    <s v="KEPALA KELUARGA"/>
    <x v="0"/>
    <s v="BANJARMASIN"/>
    <n v="23"/>
    <n v="6"/>
    <n v="1970"/>
    <n v="54"/>
    <x v="0"/>
    <x v="0"/>
    <x v="4"/>
    <x v="5"/>
    <s v="KARYAWAN SWASTA"/>
    <x v="2"/>
    <s v="PENDUDUK TETAP"/>
    <s v="JL. PEKAPURAN RAYA"/>
    <s v="JL. PEKAPURAN RAYA"/>
    <m/>
  </r>
  <r>
    <s v="RT 08"/>
    <s v="RW 01"/>
    <s v="6371020501080217"/>
    <s v="6371026401830003"/>
    <s v="NURMILA SANTI"/>
    <s v="ISTRI"/>
    <x v="1"/>
    <s v="BANJARMASIN"/>
    <n v="24"/>
    <n v="1"/>
    <n v="1983"/>
    <n v="41"/>
    <x v="1"/>
    <x v="0"/>
    <x v="4"/>
    <x v="1"/>
    <s v="MENGURUS RUMAH TANGGA"/>
    <x v="2"/>
    <s v="PENDUDUK TETAP"/>
    <s v="JL. PEKAPURAN RAYA"/>
    <s v="JL. PEKAPURAN RAYA"/>
    <m/>
  </r>
  <r>
    <s v="RT 08"/>
    <s v="RW 01"/>
    <s v="6371020501080217"/>
    <s v="6371025812050003"/>
    <s v="NURKHAIRANI"/>
    <s v="ANAK"/>
    <x v="1"/>
    <s v="BANJARMASIN"/>
    <n v="18"/>
    <n v="12"/>
    <n v="2005"/>
    <n v="19"/>
    <x v="2"/>
    <x v="0"/>
    <x v="1"/>
    <x v="2"/>
    <s v="PELAJAR/MAHASISWA"/>
    <x v="1"/>
    <s v="PENDUDUK TETAP"/>
    <s v="JL. PEKAPURAN RAYA"/>
    <s v="JL. PEKAPURAN RAYA"/>
    <m/>
  </r>
  <r>
    <s v="RT 08"/>
    <s v="RW 01"/>
    <s v="6371020501080217"/>
    <s v="6371024705140003"/>
    <s v="KHAIRUNNISA"/>
    <s v="ANAK"/>
    <x v="1"/>
    <s v="BANJARMASIN"/>
    <n v="7"/>
    <n v="5"/>
    <n v="2014"/>
    <n v="10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0501080621"/>
    <s v="6371023012750007"/>
    <s v="SYAHRIANI"/>
    <s v="KEPALA KELUARGA"/>
    <x v="0"/>
    <s v="SUNGAI ELANG"/>
    <n v="30"/>
    <n v="12"/>
    <n v="1975"/>
    <n v="49"/>
    <x v="8"/>
    <x v="0"/>
    <x v="4"/>
    <x v="0"/>
    <s v="WIRASWASTA"/>
    <x v="2"/>
    <s v="PENDUDUK TETAP"/>
    <s v="JL. PEK. RAYA GG. RATU RIANG"/>
    <s v="JL. PEK. RAYA GG. RATU RIANG"/>
    <m/>
  </r>
  <r>
    <s v="RT 08"/>
    <s v="RW 01"/>
    <s v="6371020501080621"/>
    <s v="6371025310740002"/>
    <s v="MISNIAH"/>
    <s v="ISTRI"/>
    <x v="1"/>
    <s v="BANJARMASIN"/>
    <n v="13"/>
    <n v="10"/>
    <n v="1974"/>
    <n v="50"/>
    <x v="0"/>
    <x v="0"/>
    <x v="4"/>
    <x v="1"/>
    <s v="MENGURUS RUMAH TANGGA"/>
    <x v="2"/>
    <s v="PENDUDUK TETAP"/>
    <s v="JL. PEK. RAYA GG. RATU RIANG"/>
    <s v="JL. PEK. RAYA GG. RATU RIANG"/>
    <m/>
  </r>
  <r>
    <s v="RT 08"/>
    <s v="RW 01"/>
    <s v="6371020501080621"/>
    <s v="6371024207010005"/>
    <s v="YULIANI SYAFITRI"/>
    <s v="ANAK"/>
    <x v="1"/>
    <s v="BANJARMASIN"/>
    <n v="2"/>
    <n v="7"/>
    <n v="2001"/>
    <n v="23"/>
    <x v="11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0501080621"/>
    <s v="6371026310080003"/>
    <s v="NUR AMELIA"/>
    <s v="ANAK"/>
    <x v="1"/>
    <s v="BANJARMASIN"/>
    <n v="23"/>
    <n v="10"/>
    <n v="2008"/>
    <n v="16"/>
    <x v="2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0307080064"/>
    <s v="6371024912570006"/>
    <s v="NORHAYATI, HJ"/>
    <s v="KEPALA KELUARGA"/>
    <x v="1"/>
    <s v="BANJARMASIN"/>
    <n v="9"/>
    <n v="12"/>
    <n v="1957"/>
    <n v="67"/>
    <x v="13"/>
    <x v="0"/>
    <x v="1"/>
    <x v="0"/>
    <s v="WIRASWASTA"/>
    <x v="4"/>
    <s v="PENDUDUK TETAP"/>
    <s v="JL. PEK. RAYA GG. RATU RIANG"/>
    <s v="JL. PEK. RAYA GG. RATU RIANG"/>
    <m/>
  </r>
  <r>
    <s v="RT 08"/>
    <s v="RW 01"/>
    <s v="63710215111180001"/>
    <s v="3526091110970002"/>
    <s v="MUSTOPA"/>
    <s v="KEPALA KELUARGA"/>
    <x v="0"/>
    <s v="BANGKALAN"/>
    <n v="11"/>
    <n v="10"/>
    <n v="1997"/>
    <n v="27"/>
    <x v="9"/>
    <x v="0"/>
    <x v="2"/>
    <x v="0"/>
    <s v="WIRASWASTA"/>
    <x v="0"/>
    <s v="PENDUDUK TETAP"/>
    <s v="JL. PEKAPURAN RAYA GG. RATU RIANG"/>
    <s v="JL. PEKAPURAN RAYA GG. RATU RIANG"/>
    <m/>
  </r>
  <r>
    <s v="RT 08"/>
    <s v="RW 01"/>
    <s v="63710215111180001"/>
    <s v="6371024406040003"/>
    <s v="NURUL JANNAH"/>
    <s v="ANAK"/>
    <x v="1"/>
    <s v="BANJARMASIN"/>
    <n v="4"/>
    <n v="6"/>
    <n v="2004"/>
    <n v="20"/>
    <x v="11"/>
    <x v="0"/>
    <x v="0"/>
    <x v="1"/>
    <s v="MENGURUS RUMAH TANGGA"/>
    <x v="0"/>
    <s v="PENDUDUK TETAP"/>
    <s v="JL. PEKAPURAN RAYA GG. RATU RIANG"/>
    <s v="JL. PEKAPURAN RAYA GG. RATU RIANG"/>
    <m/>
  </r>
  <r>
    <s v="RT 08"/>
    <s v="RW 01"/>
    <s v="6371021910100015"/>
    <s v="6371054107510107"/>
    <s v="RUSITA"/>
    <s v="KEPALA KELUARGA"/>
    <x v="1"/>
    <s v="BANJARMASIN"/>
    <n v="1"/>
    <n v="7"/>
    <n v="1951"/>
    <n v="73"/>
    <x v="12"/>
    <x v="0"/>
    <x v="3"/>
    <x v="1"/>
    <s v="MENGURUS RUMAH TANGGA"/>
    <x v="4"/>
    <s v="PENDUDUK TETAP"/>
    <s v="JL. PEKAPURAN RAYA GG. RATU RIANG"/>
    <s v="JL. PEKAPURAN RAYA GG. RATU RIANG"/>
    <m/>
  </r>
  <r>
    <s v="RT 08"/>
    <s v="RW 01"/>
    <s v="6371021910100015"/>
    <s v="6371052008840002"/>
    <s v="MISRAN"/>
    <s v="ANAK"/>
    <x v="0"/>
    <s v="BANJARMASIN"/>
    <n v="20"/>
    <n v="8"/>
    <n v="1984"/>
    <n v="40"/>
    <x v="1"/>
    <x v="0"/>
    <x v="0"/>
    <x v="0"/>
    <s v="WIRASWASTA"/>
    <x v="1"/>
    <s v="PENDUDUK TETAP"/>
    <s v="JL. PEKAPURAN RAYA GG. RATU RIANG"/>
    <s v="JL. PEKAPURAN RAYA GG. RATU RIANG"/>
    <m/>
  </r>
  <r>
    <s v="RT 08"/>
    <s v="RW 01"/>
    <s v="6371020910100001"/>
    <s v="6371021503820008"/>
    <s v="AKHMAD MURJANI"/>
    <s v="KEPALA KELUARGA"/>
    <x v="0"/>
    <s v="KANDANGAN"/>
    <n v="15"/>
    <n v="3"/>
    <n v="1982"/>
    <n v="42"/>
    <x v="1"/>
    <x v="0"/>
    <x v="4"/>
    <x v="5"/>
    <s v="KARYAWAN SWASTA"/>
    <x v="2"/>
    <s v="PENDUDUK TETAP"/>
    <s v="JL. PEK. RAYA GG. RATU RIANG NO. 10"/>
    <s v="JL. PEK. RAYA GG. RATU RIANG NO. 10"/>
    <m/>
  </r>
  <r>
    <s v="RT 08"/>
    <s v="RW 01"/>
    <s v="6371020910100001"/>
    <s v="6371026301820001"/>
    <s v="MARIANTI"/>
    <s v="ISTRI"/>
    <x v="1"/>
    <s v="BANJARMASIN"/>
    <n v="23"/>
    <n v="1"/>
    <n v="1982"/>
    <n v="42"/>
    <x v="1"/>
    <x v="0"/>
    <x v="4"/>
    <x v="5"/>
    <s v="KARYAWAN SWASTA"/>
    <x v="2"/>
    <s v="PENDUDUK TETAP"/>
    <s v="JL. PEK. RAYA GG. RATU RIANG NO. 10"/>
    <s v="JL. PEK. RAYA GG. RATU RIANG NO. 10"/>
    <m/>
  </r>
  <r>
    <s v="RT 08"/>
    <s v="RW 01"/>
    <s v="6371020910100001"/>
    <s v="6371027008100001"/>
    <s v="ALYA DINA ESTIANTI"/>
    <s v="ANAK"/>
    <x v="1"/>
    <s v="BANJARMASIN"/>
    <n v="30"/>
    <n v="8"/>
    <n v="2010"/>
    <n v="14"/>
    <x v="3"/>
    <x v="0"/>
    <x v="2"/>
    <x v="3"/>
    <s v="BELUM/TIDAK BEKERJA"/>
    <x v="1"/>
    <s v="PENDUDUK TETAP"/>
    <s v="JL. PEK. RAYA GG. RATU RIANG NO. 10"/>
    <s v="JL. PEK. RAYA GG. RATU RIANG NO. 10"/>
    <m/>
  </r>
  <r>
    <s v="RT 08"/>
    <s v="RW 01"/>
    <s v="6371020307080063"/>
    <s v="6371022012750012"/>
    <s v="SAM'ANI"/>
    <s v="KEPALA KELUARGA"/>
    <x v="0"/>
    <s v="PAMANGKIH"/>
    <n v="20"/>
    <n v="12"/>
    <n v="1976"/>
    <n v="48"/>
    <x v="8"/>
    <x v="0"/>
    <x v="3"/>
    <x v="4"/>
    <s v="PEDAGANG"/>
    <x v="2"/>
    <s v="PENDUDUK TETAP"/>
    <s v="JL. PEK. RAYA GG. RATU RIANG"/>
    <s v="JL. PEK. RAYA GG. RATU RIANG"/>
    <m/>
  </r>
  <r>
    <s v="RT 08"/>
    <s v="RW 01"/>
    <s v="6371020307080063"/>
    <s v="6371025103770005"/>
    <s v="NOROR HAYATI"/>
    <s v="ISTRI"/>
    <x v="1"/>
    <s v="BANJARMASIN"/>
    <n v="11"/>
    <n v="3"/>
    <n v="1977"/>
    <n v="47"/>
    <x v="8"/>
    <x v="0"/>
    <x v="4"/>
    <x v="1"/>
    <s v="MENGURUS RUMAH TANGGA"/>
    <x v="2"/>
    <s v="PENDUDUK TETAP"/>
    <s v="JL. PEK. RAYA GG. RATU RIANG"/>
    <s v="JL. PEK. RAYA GG. RATU RIANG"/>
    <m/>
  </r>
  <r>
    <s v="RT 08"/>
    <s v="RW 01"/>
    <s v="6371020307080063"/>
    <s v="6371020309990009"/>
    <s v="MASRI"/>
    <s v="ANAK"/>
    <x v="0"/>
    <s v="BANJARMASIN"/>
    <n v="3"/>
    <n v="9"/>
    <n v="1999"/>
    <n v="25"/>
    <x v="9"/>
    <x v="0"/>
    <x v="1"/>
    <x v="3"/>
    <s v="BELUM/TIDAK BEKERJA"/>
    <x v="1"/>
    <s v="PENDUDUK TETAP"/>
    <s v="JL. PEK. RAYA GG. RATU RIANG"/>
    <s v="JL. PEK. RAYA GG. RATU RIANG"/>
    <m/>
  </r>
  <r>
    <s v="RT 08"/>
    <s v="RW 01"/>
    <s v="6371020307080063"/>
    <s v="6371024906070003"/>
    <s v="PAHRIAH"/>
    <s v="ANAK"/>
    <x v="1"/>
    <s v="BANJARMASIN"/>
    <n v="9"/>
    <n v="6"/>
    <n v="2007"/>
    <n v="17"/>
    <x v="2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2804100009"/>
    <s v="6371030707780015"/>
    <s v="YAMANI"/>
    <s v="KEPALA KELUARGA"/>
    <x v="0"/>
    <s v="BANJARMASIN"/>
    <n v="7"/>
    <n v="7"/>
    <n v="1978"/>
    <n v="46"/>
    <x v="8"/>
    <x v="0"/>
    <x v="0"/>
    <x v="0"/>
    <s v="WIRASWASTA"/>
    <x v="0"/>
    <s v="PENDUDUK TETAP"/>
    <s v="JL. PEKAPURAN RAYA GG. RATU RIANG"/>
    <s v="JL. PEKAPURAN RAYA GG. RATU RIANG"/>
    <m/>
  </r>
  <r>
    <s v="RT 08"/>
    <s v="RW 01"/>
    <s v="6371022804100009"/>
    <s v="6371025603850008"/>
    <s v="ANITA SUBUH"/>
    <s v="ISTRI"/>
    <x v="1"/>
    <s v="BANJARMASIN"/>
    <n v="16"/>
    <n v="3"/>
    <n v="1985"/>
    <n v="39"/>
    <x v="5"/>
    <x v="0"/>
    <x v="0"/>
    <x v="0"/>
    <s v="WIRASWASTA"/>
    <x v="0"/>
    <s v="PENDUDUK TETAP"/>
    <s v="JL. PEKAPURAN RAYA GG. RATU RIANG"/>
    <s v="JL. PEKAPURAN RAYA GG. RATU RIANG"/>
    <m/>
  </r>
  <r>
    <s v="RT 08"/>
    <s v="RW 01"/>
    <s v="6371022804100009"/>
    <s v="6371026704080005"/>
    <s v="AMALIA"/>
    <s v="ANAK"/>
    <x v="1"/>
    <s v="BANJARMASIN"/>
    <n v="27"/>
    <n v="4"/>
    <n v="2008"/>
    <n v="16"/>
    <x v="2"/>
    <x v="0"/>
    <x v="3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1511110001"/>
    <s v="RIZKY BAIHAQI"/>
    <s v="ANAK"/>
    <x v="0"/>
    <s v="BANJARMASIN"/>
    <n v="15"/>
    <n v="11"/>
    <n v="2011"/>
    <n v="13"/>
    <x v="3"/>
    <x v="0"/>
    <x v="1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5308150001"/>
    <s v="HANA RAFIKA"/>
    <s v="ANAK"/>
    <x v="1"/>
    <s v="BANJARMASIN"/>
    <n v="13"/>
    <n v="8"/>
    <n v="2015"/>
    <n v="9"/>
    <x v="4"/>
    <x v="0"/>
    <x v="1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6509220001"/>
    <s v="RAUDATUL ISHLAH"/>
    <s v="ANAK"/>
    <x v="1"/>
    <s v="BANJARMASIN"/>
    <n v="25"/>
    <n v="9"/>
    <n v="2022"/>
    <n v="2"/>
    <x v="1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2910100008"/>
    <s v="6371020307720012"/>
    <s v="BARITA ALAMSYAH"/>
    <s v="KEPALA KELUARGA"/>
    <x v="0"/>
    <s v="BANJARMASIN"/>
    <n v="3"/>
    <n v="7"/>
    <n v="1972"/>
    <n v="52"/>
    <x v="0"/>
    <x v="0"/>
    <x v="4"/>
    <x v="0"/>
    <s v="WIRASWASTA"/>
    <x v="3"/>
    <s v="PENDUDUK TETAP"/>
    <s v="JL. PEKAPURAN RAYA GG. RATU RIANG"/>
    <s v="JL. PEKAPURAN RAYA GG. RATU RIANG"/>
    <m/>
  </r>
  <r>
    <s v="RT 08"/>
    <s v="RW 01"/>
    <s v="6371022910100008"/>
    <s v="6371022811120003"/>
    <s v="ALDO BRATAMA"/>
    <s v="ISTRI"/>
    <x v="0"/>
    <s v="BANJARMASIN"/>
    <n v="28"/>
    <n v="11"/>
    <n v="2012"/>
    <n v="12"/>
    <x v="3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801190006"/>
    <s v="6371041503970008"/>
    <s v="MUHAMMAD FURQON KHAIRULLAH"/>
    <s v="ANAK"/>
    <x v="0"/>
    <s v="BANJARMASIN"/>
    <n v="15"/>
    <n v="3"/>
    <n v="1997"/>
    <n v="27"/>
    <x v="9"/>
    <x v="0"/>
    <x v="4"/>
    <x v="0"/>
    <s v="WIRASWASTA"/>
    <x v="0"/>
    <s v="PENDUDUK TETAP"/>
    <s v="JL. PEKAPURAN RAYA GG. RATU RIANG"/>
    <s v="JL. PEKAPURAN RAYA GG. RATU RIANG"/>
    <m/>
  </r>
  <r>
    <s v="RT 08"/>
    <s v="RW 01"/>
    <s v="6371020801190006"/>
    <s v="6371025210860009"/>
    <s v="FATMAWATI"/>
    <s v="KEPALA KELUARGA"/>
    <x v="1"/>
    <s v="BANJARMASIN"/>
    <n v="12"/>
    <n v="10"/>
    <n v="1986"/>
    <n v="38"/>
    <x v="5"/>
    <x v="0"/>
    <x v="4"/>
    <x v="1"/>
    <s v="MENGURUS RUMAH TANGGA"/>
    <x v="0"/>
    <s v="PENDUDUK TETAP"/>
    <s v="JL. PEKAPURAN RAYA GG. RATU RIANG"/>
    <s v="JL. PEKAPURAN RAYA GG. RATU RIANG"/>
    <m/>
  </r>
  <r>
    <s v="RT 08"/>
    <s v="RW 01"/>
    <s v="6371020801190006"/>
    <s v="6371021101050001"/>
    <s v="AKHMAD RIFANI"/>
    <s v="ISTRI"/>
    <x v="0"/>
    <s v="BANJARMASIN"/>
    <n v="11"/>
    <n v="1"/>
    <n v="2005"/>
    <n v="19"/>
    <x v="2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801190006"/>
    <s v="6371027107090001"/>
    <s v="NABILA"/>
    <s v="ANAK"/>
    <x v="1"/>
    <s v="BANJARMASIN"/>
    <n v="31"/>
    <n v="7"/>
    <n v="2009"/>
    <n v="15"/>
    <x v="2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801190006"/>
    <s v="6371026503190001"/>
    <s v="AZKADINA HUMAIRO"/>
    <s v="ANAK"/>
    <x v="1"/>
    <s v="BANJARMASIN"/>
    <n v="25"/>
    <n v="3"/>
    <n v="2019"/>
    <n v="5"/>
    <x v="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801190006"/>
    <s v="6371021207220001"/>
    <s v="MUHAMMAD RAYHAN EL RUMI"/>
    <s v="ANAK"/>
    <x v="0"/>
    <s v="BANJARMASIN"/>
    <n v="12"/>
    <n v="7"/>
    <n v="2022"/>
    <n v="2"/>
    <x v="1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1604200003"/>
    <s v="6371026310580005"/>
    <s v="SITI AISYAH"/>
    <s v="KEPALA KELUARGA"/>
    <x v="1"/>
    <s v="SIDOARJO"/>
    <n v="23"/>
    <n v="10"/>
    <n v="1958"/>
    <n v="66"/>
    <x v="13"/>
    <x v="0"/>
    <x v="4"/>
    <x v="1"/>
    <s v="MENGURUS RUMAH TANGGA"/>
    <x v="4"/>
    <s v="PENDUDUK TETAP"/>
    <s v="JL. PEKAPURAN RAYA GG. RATU RIANG NO.48"/>
    <s v="JL. PEKAPURAN RAYA GG. RATU RIANG NO.48"/>
    <m/>
  </r>
  <r>
    <s v="RT 08"/>
    <s v="RW 01"/>
    <s v="6371020501080363"/>
    <s v="6371027112680022"/>
    <s v="AINUN JARIAH"/>
    <s v="ISTRI"/>
    <x v="1"/>
    <s v="BANJARMASIN"/>
    <n v="31"/>
    <n v="12"/>
    <n v="1968"/>
    <n v="56"/>
    <x v="7"/>
    <x v="0"/>
    <x v="3"/>
    <x v="4"/>
    <s v="PEDAGANG"/>
    <x v="4"/>
    <s v="PENDUDUK TETAP"/>
    <s v="JL. PEKAPURAN RAYA NO. 1"/>
    <s v="JL. PEKAPURAN RAYA NO. 1"/>
    <m/>
  </r>
  <r>
    <s v="RT 08"/>
    <s v="RW 01"/>
    <s v="6371020501080363"/>
    <s v="6371026001890002"/>
    <s v="SITI QAMARIAH"/>
    <s v="ANAK"/>
    <x v="1"/>
    <s v="BANJARMASIN"/>
    <n v="20"/>
    <n v="1"/>
    <n v="1989"/>
    <n v="35"/>
    <x v="5"/>
    <x v="0"/>
    <x v="4"/>
    <x v="0"/>
    <s v="WIRASWASTA"/>
    <x v="1"/>
    <s v="PENDUDUK TETAP"/>
    <s v="JL. PEKAPURAN RAYA NO. 1"/>
    <s v="JL. PEKAPURAN RAYA NO. 1"/>
    <m/>
  </r>
  <r>
    <s v="RT 08"/>
    <s v="RW 01"/>
    <s v="6371020501080363"/>
    <s v="6371021309900005"/>
    <s v="MUHAMMAD DI ARIFIN"/>
    <s v="ANAK"/>
    <x v="0"/>
    <s v="BANJARMASIN"/>
    <n v="13"/>
    <n v="9"/>
    <n v="1990"/>
    <n v="34"/>
    <x v="6"/>
    <x v="0"/>
    <x v="4"/>
    <x v="0"/>
    <s v="WIRASWASTA"/>
    <x v="1"/>
    <s v="PENDUDUK TETAP"/>
    <s v="JL. PEKAPURAN RAYA NO. 1"/>
    <s v="JL. PEKAPURAN RAYA NO. 1"/>
    <m/>
  </r>
  <r>
    <s v="RT 10"/>
    <s v="RW 01"/>
    <s v="6371020501080595"/>
    <s v="6371023112530021"/>
    <s v="SAMSUNI"/>
    <s v="KEPALA KELUARGA"/>
    <x v="0"/>
    <s v="RANTAU"/>
    <n v="31"/>
    <n v="12"/>
    <n v="1953"/>
    <n v="71"/>
    <x v="12"/>
    <x v="0"/>
    <x v="3"/>
    <x v="0"/>
    <s v="WIRASWASTA"/>
    <x v="2"/>
    <s v="PENDUDUK TETAP"/>
    <s v="JL. PEKAPURAN RAYA GG. RATU RIANG"/>
    <s v="JL. PEKAPURAN RAYA GG. RATU RIANG"/>
    <m/>
  </r>
  <r>
    <s v="RT 10"/>
    <s v="RW 01"/>
    <s v="6371020501080595"/>
    <s v="6371025506570003"/>
    <s v="MASLIANI"/>
    <s v="ISTRI"/>
    <x v="1"/>
    <s v="BANJARMASIN"/>
    <n v="15"/>
    <n v="6"/>
    <n v="1967"/>
    <n v="57"/>
    <x v="7"/>
    <x v="0"/>
    <x v="3"/>
    <x v="1"/>
    <s v="MENGURUS RUMAH TANGGA"/>
    <x v="2"/>
    <s v="PENDUDUK TETAP"/>
    <s v="JL. PEKAPURAN RAYA GG. RATU RIANG"/>
    <s v="JL. PEKAPURAN RAYA GG. RATU RIANG"/>
    <m/>
  </r>
  <r>
    <s v="RT 10"/>
    <s v="RW 01"/>
    <s v="6371020501080595"/>
    <s v="6371026301820001"/>
    <s v="MARIANTI"/>
    <s v="ANAK"/>
    <x v="1"/>
    <s v="BANJARMASIN"/>
    <n v="23"/>
    <n v="1"/>
    <n v="1982"/>
    <n v="42"/>
    <x v="1"/>
    <x v="0"/>
    <x v="4"/>
    <x v="4"/>
    <s v="PEDAGANG"/>
    <x v="1"/>
    <s v="PENDUDUK TETAP"/>
    <s v="JL. PEKAPURAN RAYA GG. RATU RIANG"/>
    <s v="JL. PEKAPURAN RAYA GG. RATU RIANG"/>
    <m/>
  </r>
  <r>
    <s v="RT 08"/>
    <s v="RW 01"/>
    <s v="6371020501080595"/>
    <s v="6371022408950005"/>
    <s v="KHAIRUL ABDILLAH"/>
    <s v="ANAK"/>
    <x v="0"/>
    <s v="BANJARMASIN"/>
    <n v="24"/>
    <n v="8"/>
    <n v="1995"/>
    <n v="29"/>
    <x v="9"/>
    <x v="0"/>
    <x v="0"/>
    <x v="2"/>
    <s v="PELAJAR/MAHASISWA"/>
    <x v="1"/>
    <s v="PENDUDUK TETAP"/>
    <s v="JL. PEKAPURAN RAYA GG. RATU RIANG"/>
    <s v="JL. PEKAPURAN RAYA GG. RATU RIANG"/>
    <m/>
  </r>
  <r>
    <s v="RT 08"/>
    <s v="RW 01"/>
    <s v="6371022002150004"/>
    <s v="6371052711900002"/>
    <s v="SUBHANNOR"/>
    <s v="KEPALA KELUARGA"/>
    <x v="0"/>
    <s v="BANJARMASIN"/>
    <n v="27"/>
    <n v="11"/>
    <n v="1990"/>
    <n v="34"/>
    <x v="6"/>
    <x v="0"/>
    <x v="4"/>
    <x v="5"/>
    <s v="KARYAWAN SWASTA"/>
    <x v="2"/>
    <s v="PENDUDUK TETAP"/>
    <s v="JL. RAWA SARI GG. VI NO. 42"/>
    <s v="JL. RAWA SARI GG. VI NO. 42"/>
    <m/>
  </r>
  <r>
    <s v="RT 08"/>
    <s v="RW 01"/>
    <s v="6371022002150004"/>
    <s v="6371035502900006"/>
    <s v="PARAMITA"/>
    <s v="ISTRI"/>
    <x v="1"/>
    <s v="BANJARMASIN"/>
    <n v="15"/>
    <n v="2"/>
    <n v="1990"/>
    <n v="34"/>
    <x v="6"/>
    <x v="0"/>
    <x v="6"/>
    <x v="1"/>
    <s v="MENGURUS RUMAH TANGGA"/>
    <x v="2"/>
    <s v="PENDUDUK TETAP"/>
    <s v="JL. RAWA SARI GG. VI NO. 43"/>
    <s v="JL. RAWA SARI GG. VI NO. 43"/>
    <m/>
  </r>
  <r>
    <s v="RT 08"/>
    <s v="RW 01"/>
    <s v="6371022002150004"/>
    <s v="6371051103160002"/>
    <s v="AL BOHA"/>
    <s v="ANAK"/>
    <x v="0"/>
    <s v="BANJARMASIN"/>
    <n v="11"/>
    <n v="3"/>
    <n v="2016"/>
    <n v="8"/>
    <x v="4"/>
    <x v="0"/>
    <x v="2"/>
    <x v="3"/>
    <s v="BELUM/TIDAK BEKERJA"/>
    <x v="1"/>
    <s v="PENDUDUK TETAP"/>
    <s v="JL. RAWA SARI GG. VI NO. 44"/>
    <s v="JL. RAWA SARI GG. VI NO. 44"/>
    <m/>
  </r>
  <r>
    <s v="RT 08"/>
    <s v="RW 01"/>
    <s v="6371020607200012"/>
    <s v="6371025508730007"/>
    <s v="RAHMAH"/>
    <s v="KEPALA KELUARGA"/>
    <x v="1"/>
    <s v="BANJARMASIN"/>
    <n v="15"/>
    <n v="8"/>
    <n v="1973"/>
    <n v="51"/>
    <x v="0"/>
    <x v="0"/>
    <x v="3"/>
    <x v="9"/>
    <s v="BURUH HARIAN LEPAS"/>
    <x v="5"/>
    <s v="PENDUDUK TETAP"/>
    <s v="JL. PEKAPURAN RAYA GG. RATU RIANG"/>
    <s v="JL. PEKAPURAN RAYA GG. RATU RIANG"/>
    <m/>
  </r>
  <r>
    <s v="RT 08"/>
    <s v="RW 01"/>
    <s v="6371020607200012"/>
    <s v="6371027108050002"/>
    <s v="HAIRUN NISA"/>
    <s v="ISTRI"/>
    <x v="1"/>
    <s v="BANJARMASIN"/>
    <n v="31"/>
    <n v="8"/>
    <n v="2005"/>
    <n v="19"/>
    <x v="2"/>
    <x v="0"/>
    <x v="3"/>
    <x v="2"/>
    <s v="PELAJAR/MAHASISWA"/>
    <x v="1"/>
    <s v="PENDUDUK TETAP"/>
    <s v="JL. PEKAPURAN RAYA GG. RATU RIANG"/>
    <s v="JL. PEKAPURAN RAYA GG. RATU RIANG"/>
    <m/>
  </r>
  <r>
    <s v="RT 08"/>
    <s v="RW 01"/>
    <s v="6371020607200012"/>
    <s v="6371024102510002"/>
    <s v="NORIYANI"/>
    <s v="ANAK"/>
    <x v="1"/>
    <s v="BANJARMASIN"/>
    <n v="1"/>
    <n v="2"/>
    <n v="1951"/>
    <n v="73"/>
    <x v="12"/>
    <x v="0"/>
    <x v="2"/>
    <x v="3"/>
    <s v="BELUM/TIDAK BEKERJA"/>
    <x v="4"/>
    <s v="PENDUDUK TETAP"/>
    <s v="JL. PEKAPURAN RAYA GG. RATU RIANG"/>
    <s v="JL. PEKAPURAN RAYA GG. RATU RIANG"/>
    <m/>
  </r>
  <r>
    <s v="RT 08"/>
    <s v="RW 01"/>
    <s v="6371020601080144"/>
    <s v="6371020301490001"/>
    <s v="SIMAN, H"/>
    <s v="KEPALA KELUARGA"/>
    <x v="0"/>
    <s v="BANGKALAN"/>
    <n v="3"/>
    <n v="1"/>
    <n v="1949"/>
    <n v="75"/>
    <x v="15"/>
    <x v="0"/>
    <x v="3"/>
    <x v="0"/>
    <s v="WIRASWASTA"/>
    <x v="6"/>
    <s v="PENDUDUK TETAP"/>
    <s v="JL. PEKAPURAN RAYA GG. RATU RIANG"/>
    <s v="JL. PEKAPURAN RAYA GG. RATU RIANG"/>
    <m/>
  </r>
  <r>
    <s v="RT 08"/>
    <s v="RW 01"/>
    <s v="6371020601080144"/>
    <s v="6371024701560003"/>
    <s v="SANINTI, HJ"/>
    <s v="ISTRI"/>
    <x v="1"/>
    <s v="BANGKALAN"/>
    <n v="7"/>
    <n v="1"/>
    <n v="1956"/>
    <n v="68"/>
    <x v="13"/>
    <x v="0"/>
    <x v="3"/>
    <x v="0"/>
    <s v="WIRASWASTA"/>
    <x v="6"/>
    <s v="PENDUDUK TETAP"/>
    <s v="JL. PEKAPURAN RAYA GG. RATU RIANG"/>
    <s v="JL. PEKAPURAN RAYA GG. RATU RIANG"/>
    <m/>
  </r>
  <r>
    <s v="RT 08"/>
    <s v="RW 01"/>
    <s v="6371020601080144"/>
    <s v="6371025603940003"/>
    <s v="HESTITOAH"/>
    <s v="ANAK"/>
    <x v="1"/>
    <s v="BANJARMASIN"/>
    <n v="16"/>
    <n v="3"/>
    <n v="1994"/>
    <n v="30"/>
    <x v="6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601080144"/>
    <s v="6371025009990002"/>
    <s v="SITI KANIA RAHMAH"/>
    <s v="ANAK"/>
    <x v="1"/>
    <s v="BANJARMASIN"/>
    <n v="10"/>
    <n v="9"/>
    <n v="1999"/>
    <n v="25"/>
    <x v="9"/>
    <x v="0"/>
    <x v="1"/>
    <x v="2"/>
    <s v="PELAJAR/MAHASISWA"/>
    <x v="1"/>
    <s v="PENDUDUK TETAP"/>
    <s v="JL. PEKAPURAN RAYA GG. RATU RIANG"/>
    <s v="JL. PEKAPURAN RAYA GG. RATU RIANG"/>
    <m/>
  </r>
  <r>
    <s v="RT 08"/>
    <s v="RW 01"/>
    <s v="63710023001120017"/>
    <s v="6371022704830008"/>
    <s v="ABDURRAHMAN MAWI, H"/>
    <s v="KEPALA KELUARGA"/>
    <x v="0"/>
    <s v="BANJARMASIN"/>
    <n v="5"/>
    <n v="4"/>
    <n v="1988"/>
    <n v="36"/>
    <x v="5"/>
    <x v="0"/>
    <x v="2"/>
    <x v="0"/>
    <s v="WIRASWASTA"/>
    <x v="2"/>
    <s v="PENDUDUK TETAP"/>
    <s v="JL. PEKAPURAN RAYA GG. RATU RIANG"/>
    <s v="JL. PEKAPURAN RAYA GG. RATU RIANG"/>
    <m/>
  </r>
  <r>
    <s v="RT 08"/>
    <s v="RW 01"/>
    <s v="63710023001120017"/>
    <s v="6108104702790001"/>
    <s v="KHOLIFAH"/>
    <s v="ISTRI"/>
    <x v="1"/>
    <s v="PONTIANAK"/>
    <n v="6"/>
    <n v="4"/>
    <n v="1988"/>
    <n v="36"/>
    <x v="5"/>
    <x v="0"/>
    <x v="3"/>
    <x v="1"/>
    <s v="MENGURUS RUMAH TANGGA"/>
    <x v="2"/>
    <s v="PENDUDUK TETAP"/>
    <s v="JL. PEKAPURAN RAYA GG. RATU RIANG"/>
    <s v="JL. PEKAPURAN RAYA GG. RATU RIANG"/>
    <m/>
  </r>
  <r>
    <s v="RT 08"/>
    <s v="RW 01"/>
    <s v="63710023001120017"/>
    <s v="6371024205140005"/>
    <s v="QOTRUN NADHA"/>
    <s v="ANAK"/>
    <x v="1"/>
    <s v="BANJARMASIN"/>
    <n v="2"/>
    <n v="5"/>
    <n v="2014"/>
    <n v="10"/>
    <x v="3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307080061"/>
    <s v="6371021508560005"/>
    <s v="HAMBALI, H"/>
    <s v="KEPALA KELUARGA"/>
    <x v="0"/>
    <s v="MADURA"/>
    <n v="15"/>
    <n v="8"/>
    <n v="1956"/>
    <n v="68"/>
    <x v="13"/>
    <x v="0"/>
    <x v="3"/>
    <x v="4"/>
    <s v="PEDAGANG"/>
    <x v="2"/>
    <s v="PENDUDUK TETAP"/>
    <s v="JL. PEK. RAYA GG. RATU RIANG"/>
    <s v="JL. PEK. RAYA GG. RATU RIANG"/>
    <m/>
  </r>
  <r>
    <s v="RT 08"/>
    <s v="RW 01"/>
    <s v="6371020307080061"/>
    <s v="6371027005640002"/>
    <s v="ROMIYAH, HJ"/>
    <s v="ISTRI"/>
    <x v="1"/>
    <s v="MADURA"/>
    <n v="30"/>
    <n v="5"/>
    <n v="1964"/>
    <n v="60"/>
    <x v="10"/>
    <x v="0"/>
    <x v="3"/>
    <x v="0"/>
    <s v="WIRASWASTA"/>
    <x v="2"/>
    <s v="PENDUDUK TETAP"/>
    <s v="JL. PEK. RAYA GG. RATU RIANG"/>
    <s v="JL. PEK. RAYA GG. RATU RIANG"/>
    <m/>
  </r>
  <r>
    <s v="RT 08"/>
    <s v="RW 01"/>
    <s v="6371020307080061"/>
    <s v="6371025004900009"/>
    <s v="HANANAH"/>
    <s v="ANAK"/>
    <x v="1"/>
    <s v="BANJARMASIN"/>
    <n v="10"/>
    <n v="4"/>
    <n v="1990"/>
    <n v="34"/>
    <x v="6"/>
    <x v="0"/>
    <x v="1"/>
    <x v="3"/>
    <s v="BELUM/TIDAK BEKERJA"/>
    <x v="1"/>
    <s v="PENDUDUK TETAP"/>
    <s v="JL. PEK. RAYA GG. RATU RIANG"/>
    <s v="JL. PEK. RAYA GG. RATU RIANG"/>
    <m/>
  </r>
  <r>
    <s v="RT 08"/>
    <s v="RW 01"/>
    <s v="6371020307080061"/>
    <s v="6371025204460002"/>
    <s v="MAR'AM, HJ"/>
    <s v="FAMILI LAIN"/>
    <x v="1"/>
    <s v="MADURA"/>
    <n v="12"/>
    <n v="4"/>
    <n v="1946"/>
    <n v="78"/>
    <x v="15"/>
    <x v="0"/>
    <x v="3"/>
    <x v="10"/>
    <s v="PETANI/PEKEBUN"/>
    <x v="3"/>
    <s v="PENDUDUK TETAP"/>
    <s v="JL. PEK. RAYA GG. RATU RIANG"/>
    <s v="JL. PEK. RAYA GG. RATU RIANG"/>
    <m/>
  </r>
  <r>
    <s v="RT 08"/>
    <s v="RW 01"/>
    <s v="6371020307080061"/>
    <s v="6371026003750007"/>
    <s v="SURIYATI"/>
    <s v="FAMILI LAIN"/>
    <x v="1"/>
    <s v="MADURA"/>
    <n v="20"/>
    <n v="3"/>
    <n v="1975"/>
    <n v="49"/>
    <x v="8"/>
    <x v="0"/>
    <x v="3"/>
    <x v="0"/>
    <s v="WIRASWASTA"/>
    <x v="1"/>
    <s v="PENDUDUK TETAP"/>
    <s v="JL. PEK. RAYA GG. RATU RIANG"/>
    <s v="JL. PEK. RAYA GG. RATU RIANG"/>
    <m/>
  </r>
  <r>
    <s v="RT 08"/>
    <s v="RW 01"/>
    <s v="6371020307080061"/>
    <s v="6371026505750007"/>
    <s v="NORSARI"/>
    <s v="FAMILI LAIN"/>
    <x v="1"/>
    <s v="MADURA"/>
    <n v="25"/>
    <n v="5"/>
    <n v="1975"/>
    <n v="49"/>
    <x v="8"/>
    <x v="0"/>
    <x v="3"/>
    <x v="0"/>
    <s v="WIRASWASTA"/>
    <x v="3"/>
    <s v="PENDUDUK TETAP"/>
    <s v="JL. PEK. RAYA GG. RATU RIANG"/>
    <s v="JL. PEK. RAYA GG. RATU RIANG"/>
    <m/>
  </r>
  <r>
    <s v="RT 08"/>
    <s v="RW 01"/>
    <s v="6371020307080061"/>
    <s v="3526094308910002"/>
    <s v="PATIMA"/>
    <s v="FAMILI LAIN"/>
    <x v="1"/>
    <s v="BANGKALAN"/>
    <n v="3"/>
    <n v="8"/>
    <n v="1991"/>
    <n v="33"/>
    <x v="6"/>
    <x v="0"/>
    <x v="3"/>
    <x v="0"/>
    <s v="WIRASWASTA"/>
    <x v="1"/>
    <s v="PENDUDUK TETAP"/>
    <s v="JL. PEK. RAYA GG. RATU RIANG"/>
    <s v="JL. PEK. RAYA GG. RATU RIANG"/>
    <m/>
  </r>
  <r>
    <s v="RT 08"/>
    <s v="RW 01"/>
    <s v="6371021010170010"/>
    <s v="6371022507910010"/>
    <s v="MUHAMMAD YATIM, S.PD.I"/>
    <s v="KEPALA KELUARGA"/>
    <x v="0"/>
    <s v="BANJARMASIN"/>
    <n v="25"/>
    <n v="7"/>
    <n v="1991"/>
    <n v="33"/>
    <x v="6"/>
    <x v="0"/>
    <x v="6"/>
    <x v="0"/>
    <s v="WIRASWASTA"/>
    <x v="2"/>
    <s v="PENDUDUK TETAP"/>
    <s v="JL. PEKAPURAN RAYA GG. RATU RIANG"/>
    <s v="JL. PEKAPURAN RAYA GG. RATU RIANG"/>
    <m/>
  </r>
  <r>
    <s v="RT 08"/>
    <s v="RW 01"/>
    <s v="6371021010170010"/>
    <s v="6371025508950005"/>
    <s v="SAIDAH"/>
    <s v="ISTRI"/>
    <x v="1"/>
    <s v="BANJARMASIN"/>
    <n v="15"/>
    <n v="8"/>
    <n v="1995"/>
    <n v="29"/>
    <x v="9"/>
    <x v="0"/>
    <x v="0"/>
    <x v="1"/>
    <s v="MENGURUS RUMAH TANGGA"/>
    <x v="2"/>
    <s v="PENDUDUK TETAP"/>
    <s v="JL. PEKAPURAN RAYA GG. RATU RIANG"/>
    <s v="JL. PEKAPURAN RAYA GG. RATU RIANG"/>
    <m/>
  </r>
  <r>
    <s v="RT 08"/>
    <s v="RW 01"/>
    <s v="6371021010170010"/>
    <s v="6371025804180003"/>
    <s v="HULYATUL MUKARROMAH"/>
    <s v="ANAK"/>
    <x v="1"/>
    <s v="BANJARMASIN"/>
    <n v="18"/>
    <n v="4"/>
    <n v="2018"/>
    <n v="6"/>
    <x v="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801080629"/>
    <s v="6371020406810006"/>
    <s v="RUSLAN"/>
    <s v="KEPALA KELUARGA"/>
    <x v="0"/>
    <s v="BANJARMASIN"/>
    <n v="4"/>
    <n v="6"/>
    <n v="1981"/>
    <n v="43"/>
    <x v="1"/>
    <x v="0"/>
    <x v="3"/>
    <x v="0"/>
    <s v="WIRASWASTA"/>
    <x v="2"/>
    <s v="PENDUDUK TETAP"/>
    <s v="JL. PEKAPURAN RAYA GG. RATU RIANG"/>
    <s v="JL. PEKAPURAN RAYA GG. RATU RIANG"/>
    <m/>
  </r>
  <r>
    <s v="RT 08"/>
    <s v="RW 01"/>
    <s v="6371020801080629"/>
    <s v="6371025607840009"/>
    <s v="MISNIAH"/>
    <s v="ISTRI"/>
    <x v="1"/>
    <s v="MADURA"/>
    <n v="16"/>
    <n v="7"/>
    <n v="1984"/>
    <n v="40"/>
    <x v="1"/>
    <x v="0"/>
    <x v="3"/>
    <x v="0"/>
    <s v="WIRASWASTA"/>
    <x v="2"/>
    <s v="PENDUDUK TETAP"/>
    <s v="JL. PEKAPURAN RAYA GG. RATU RIANG"/>
    <s v="JL. PEKAPURAN RAYA GG. RATU RIANG"/>
    <m/>
  </r>
  <r>
    <s v="RT 08"/>
    <s v="RW 01"/>
    <s v="6371020801080629"/>
    <s v="6371020101120003"/>
    <s v="M. FARIZ"/>
    <s v="ANAK"/>
    <x v="0"/>
    <s v="BANJARMASIN"/>
    <n v="1"/>
    <n v="1"/>
    <n v="2012"/>
    <n v="12"/>
    <x v="3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2305230008"/>
    <s v="6371021906930004"/>
    <s v="AHMAD FAUZI"/>
    <s v="KEPALA KELUARGA"/>
    <x v="0"/>
    <s v="BANJARMASIN"/>
    <n v="19"/>
    <n v="6"/>
    <n v="1993"/>
    <n v="31"/>
    <x v="6"/>
    <x v="0"/>
    <x v="4"/>
    <x v="3"/>
    <s v="BELUM/TIDAK BEKERJA"/>
    <x v="1"/>
    <s v="PENDUDUK TETAP"/>
    <s v="JL. PEK. RAYA GG. RATU RIANG"/>
    <s v="JL. PEK. RAYA GG. RATU RIANG"/>
    <m/>
  </r>
  <r>
    <s v="RT 08"/>
    <s v="RW 01"/>
    <s v="6371022305230008"/>
    <s v="6371024505740013"/>
    <s v="NURUL AINA"/>
    <s v="ISTRI"/>
    <x v="1"/>
    <s v="BANJARMASIN"/>
    <n v="5"/>
    <n v="5"/>
    <n v="1974"/>
    <n v="50"/>
    <x v="0"/>
    <x v="0"/>
    <x v="4"/>
    <x v="1"/>
    <s v="MENGURUS RUMAH TANGGA"/>
    <x v="6"/>
    <s v="PENDUDUK TETAP"/>
    <s v="JL. PEK. RAYA GG. RATU RIANG"/>
    <s v="JL. PEK. RAYA GG. RATU RIANG"/>
    <m/>
  </r>
  <r>
    <s v="RT 08"/>
    <s v="RW 01"/>
    <s v="6371021902190015"/>
    <s v="6371022901980003"/>
    <s v="SYAMSUL ARIF"/>
    <s v="KEPALA KELUARGA"/>
    <x v="0"/>
    <s v="BANJARMASIN"/>
    <n v="29"/>
    <n v="1"/>
    <n v="1998"/>
    <n v="26"/>
    <x v="9"/>
    <x v="0"/>
    <x v="4"/>
    <x v="11"/>
    <s v="KARYAWAN HONORER"/>
    <x v="0"/>
    <s v="PENDUDUK TETAP"/>
    <s v="JL. PEKAPURAN RAYA GG. RATU RIANG"/>
    <s v="JL. PEKAPURAN RAYA GG. RATU RIANG"/>
    <m/>
  </r>
  <r>
    <s v="RT 08"/>
    <s v="RW 01"/>
    <s v="6371021902190015"/>
    <s v="6371056204000004"/>
    <s v="FITRIANI"/>
    <s v="ISTRI"/>
    <x v="1"/>
    <s v="BANJARMASIN"/>
    <n v="22"/>
    <n v="4"/>
    <n v="2000"/>
    <n v="24"/>
    <x v="11"/>
    <x v="0"/>
    <x v="4"/>
    <x v="1"/>
    <s v="MENGURUS RUMAH TANGGA"/>
    <x v="0"/>
    <s v="PENDUDUK TETAP"/>
    <s v="JL. PEKAPURAN RAYA GG. RATU RIANG"/>
    <s v="JL. PEKAPURAN RAYA GG. RATU RIANG"/>
    <m/>
  </r>
  <r>
    <s v="RT 08"/>
    <s v="RW 01"/>
    <s v="6371021902190015"/>
    <s v="6371024810190001"/>
    <s v="ARIFAH NABILA OKTAVIANI"/>
    <s v="ANAK"/>
    <x v="1"/>
    <s v="BANJARMASIN"/>
    <n v="8"/>
    <n v="10"/>
    <n v="2019"/>
    <n v="5"/>
    <x v="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1902190015"/>
    <s v="6371022707220003"/>
    <s v="MUHAMMAD BILAL ARIF AKBAR"/>
    <s v="ANAK"/>
    <x v="0"/>
    <s v="BANJARMASIN"/>
    <n v="27"/>
    <n v="7"/>
    <n v="2022"/>
    <n v="2"/>
    <x v="1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1303180009"/>
    <s v="6371026210930004"/>
    <s v="SAHRATUN"/>
    <s v="KEPALA KELUARGA"/>
    <x v="1"/>
    <s v="BANJARMASIN"/>
    <n v="22"/>
    <n v="10"/>
    <n v="1993"/>
    <n v="31"/>
    <x v="6"/>
    <x v="0"/>
    <x v="3"/>
    <x v="1"/>
    <s v="MENGURUS RUMAH TANGGA"/>
    <x v="3"/>
    <s v="PENDUDUK TETAP"/>
    <s v="JL. PEKAPURAN RAYA GG. RATU RIANG"/>
    <s v="JL. PEKAPURAN RAYA GG. RATU RIANG"/>
    <m/>
  </r>
  <r>
    <s v="RT 08"/>
    <s v="RW 01"/>
    <s v="6371021303180009"/>
    <s v="6371022006120003"/>
    <s v="M. FIKRI HAIKAL"/>
    <s v="ANAK"/>
    <x v="0"/>
    <s v="BANJARMASIN"/>
    <n v="20"/>
    <n v="6"/>
    <n v="2012"/>
    <n v="12"/>
    <x v="3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601080148"/>
    <s v="6371022008550001"/>
    <s v="NORHAWI"/>
    <s v="KEPALA KELUARGA"/>
    <x v="0"/>
    <s v="MADURA"/>
    <n v="20"/>
    <n v="8"/>
    <n v="1955"/>
    <n v="69"/>
    <x v="13"/>
    <x v="0"/>
    <x v="3"/>
    <x v="0"/>
    <s v="WIRASWASTA"/>
    <x v="0"/>
    <s v="PENDUDUK TETAP"/>
    <s v="JL. PEKAPURAN RAYA GG. RATU RIANG"/>
    <s v="JL. PEKAPURAN RAYA GG. RATU RIANG"/>
    <m/>
  </r>
  <r>
    <s v="RT 08"/>
    <s v="RW 01"/>
    <s v="6371020601080148"/>
    <s v="6371025909640001"/>
    <s v="ARWATI"/>
    <s v="ISTRI"/>
    <x v="1"/>
    <s v="MADURA"/>
    <n v="19"/>
    <n v="9"/>
    <n v="1964"/>
    <n v="60"/>
    <x v="10"/>
    <x v="0"/>
    <x v="3"/>
    <x v="4"/>
    <s v="PEDAGANG"/>
    <x v="0"/>
    <s v="PENDUDUK TETAP"/>
    <s v="JL. PEKAPURAN RAYA GG. RATU RIANG"/>
    <s v="JL. PEKAPURAN RAYA GG. RATU RIANG"/>
    <m/>
  </r>
  <r>
    <s v="RT 08"/>
    <s v="RW 01"/>
    <s v="6371020601080148"/>
    <s v="6371025110040001"/>
    <s v="RAHMADHANIA"/>
    <s v="ANAK"/>
    <x v="1"/>
    <s v="BANJARMASIN"/>
    <n v="11"/>
    <n v="10"/>
    <n v="2004"/>
    <n v="20"/>
    <x v="11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103170002"/>
    <s v="6371012806890004"/>
    <s v="FAISAL"/>
    <s v="KEPALA KELUARGA"/>
    <x v="0"/>
    <s v="BANJARMASIN"/>
    <n v="28"/>
    <n v="6"/>
    <n v="1989"/>
    <n v="35"/>
    <x v="5"/>
    <x v="0"/>
    <x v="1"/>
    <x v="3"/>
    <s v="BELUM/TIDAK BEKERJA"/>
    <x v="1"/>
    <s v="PENDUDUK TETAP"/>
    <s v="JL. PEKAPURAN RAYA"/>
    <s v="JL. PEKAPURAN RAYA"/>
    <m/>
  </r>
  <r>
    <s v="RT 08"/>
    <s v="RW 01"/>
    <s v="6371020103170002"/>
    <s v="6371024510950011"/>
    <s v="MISDAWATI"/>
    <s v="ISTRI"/>
    <x v="1"/>
    <s v="BANJARMASIN"/>
    <n v="5"/>
    <n v="10"/>
    <n v="1995"/>
    <n v="29"/>
    <x v="9"/>
    <x v="0"/>
    <x v="1"/>
    <x v="1"/>
    <s v="MENGURUS RUMAH TANGGA"/>
    <x v="1"/>
    <s v="PENDUDUK TETAP"/>
    <s v="JL. PEKAPURAN RAYA"/>
    <s v="JL. PEKAPURAN RAYA"/>
    <m/>
  </r>
  <r>
    <s v="RT 08"/>
    <s v="RW 01"/>
    <s v="6371020103170002"/>
    <s v="6371025405130004"/>
    <s v="GOPIYA AULIA"/>
    <s v="ANAK"/>
    <x v="1"/>
    <s v="BANJARMASIN"/>
    <n v="14"/>
    <n v="5"/>
    <n v="2013"/>
    <n v="11"/>
    <x v="3"/>
    <x v="0"/>
    <x v="2"/>
    <x v="3"/>
    <s v="BELUM/TIDAK BEKERJA"/>
    <x v="1"/>
    <s v="PENDUDUK TETAP"/>
    <s v="JL. PEKAPURAN RAYA"/>
    <s v="JL. PEKAPURAN RAYA"/>
    <m/>
  </r>
  <r>
    <s v="RT 08"/>
    <s v="RW 01"/>
    <s v="63710511050900003"/>
    <s v="6371050510770010"/>
    <s v="ABDUS SYOMAD"/>
    <s v="KEPALA KELUARGA"/>
    <x v="0"/>
    <s v="BANGKALAN"/>
    <n v="5"/>
    <n v="10"/>
    <n v="1977"/>
    <n v="47"/>
    <x v="8"/>
    <x v="0"/>
    <x v="3"/>
    <x v="9"/>
    <s v="BURUH HARIAN LEPAS"/>
    <x v="2"/>
    <s v="PENDUDUK TETAP"/>
    <s v="JL. PEKAPURAN RAYA GG. RATU RIANG"/>
    <s v="JL. PEKAPURAN RAYA GG. RATU RIANG"/>
    <m/>
  </r>
  <r>
    <s v="RT 08"/>
    <s v="RW 01"/>
    <s v="63710511050900003"/>
    <s v="6371055405800010"/>
    <s v="MASRIAH"/>
    <s v="ISTRI"/>
    <x v="1"/>
    <s v="BANGKALAN"/>
    <n v="14"/>
    <n v="5"/>
    <n v="1980"/>
    <n v="44"/>
    <x v="1"/>
    <x v="0"/>
    <x v="3"/>
    <x v="1"/>
    <s v="MENGURUS RUMAH TANGGA"/>
    <x v="2"/>
    <s v="PENDUDUK TETAP"/>
    <s v="JL. PEKAPURAN RAYA GG. RATU RIANG"/>
    <s v="JL. PEKAPURAN RAYA GG. RATU RIANG"/>
    <m/>
  </r>
  <r>
    <s v="RT 08"/>
    <s v="RW 01"/>
    <s v="63710511050900003"/>
    <s v="6371056602060004"/>
    <s v="ROBIATUL ADAWIAH"/>
    <s v="ANAK"/>
    <x v="1"/>
    <s v="SAMPANG"/>
    <n v="16"/>
    <n v="2"/>
    <n v="2006"/>
    <n v="18"/>
    <x v="2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2311080012"/>
    <s v="6371021505820028"/>
    <s v="MAHMUDI"/>
    <s v="KEPALA KELUARGA"/>
    <x v="0"/>
    <s v="BANGKALAN"/>
    <n v="15"/>
    <n v="5"/>
    <n v="1982"/>
    <n v="42"/>
    <x v="1"/>
    <x v="0"/>
    <x v="3"/>
    <x v="0"/>
    <s v="WIRASWASTA"/>
    <x v="2"/>
    <s v="PENDUDUK TETAP"/>
    <s v="JL. PEKAPURAN RAYA GG. BUNGA"/>
    <s v="JL. PEKAPURAN RAYA GG. BUNGA"/>
    <m/>
  </r>
  <r>
    <s v="RT 05"/>
    <s v="RW 01"/>
    <s v="6371022311080012"/>
    <s v="6371020507850008"/>
    <s v="HAMIDAH"/>
    <m/>
    <x v="1"/>
    <s v="SAMARINDA"/>
    <n v="25"/>
    <n v="7"/>
    <n v="1985"/>
    <n v="39"/>
    <x v="5"/>
    <x v="0"/>
    <x v="3"/>
    <x v="1"/>
    <s v="MENGURUS RUMAH TANGGA"/>
    <x v="2"/>
    <s v="PENDUDUK TETAP"/>
    <s v="JL. PEKAPURAN RAYA GG. BUNGA"/>
    <s v="JL. PEKAPURAN RAYA GG. BUNGA"/>
    <m/>
  </r>
  <r>
    <s v="RT 08"/>
    <s v="RW 01"/>
    <s v="6371022311080012"/>
    <s v="6371024806050004"/>
    <s v="NAJMATUS SHOBIHAH"/>
    <s v="ANAK"/>
    <x v="1"/>
    <s v="SAMARINDA"/>
    <n v="8"/>
    <n v="6"/>
    <n v="2005"/>
    <n v="19"/>
    <x v="2"/>
    <x v="0"/>
    <x v="1"/>
    <x v="2"/>
    <s v="PELAJAR/MAHASISWA"/>
    <x v="1"/>
    <s v="PENDUDUK TETAP"/>
    <s v="JL. PEKAPURAN RAYA GG. BUNGA"/>
    <s v="JL. PEKAPURAN RAYA GG. BUNGA"/>
    <m/>
  </r>
  <r>
    <s v="RT 08"/>
    <s v="RW 01"/>
    <s v="6371022311080012"/>
    <s v="6371025709080002"/>
    <s v="ADINDA ROHMADANI"/>
    <s v="ANAK"/>
    <x v="1"/>
    <s v="SAMARINDA"/>
    <n v="17"/>
    <n v="9"/>
    <n v="2009"/>
    <n v="15"/>
    <x v="2"/>
    <x v="0"/>
    <x v="2"/>
    <x v="3"/>
    <s v="BELUM/TIDAK BEKERJA"/>
    <x v="1"/>
    <s v="PENDUDUK TETAP"/>
    <s v="JL. PEKAPURAN RAYA GG. BUNGA"/>
    <s v="JL. PEKAPURAN RAYA GG. BUNGA"/>
    <m/>
  </r>
  <r>
    <s v="RT 08"/>
    <s v="RW 01"/>
    <s v="6371022311080012"/>
    <s v="6371021307150005"/>
    <s v="MUHAMMAD AFRIADI"/>
    <s v="ANAK"/>
    <x v="0"/>
    <s v="BANJARMASIN"/>
    <n v="13"/>
    <n v="7"/>
    <n v="2015"/>
    <n v="9"/>
    <x v="4"/>
    <x v="0"/>
    <x v="2"/>
    <x v="3"/>
    <s v="BELUM/TIDAK BEKERJA"/>
    <x v="1"/>
    <s v="PENDUDUK TETAP"/>
    <s v="JL. PEKAPURAN RAYA GG. BUNGA"/>
    <s v="JL. PEKAPURAN RAYA GG. BUNGA"/>
    <m/>
  </r>
  <r>
    <s v="RT 08"/>
    <s v="RW 01"/>
    <s v="6371020601080159"/>
    <s v="6371020107680622"/>
    <s v="MUHDIANSYAH"/>
    <s v="KEPALA KELUARGA"/>
    <x v="0"/>
    <s v="BARIKIN"/>
    <n v="2"/>
    <n v="2"/>
    <n v="1964"/>
    <n v="60"/>
    <x v="10"/>
    <x v="0"/>
    <x v="4"/>
    <x v="9"/>
    <s v="BURUH HARIAN LEPAS"/>
    <x v="2"/>
    <s v="PENDUDUK TETAP"/>
    <s v="JL. PEKAPURAN RAYA"/>
    <s v="JL. PEKAPURAN RAYA"/>
    <m/>
  </r>
  <r>
    <s v="RT 08"/>
    <s v="RW 01"/>
    <s v="6371020601080159"/>
    <s v="6371024107710237"/>
    <s v="ERNA WATI"/>
    <s v="ISTRI"/>
    <x v="1"/>
    <s v="BARABAI"/>
    <n v="1"/>
    <n v="7"/>
    <n v="1971"/>
    <n v="53"/>
    <x v="0"/>
    <x v="0"/>
    <x v="3"/>
    <x v="1"/>
    <s v="MENGURUS RUMAH TANGGA"/>
    <x v="2"/>
    <s v="PENDUDUK TETAP"/>
    <s v="JL. PEKAPURAN RAYA"/>
    <s v="JL. PEKAPURAN RAYA"/>
    <m/>
  </r>
  <r>
    <s v="RT 08"/>
    <s v="RW 01"/>
    <s v="6371020601080159"/>
    <s v="6371024107940229"/>
    <s v="NITA ANGGRAENI"/>
    <s v="ANAK"/>
    <x v="1"/>
    <s v="PANTAI  HAMBAWANG"/>
    <n v="22"/>
    <n v="8"/>
    <n v="1994"/>
    <n v="30"/>
    <x v="6"/>
    <x v="0"/>
    <x v="0"/>
    <x v="2"/>
    <s v="PELAJAR/MAHASISWA"/>
    <x v="1"/>
    <s v="PENDUDUK TETAP"/>
    <s v="JL. PEKAPURAN RAYA"/>
    <s v="JL. PEKAPURAN RAYA"/>
    <m/>
  </r>
  <r>
    <s v="RT 08"/>
    <s v="RW 01"/>
    <s v="6371020601080159"/>
    <s v="6371020107010237"/>
    <s v="MUHAMMAD FEQY"/>
    <s v="ANAK"/>
    <x v="0"/>
    <s v="BANJARMASIN"/>
    <n v="15"/>
    <n v="7"/>
    <n v="2001"/>
    <n v="23"/>
    <x v="11"/>
    <x v="0"/>
    <x v="3"/>
    <x v="2"/>
    <s v="PELAJAR/MAHASISWA"/>
    <x v="1"/>
    <s v="PENDUDUK TETAP"/>
    <s v="JL. PEKAPURAN RAYA"/>
    <s v="JL. PEKAPURAN RAYA"/>
    <m/>
  </r>
  <r>
    <s v="RT 08"/>
    <s v="RW 01"/>
    <s v="6371020704110002"/>
    <s v="6371021307750004"/>
    <s v="HUSAINI"/>
    <s v="KEPALA KELUARGA"/>
    <x v="0"/>
    <s v="BANJARMASIN"/>
    <n v="13"/>
    <n v="7"/>
    <n v="1975"/>
    <n v="49"/>
    <x v="8"/>
    <x v="0"/>
    <x v="3"/>
    <x v="0"/>
    <s v="WIRASWASTA"/>
    <x v="0"/>
    <s v="PENDUDUK TETAP"/>
    <s v="JL. PEK. RAYA GG. RATU RIANG"/>
    <s v="JL. PEK. RAYA GG. RATU RIANG"/>
    <m/>
  </r>
  <r>
    <s v="RT 08"/>
    <s v="RW 01"/>
    <s v="6371020704110002"/>
    <s v="6371025704860002"/>
    <s v="ANITA"/>
    <s v="ISTRI"/>
    <x v="1"/>
    <s v="TAMBAN"/>
    <n v="17"/>
    <n v="4"/>
    <n v="1986"/>
    <n v="38"/>
    <x v="5"/>
    <x v="0"/>
    <x v="3"/>
    <x v="1"/>
    <s v="MENGURUS RUMAH TANGGA"/>
    <x v="0"/>
    <s v="PENDUDUK TETAP"/>
    <s v="JL. PEK. RAYA GG. RATU RIANG"/>
    <s v="JL. PEK. RAYA GG. RATU RIANG"/>
    <m/>
  </r>
  <r>
    <s v="RT 08"/>
    <s v="RW 01"/>
    <s v="6371020704110002"/>
    <s v="6371020507100005"/>
    <s v="MUHAMMAD ROJABI"/>
    <s v="ANAK"/>
    <x v="0"/>
    <s v="BANJARMASIN"/>
    <n v="5"/>
    <n v="7"/>
    <n v="2010"/>
    <n v="14"/>
    <x v="3"/>
    <x v="0"/>
    <x v="1"/>
    <x v="2"/>
    <s v="PELAJAR/MAHASISWA"/>
    <x v="1"/>
    <s v="PENDUDUK TETAP"/>
    <s v="JL. PEK. RAYA GG. RATU RIANG"/>
    <s v="JL. PEK. RAYA GG. RATU RIANG"/>
    <m/>
  </r>
  <r>
    <s v="RT 08"/>
    <s v="RW 01"/>
    <s v="6371020704110002"/>
    <s v="6371023003200004"/>
    <s v="MUHAMMAD KHARAMARTULLAH"/>
    <s v="ANAK"/>
    <x v="0"/>
    <s v="BARITO KUALA"/>
    <n v="30"/>
    <n v="3"/>
    <n v="2020"/>
    <n v="4"/>
    <x v="14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0810090029"/>
    <s v="6371020212740006"/>
    <s v="M. SADERI"/>
    <s v="KEPALA KELUARGA"/>
    <x v="0"/>
    <s v="BANJARMASIN"/>
    <n v="2"/>
    <n v="12"/>
    <n v="1974"/>
    <n v="50"/>
    <x v="0"/>
    <x v="0"/>
    <x v="4"/>
    <x v="4"/>
    <s v="PEDAGANG"/>
    <x v="0"/>
    <s v="PENDUDUK TETAP"/>
    <s v="JL. PEKAPURAN RAYA"/>
    <s v="JL. PEKAPURAN RAYA"/>
    <m/>
  </r>
  <r>
    <s v="RT 08"/>
    <s v="RW 01"/>
    <s v="6371020810090029"/>
    <s v="6371026311810006"/>
    <s v="MELDAWATI"/>
    <s v="ISTRI"/>
    <x v="1"/>
    <s v="BANJARMASIN"/>
    <n v="23"/>
    <n v="11"/>
    <n v="1981"/>
    <n v="43"/>
    <x v="1"/>
    <x v="0"/>
    <x v="0"/>
    <x v="1"/>
    <s v="MENGURUS RUMAH TANGGA"/>
    <x v="0"/>
    <s v="PENDUDUK TETAP"/>
    <s v="JL. PEKAPURAN RAYA"/>
    <s v="JL. PEKAPURAN RAYA"/>
    <m/>
  </r>
  <r>
    <s v="RT 08"/>
    <s v="RW 01"/>
    <s v="6371020810090029"/>
    <s v="6371022702090001"/>
    <s v="M. RIZQI MAULANA"/>
    <s v="ANAK"/>
    <x v="0"/>
    <s v="BANJARMASIN"/>
    <n v="27"/>
    <n v="2"/>
    <n v="2009"/>
    <n v="15"/>
    <x v="2"/>
    <x v="0"/>
    <x v="2"/>
    <x v="3"/>
    <s v="BELUM/TIDAK BEKERJA"/>
    <x v="1"/>
    <s v="PENDUDUK TETAP"/>
    <s v="JL. PEKAPURAN RAYA"/>
    <s v="JL. PEKAPURAN RAYA"/>
    <m/>
  </r>
  <r>
    <s v="RT 08"/>
    <s v="RW 01"/>
    <s v="6371020601080151"/>
    <s v="6371020607720003"/>
    <s v="ELDI SYARIWANTO"/>
    <s v="KEPALA KELUARGA"/>
    <x v="0"/>
    <s v="TARUSAN"/>
    <n v="6"/>
    <n v="7"/>
    <n v="1972"/>
    <n v="52"/>
    <x v="0"/>
    <x v="0"/>
    <x v="4"/>
    <x v="12"/>
    <s v="BURUH TANI/PERKEBUNAN"/>
    <x v="6"/>
    <s v="PENDUDUK TETAP"/>
    <s v="JL. PEK. RAYA GG. RATU RIANG NO. 50"/>
    <s v="JL. PEK. RAYA GG. RATU RIANG NO. 50"/>
    <m/>
  </r>
  <r>
    <s v="RT 08"/>
    <s v="RW 01"/>
    <s v="6371020601080151"/>
    <s v="6371025502740005"/>
    <s v="INTAN SARI"/>
    <s v="ISTRI"/>
    <x v="1"/>
    <s v="BANJARMASIN"/>
    <n v="15"/>
    <n v="2"/>
    <n v="1974"/>
    <n v="50"/>
    <x v="0"/>
    <x v="0"/>
    <x v="4"/>
    <x v="13"/>
    <s v="TAMAT SD/SEDERAJAT"/>
    <x v="6"/>
    <s v="PENDUDUK TETAP"/>
    <s v="JL. PEK. RAYA GG. RATU RIANG NO. 50"/>
    <s v="JL. PEK. RAYA GG. RATU RIANG NO. 50"/>
    <m/>
  </r>
  <r>
    <s v="RT 08"/>
    <s v="RW 01"/>
    <s v="6371020601080151"/>
    <s v="6371025301950005"/>
    <s v="MARTI HARYANA PUTRI, SKM"/>
    <s v="ANAK"/>
    <x v="1"/>
    <s v="MARABAHAN"/>
    <n v="13"/>
    <n v="1"/>
    <n v="1995"/>
    <n v="29"/>
    <x v="9"/>
    <x v="0"/>
    <x v="6"/>
    <x v="3"/>
    <s v="BELUM/TIDAK BEKERJA"/>
    <x v="1"/>
    <s v="PENDUDUK TETAP"/>
    <s v="JL. PEK. RAYA GG. RATU RIANG NO. 50"/>
    <s v="JL. PEK. RAYA GG. RATU RIANG NO. 50"/>
    <m/>
  </r>
  <r>
    <s v="RT 08"/>
    <s v="RW 01"/>
    <s v="6371022804100009"/>
    <s v="6371030707780015"/>
    <s v="YAMANI"/>
    <s v="KEPALA KELUARGA"/>
    <x v="0"/>
    <s v="BANJARMASIN"/>
    <n v="7"/>
    <n v="7"/>
    <n v="1978"/>
    <n v="46"/>
    <x v="8"/>
    <x v="0"/>
    <x v="0"/>
    <x v="0"/>
    <s v="WIRASWASTA"/>
    <x v="0"/>
    <s v="PENDUDUK TETAP"/>
    <s v="JL. PEKAPURAN RAYA GG. RATU RIANG"/>
    <s v="JL. PEKAPURAN RAYA GG. RATU RIANG"/>
    <m/>
  </r>
  <r>
    <s v="RT 08"/>
    <s v="RW 01"/>
    <s v="6371022804100009"/>
    <s v="6371025603850008"/>
    <s v="ANITA SUBUH"/>
    <s v="ISTRI"/>
    <x v="1"/>
    <s v="BANJARMASIN"/>
    <n v="16"/>
    <n v="3"/>
    <n v="1985"/>
    <n v="39"/>
    <x v="5"/>
    <x v="0"/>
    <x v="0"/>
    <x v="0"/>
    <s v="WIRASWASTA"/>
    <x v="0"/>
    <s v="PENDUDUK TETAP"/>
    <s v="JL. PEKAPURAN RAYA GG. RATU RIANG"/>
    <s v="JL. PEKAPURAN RAYA GG. RATU RIANG"/>
    <m/>
  </r>
  <r>
    <s v="RT 08"/>
    <s v="RW 01"/>
    <s v="6371022804100009"/>
    <s v="6371026704080005"/>
    <s v="AMALIA"/>
    <s v="ANAK"/>
    <x v="1"/>
    <s v="BANJARMASIN"/>
    <n v="27"/>
    <n v="4"/>
    <n v="2008"/>
    <n v="16"/>
    <x v="2"/>
    <x v="0"/>
    <x v="3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1511110001"/>
    <s v="RIZKY BAIHAQI"/>
    <s v="ANAK"/>
    <x v="0"/>
    <s v="BANJARMASIN"/>
    <n v="15"/>
    <n v="11"/>
    <n v="2011"/>
    <n v="13"/>
    <x v="3"/>
    <x v="0"/>
    <x v="1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5308150001"/>
    <s v="HANA RAFIKA"/>
    <s v="ANAK"/>
    <x v="1"/>
    <s v="BANJARMASIN"/>
    <n v="13"/>
    <n v="8"/>
    <n v="2015"/>
    <n v="9"/>
    <x v="4"/>
    <x v="0"/>
    <x v="1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6509220001"/>
    <s v="RAUDATUL ISHLAH"/>
    <s v="ANAK"/>
    <x v="1"/>
    <s v="BANJARMASIN"/>
    <n v="25"/>
    <n v="9"/>
    <n v="2022"/>
    <n v="2"/>
    <x v="1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1804180011"/>
    <s v="6371010109900015"/>
    <s v="ROFIK"/>
    <s v="KEPALA KELUARGA"/>
    <x v="0"/>
    <s v="BANGKALAN"/>
    <n v="18"/>
    <n v="8"/>
    <n v="1992"/>
    <n v="32"/>
    <x v="6"/>
    <x v="0"/>
    <x v="1"/>
    <x v="4"/>
    <s v="PEDAGANG"/>
    <x v="0"/>
    <s v="PENDUDUK TETAP"/>
    <s v="JL. PEK. RAYA GG. RATU RIANG"/>
    <s v="JL. PEK. RAYA GG. RATU RIANG"/>
    <m/>
  </r>
  <r>
    <s v="RT 08"/>
    <s v="RW 01"/>
    <s v="6371021804180011"/>
    <s v="6371027001000008"/>
    <s v="NORHIDAYAH"/>
    <s v="ISTRI"/>
    <x v="1"/>
    <s v="BANJARMASIN"/>
    <n v="30"/>
    <n v="1"/>
    <n v="2000"/>
    <n v="24"/>
    <x v="11"/>
    <x v="0"/>
    <x v="0"/>
    <x v="1"/>
    <s v="MENGURUS RUMAH TANGGA"/>
    <x v="0"/>
    <s v="PENDUDUK TETAP"/>
    <s v="JL. PEK. RAYA GG. RATU RIANG"/>
    <s v="JL. PEK. RAYA GG. RATU RIANG"/>
    <m/>
  </r>
  <r>
    <s v="RT 08"/>
    <s v="RW 01"/>
    <s v="6371021804180011"/>
    <s v="3526170610160001"/>
    <s v="MOHAMMAD DAFFA AL FATIH"/>
    <s v="ANAK"/>
    <x v="0"/>
    <s v="BANGKALAN"/>
    <m/>
    <m/>
    <n v="2016"/>
    <n v="8"/>
    <x v="4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1804180011"/>
    <s v="6371023101200002"/>
    <s v="ABDURROHMAN"/>
    <s v="ANAK"/>
    <x v="0"/>
    <s v="BANJARMASIN"/>
    <n v="31"/>
    <n v="1"/>
    <n v="2020"/>
    <n v="4"/>
    <x v="14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0501080549"/>
    <s v="6371026012490004"/>
    <s v="MASNIAH"/>
    <s v="KEPALA KELUARGA"/>
    <x v="1"/>
    <s v="BANJARMASIN"/>
    <n v="20"/>
    <n v="12"/>
    <n v="1949"/>
    <n v="75"/>
    <x v="15"/>
    <x v="0"/>
    <x v="1"/>
    <x v="1"/>
    <s v="MENGURUS RUMAH TANGGA"/>
    <x v="4"/>
    <s v="PENDUDUK TETAP"/>
    <s v="JL. PEKAPURAN RAYA"/>
    <s v="JL. PEKAPURAN RAYA"/>
    <m/>
  </r>
  <r>
    <s v="RT 08"/>
    <s v="RW 01"/>
    <s v="6371020501080549"/>
    <s v="6371020712740004"/>
    <s v="WAHYU"/>
    <s v="ISTRI"/>
    <x v="0"/>
    <s v="BANJARMASIN"/>
    <n v="7"/>
    <n v="12"/>
    <n v="1974"/>
    <n v="50"/>
    <x v="0"/>
    <x v="0"/>
    <x v="0"/>
    <x v="9"/>
    <s v="BURUH HARIAN LEPAS"/>
    <x v="1"/>
    <s v="PENDUDUK TETAP"/>
    <s v="JL. PEKAPURAN RAYA"/>
    <s v="JL. PEKAPURAN RAYA"/>
    <m/>
  </r>
  <r>
    <s v="RT 08"/>
    <s v="RW 01"/>
    <s v="6371020501080549"/>
    <s v="6371020410840007"/>
    <s v="M. RIFANI"/>
    <s v="ANAK"/>
    <x v="0"/>
    <s v="BANJARMASIN"/>
    <n v="4"/>
    <n v="10"/>
    <n v="1984"/>
    <n v="40"/>
    <x v="1"/>
    <x v="0"/>
    <x v="0"/>
    <x v="9"/>
    <s v="BURUH HARIAN LEPAS"/>
    <x v="1"/>
    <s v="PENDUDUK TETAP"/>
    <s v="JL. PEKAPURAN RAYA"/>
    <s v="JL. PEKAPURAN RAYA"/>
    <m/>
  </r>
  <r>
    <s v="RT 08"/>
    <s v="RW 01"/>
    <s v="6371020301090006"/>
    <s v="6371020405670007"/>
    <s v="SALEH, S.PD"/>
    <s v="KEPALA KELUARGA"/>
    <x v="0"/>
    <s v="HULU SUNGAI TENGAH"/>
    <n v="4"/>
    <n v="5"/>
    <n v="1967"/>
    <n v="57"/>
    <x v="7"/>
    <x v="0"/>
    <x v="6"/>
    <x v="6"/>
    <s v="PEGAWAI NEGERI SIPIL (PNS)"/>
    <x v="2"/>
    <s v="PENDUDUK TETAP"/>
    <s v="JL. PEKAPURAN RAYA GG ASRI NO 60"/>
    <s v="JL. PEKAPURAN RAYA GG ASRI NO 60"/>
    <m/>
  </r>
  <r>
    <s v="RT 08"/>
    <s v="RW 01"/>
    <s v="6371020301090006"/>
    <s v="6371024109750013"/>
    <s v="GT MAHRINA"/>
    <s v="ISTRI"/>
    <x v="1"/>
    <s v="BAMBANGIN"/>
    <n v="1"/>
    <n v="9"/>
    <n v="1975"/>
    <n v="49"/>
    <x v="8"/>
    <x v="0"/>
    <x v="0"/>
    <x v="1"/>
    <s v="MENGURUS RUMAH TANGGA"/>
    <x v="2"/>
    <s v="PENDUDUK TETAP"/>
    <s v="JL. PEKAPURAN RAYA GG ASRI NO 60"/>
    <s v="JL. PEKAPURAN RAYA GG ASRI NO 60"/>
    <m/>
  </r>
  <r>
    <s v="RT 08"/>
    <s v="RW 01"/>
    <s v="6371020301090006"/>
    <s v="6371024602950012"/>
    <s v="RUSSIANA RAMPIANI, S.PD"/>
    <s v="ANAK"/>
    <x v="1"/>
    <s v="BANJARMASIN"/>
    <n v="6"/>
    <n v="2"/>
    <n v="1995"/>
    <n v="29"/>
    <x v="9"/>
    <x v="0"/>
    <x v="6"/>
    <x v="11"/>
    <s v="KARYAWAN HONORER"/>
    <x v="1"/>
    <s v="PENDUDUK TETAP"/>
    <s v="JL. PEKAPURAN RAYA GG ASRI NO 60"/>
    <s v="JL. PEKAPURAN RAYA GG ASRI NO 60"/>
    <m/>
  </r>
  <r>
    <s v="RT 08"/>
    <s v="RW 01"/>
    <s v="6371020301090006"/>
    <s v="6371026309000006"/>
    <s v="RIDHA ULLAH"/>
    <s v="ANAK"/>
    <x v="1"/>
    <s v="BANJARMASIN"/>
    <n v="23"/>
    <n v="9"/>
    <n v="2000"/>
    <n v="24"/>
    <x v="11"/>
    <x v="0"/>
    <x v="0"/>
    <x v="2"/>
    <s v="PELAJAR/MAHASISWA"/>
    <x v="1"/>
    <s v="PENDUDUK TETAP"/>
    <s v="JL. PEKAPURAN RAYA GG ASRI NO 60"/>
    <s v="JL. PEKAPURAN RAYA GG ASRI NO 60"/>
    <m/>
  </r>
  <r>
    <s v="RT 08"/>
    <s v="RW 01"/>
    <s v="6371020301090006"/>
    <s v="6371026112060003"/>
    <s v="RAHADATUL AISI"/>
    <s v="ANAK"/>
    <x v="1"/>
    <s v="BANJARMASIN"/>
    <n v="21"/>
    <n v="12"/>
    <n v="2006"/>
    <n v="18"/>
    <x v="2"/>
    <x v="0"/>
    <x v="1"/>
    <x v="2"/>
    <s v="PELAJAR/MAHASISWA"/>
    <x v="1"/>
    <s v="PENDUDUK TETAP"/>
    <s v="JL. PEKAPURAN RAYA GG ASRI NO 60"/>
    <s v="JL. PEKAPURAN RAYA GG ASRI NO 60"/>
    <m/>
  </r>
  <r>
    <s v="RT 08"/>
    <s v="RW 01"/>
    <s v="6371020301080108"/>
    <s v="6371023112610025"/>
    <s v="MURNI, H"/>
    <s v="KEPALA KELUARGA"/>
    <x v="0"/>
    <s v="ALABIO"/>
    <n v="31"/>
    <n v="12"/>
    <n v="1961"/>
    <n v="63"/>
    <x v="10"/>
    <x v="0"/>
    <x v="3"/>
    <x v="4"/>
    <s v="PEDAGANG"/>
    <x v="0"/>
    <s v="PENDUDUK TETAP"/>
    <s v="PEKAPURAN RAYA"/>
    <s v="PEKAPURAN RAYA"/>
    <m/>
  </r>
  <r>
    <s v="RT 08"/>
    <s v="RW 01"/>
    <s v="6371020301080108"/>
    <s v="6371026001630002"/>
    <s v="JAMIATUL ISLAMIYAH, 'HJ"/>
    <s v="ISTRI"/>
    <x v="1"/>
    <s v="BANJARMASIN"/>
    <n v="20"/>
    <n v="7"/>
    <n v="1963"/>
    <n v="61"/>
    <x v="10"/>
    <x v="0"/>
    <x v="3"/>
    <x v="1"/>
    <s v="MENGURUS RUMAH TANGGA"/>
    <x v="0"/>
    <s v="PENDUDUK TETAP"/>
    <s v="PEKAPURAN RAYA"/>
    <s v="PEKAPURAN RAYA"/>
    <m/>
  </r>
  <r>
    <s v="RT 08"/>
    <s v="RW 01"/>
    <s v="6371020104140015"/>
    <s v="6371021901680006"/>
    <s v="SUHENDRO"/>
    <s v="KEPALA KELUARGA"/>
    <x v="0"/>
    <s v="BANDUNG"/>
    <n v="19"/>
    <n v="1"/>
    <n v="1968"/>
    <n v="56"/>
    <x v="7"/>
    <x v="0"/>
    <x v="6"/>
    <x v="4"/>
    <s v="PEDAGANG"/>
    <x v="2"/>
    <s v="PENDUDUK TETAP"/>
    <s v="JL. PEKAPURAN RAYA NO.14"/>
    <s v="JL. PEKAPURAN RAYA NO.14"/>
    <m/>
  </r>
  <r>
    <s v="RT 08"/>
    <s v="RW 01"/>
    <s v="6371020104140015"/>
    <s v="6371024708740009"/>
    <s v="SITI LATIFAH"/>
    <s v="ISTRI"/>
    <x v="1"/>
    <s v="BANJARMASIN"/>
    <n v="7"/>
    <n v="8"/>
    <n v="1974"/>
    <n v="50"/>
    <x v="0"/>
    <x v="0"/>
    <x v="4"/>
    <x v="1"/>
    <s v="MENGURUS RUMAH TANGGA"/>
    <x v="2"/>
    <s v="PENDUDUK TETAP"/>
    <s v="JL. PEKAPURAN RAYA NO.14"/>
    <s v="JL. PEKAPURAN RAYA NO.14"/>
    <m/>
  </r>
  <r>
    <s v="RT 08"/>
    <s v="RW 01"/>
    <s v="6371020104140015"/>
    <s v="6371024209010009"/>
    <s v="NURLY ARIBAH SYAHLA HENDASTI"/>
    <s v="ANAK"/>
    <x v="1"/>
    <s v="JAKARTA"/>
    <n v="2"/>
    <n v="9"/>
    <n v="2001"/>
    <n v="23"/>
    <x v="11"/>
    <x v="0"/>
    <x v="3"/>
    <x v="2"/>
    <s v="PELAJAR/MAHASISWA"/>
    <x v="1"/>
    <s v="PENDUDUK TETAP"/>
    <s v="JL. PEKAPURAN RAYA NO.14"/>
    <s v="JL. PEKAPURAN RAYA NO.14"/>
    <m/>
  </r>
  <r>
    <s v="RT 08"/>
    <s v="RW 01"/>
    <s v="6371020501080851"/>
    <s v="6371020207740005"/>
    <s v="MANSYAH"/>
    <s v="KEPALA KELUARGA"/>
    <x v="0"/>
    <s v="BANJARMASIN"/>
    <n v="2"/>
    <n v="7"/>
    <n v="1974"/>
    <n v="50"/>
    <x v="0"/>
    <x v="0"/>
    <x v="4"/>
    <x v="9"/>
    <s v="BURUH HARIAN LEPAS"/>
    <x v="2"/>
    <s v="PENDUDUK TETAP"/>
    <s v="JL. PEKAPURAN RAYA"/>
    <s v="JL. PEKAPURAN RAYA"/>
    <m/>
  </r>
  <r>
    <s v="RT 08"/>
    <s v="RW 01"/>
    <s v="6371020501080851"/>
    <s v="6371024701820005"/>
    <s v="RUSMINI"/>
    <s v="ISTRI"/>
    <x v="1"/>
    <s v="BANJARMASIN"/>
    <n v="7"/>
    <n v="1"/>
    <n v="1982"/>
    <n v="42"/>
    <x v="1"/>
    <x v="0"/>
    <x v="3"/>
    <x v="1"/>
    <s v="MENGURUS RUMAH TANGGA"/>
    <x v="2"/>
    <s v="PENDUDUK TETAP"/>
    <s v="JL. PEKAPURAN RAYA"/>
    <s v="JL. PEKAPURAN RAYA"/>
    <m/>
  </r>
  <r>
    <s v="RT 08"/>
    <s v="RW 01"/>
    <s v="6371020501080851"/>
    <s v="6371024702030003"/>
    <s v="JANNAH"/>
    <s v="ANAK"/>
    <x v="1"/>
    <s v="BANJARMASIN"/>
    <n v="7"/>
    <n v="1"/>
    <n v="2003"/>
    <n v="21"/>
    <x v="11"/>
    <x v="0"/>
    <x v="1"/>
    <x v="3"/>
    <s v="BELUM/TIDAK BEKERJA"/>
    <x v="1"/>
    <s v="PENDUDUK TETAP"/>
    <s v="JL. PEKAPURAN RAYA"/>
    <s v="JL. PEKAPURAN RAYA"/>
    <m/>
  </r>
  <r>
    <s v="RT 08"/>
    <s v="RW 01"/>
    <s v="6371020501080851"/>
    <s v="6371022509100002"/>
    <s v="NAUFAL"/>
    <s v="ANAK"/>
    <x v="0"/>
    <s v="BANJARMASIN"/>
    <n v="25"/>
    <n v="9"/>
    <n v="2010"/>
    <n v="14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0501080851"/>
    <s v="6371021601150003"/>
    <s v="FAHREZA"/>
    <s v="ANAK"/>
    <x v="0"/>
    <s v="BANJARMASIN"/>
    <n v="16"/>
    <n v="1"/>
    <n v="2015"/>
    <n v="9"/>
    <x v="4"/>
    <x v="0"/>
    <x v="2"/>
    <x v="3"/>
    <s v="BELUM/TIDAK BEKERJA"/>
    <x v="1"/>
    <s v="PENDUDUK TETAP"/>
    <s v="JL. PEKAPURAN RAYA"/>
    <s v="JL. PEKAPURAN RAYA"/>
    <m/>
  </r>
  <r>
    <s v="RT 08"/>
    <s v="RW 01"/>
    <s v="6371020501080851"/>
    <s v="6371026002390001"/>
    <s v="RUKAYAH"/>
    <s v="FAMILI LAIN"/>
    <x v="1"/>
    <s v="BANJARMASIN"/>
    <n v="20"/>
    <n v="2"/>
    <n v="1939"/>
    <n v="85"/>
    <x v="15"/>
    <x v="0"/>
    <x v="3"/>
    <x v="3"/>
    <s v="BELUM/TIDAK BEKERJA"/>
    <x v="4"/>
    <s v="PENDUDUK TETAP"/>
    <s v="JL. PEKAPURAN RAYA"/>
    <s v="JL. PEKAPURAN RAYA"/>
    <m/>
  </r>
  <r>
    <s v="RT 08"/>
    <s v="RW 01"/>
    <s v="6371020501080851"/>
    <s v="6371024804140001"/>
    <s v="SAPIAH"/>
    <s v="FAMILI LAIN"/>
    <x v="1"/>
    <s v="BANJARMASIN"/>
    <n v="8"/>
    <n v="4"/>
    <n v="1914"/>
    <n v="110"/>
    <x v="15"/>
    <x v="0"/>
    <x v="3"/>
    <x v="3"/>
    <s v="BELUM/TIDAK BEKERJA"/>
    <x v="4"/>
    <s v="PENDUDUK TETAP"/>
    <s v="JL. PEKAPURAN RAYA"/>
    <s v="JL. PEKAPURAN RAYA"/>
    <m/>
  </r>
  <r>
    <s v="RT 08"/>
    <s v="RW 01"/>
    <s v="6371020301080544"/>
    <s v="6371022803650005"/>
    <s v="MUSLIM"/>
    <s v="KEPALA KELUARGA"/>
    <x v="0"/>
    <s v="BARABAI"/>
    <n v="28"/>
    <n v="3"/>
    <n v="1965"/>
    <n v="59"/>
    <x v="7"/>
    <x v="0"/>
    <x v="5"/>
    <x v="0"/>
    <s v="WIRASWASTA"/>
    <x v="2"/>
    <s v="PENDUDUK TETAP"/>
    <s v="JL. PEKAPURAN RAYA NO.24 A"/>
    <s v="JL. PEKAPURAN RAYA NO.24 A"/>
    <m/>
  </r>
  <r>
    <s v="RT 08"/>
    <s v="RW 01"/>
    <s v="6371020301080544"/>
    <s v="6371025704710005"/>
    <s v="RAHMIYATI"/>
    <s v="ISTRI"/>
    <x v="1"/>
    <s v="BANJARMASIN"/>
    <n v="17"/>
    <n v="4"/>
    <n v="1971"/>
    <n v="53"/>
    <x v="0"/>
    <x v="0"/>
    <x v="0"/>
    <x v="0"/>
    <s v="WIRASWASTA"/>
    <x v="2"/>
    <s v="PENDUDUK TETAP"/>
    <s v="JL. PEKAPURAN RAYA NO.24 A"/>
    <s v="JL. PEKAPURAN RAYA NO.24 A"/>
    <m/>
  </r>
  <r>
    <s v="RT 08"/>
    <s v="RW 01"/>
    <s v="6371020301080544"/>
    <s v="6371026107990008"/>
    <s v="RIZKY AMALIA"/>
    <s v="ANAK"/>
    <x v="1"/>
    <s v="BANJARMASIN"/>
    <n v="21"/>
    <n v="7"/>
    <n v="1999"/>
    <n v="25"/>
    <x v="9"/>
    <x v="0"/>
    <x v="0"/>
    <x v="2"/>
    <s v="PELAJAR/MAHASISWA"/>
    <x v="1"/>
    <s v="PENDUDUK TETAP"/>
    <s v="JL. PEKAPURAN RAYA NO.24 A"/>
    <s v="JL. PEKAPURAN RAYA NO.24 A"/>
    <m/>
  </r>
  <r>
    <s v="RT 08"/>
    <s v="RW 01"/>
    <s v="6371020301080544"/>
    <s v="6371021803070002"/>
    <s v="IROYAD ANSARI"/>
    <s v="ANAK"/>
    <x v="0"/>
    <s v="BANJARMASIN"/>
    <n v="18"/>
    <n v="3"/>
    <n v="2007"/>
    <n v="17"/>
    <x v="2"/>
    <x v="0"/>
    <x v="2"/>
    <x v="3"/>
    <s v="BELUM/TIDAK BEKERJA"/>
    <x v="1"/>
    <s v="PENDUDUK TETAP"/>
    <s v="JL. PEKAPURAN RAYA NO.24 A"/>
    <s v="JL. PEKAPURAN RAYA NO.24 A"/>
    <m/>
  </r>
  <r>
    <s v="RT 08"/>
    <s v="RW 01"/>
    <s v="6371022806110005"/>
    <s v="6371021911850002"/>
    <s v="ROBY CAHYADI"/>
    <s v="KEPALA KELUARGA"/>
    <x v="0"/>
    <s v="BANJARMASIN"/>
    <n v="19"/>
    <n v="11"/>
    <n v="1985"/>
    <n v="39"/>
    <x v="5"/>
    <x v="0"/>
    <x v="4"/>
    <x v="0"/>
    <s v="WIRASWASTA"/>
    <x v="0"/>
    <s v="PENDUDUK TETAP"/>
    <s v="JL. PEKAPURAN RAYA"/>
    <s v="JL. PEKAPURAN RAYA"/>
    <m/>
  </r>
  <r>
    <s v="RT 08"/>
    <s v="RW 01"/>
    <s v="6371022806110005"/>
    <s v="6371025210870011"/>
    <s v="NURUL HUDA"/>
    <s v="ISTRI"/>
    <x v="1"/>
    <s v="BANJARMASIN"/>
    <n v="12"/>
    <n v="10"/>
    <n v="1987"/>
    <n v="37"/>
    <x v="5"/>
    <x v="0"/>
    <x v="0"/>
    <x v="1"/>
    <s v="MENGURUS RUMAH TANGGA"/>
    <x v="0"/>
    <s v="PENDUDUK TETAP"/>
    <s v="JL. PEKAPURAN RAYA"/>
    <s v="JL. PEKAPURAN RAYA"/>
    <m/>
  </r>
  <r>
    <s v="RT 08"/>
    <s v="RW 01"/>
    <s v="6371022806110005"/>
    <s v="6371026801080004"/>
    <s v="NAZWA"/>
    <s v="ANAK"/>
    <x v="1"/>
    <s v="BANJARMASIN"/>
    <n v="28"/>
    <n v="1"/>
    <n v="2008"/>
    <n v="16"/>
    <x v="2"/>
    <x v="0"/>
    <x v="1"/>
    <x v="2"/>
    <s v="PELAJAR/MAHASISWA"/>
    <x v="1"/>
    <s v="PENDUDUK TETAP"/>
    <s v="JL. PEKAPURAN RAYA"/>
    <s v="JL. PEKAPURAN RAYA"/>
    <m/>
  </r>
  <r>
    <s v="RT 08"/>
    <s v="RW 01"/>
    <s v="6371022806110005"/>
    <s v="6371026506120002"/>
    <s v="NADIA SALSABILA"/>
    <s v="ANAK"/>
    <x v="1"/>
    <s v="BANJARMASIN"/>
    <n v="25"/>
    <n v="6"/>
    <n v="2012"/>
    <n v="12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2806110005"/>
    <s v="6371026011130003"/>
    <s v="PUTRI ZAFIRA"/>
    <s v="ANAK"/>
    <x v="1"/>
    <s v="BANJARMASIN"/>
    <n v="20"/>
    <n v="11"/>
    <n v="2013"/>
    <n v="11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2806110005"/>
    <s v="6371020703190001"/>
    <s v="MUHAMMAD ALI RASYID AZHARI"/>
    <s v="ANAK"/>
    <x v="0"/>
    <s v="BANJARMASIN"/>
    <n v="7"/>
    <n v="3"/>
    <n v="2019"/>
    <n v="5"/>
    <x v="4"/>
    <x v="0"/>
    <x v="2"/>
    <x v="3"/>
    <s v="BELUM/TIDAK BEKERJA"/>
    <x v="1"/>
    <s v="PENDUDUK TETAP"/>
    <s v="JL. PEKAPURAN RAYA"/>
    <s v="JL. PEKAPURAN RAYA"/>
    <m/>
  </r>
  <r>
    <s v="RT 08"/>
    <s v="RW 01"/>
    <s v="6371020501080989"/>
    <s v="6371022612790001"/>
    <s v="RAHMADI"/>
    <s v="KEPALA KELUARGA"/>
    <x v="0"/>
    <s v="BANJARMASIN"/>
    <n v="26"/>
    <n v="12"/>
    <n v="1979"/>
    <n v="45"/>
    <x v="8"/>
    <x v="0"/>
    <x v="4"/>
    <x v="9"/>
    <s v="BURUH HARIAN LEPAS"/>
    <x v="0"/>
    <s v="PENDUDUK TETAP"/>
    <s v="JL. PEKAPURAN RAYA"/>
    <s v="JL. PEKAPURAN RAYA"/>
    <m/>
  </r>
  <r>
    <s v="RT 08"/>
    <s v="RW 01"/>
    <s v="6371020501080989"/>
    <s v="6371024308780005"/>
    <s v="SITI ZUBAIDAH"/>
    <s v="ISTRI"/>
    <x v="1"/>
    <s v="BANJARMASIN"/>
    <n v="3"/>
    <n v="8"/>
    <n v="1978"/>
    <n v="46"/>
    <x v="8"/>
    <x v="0"/>
    <x v="4"/>
    <x v="1"/>
    <s v="MENGURUS RUMAH TANGGA"/>
    <x v="0"/>
    <s v="PENDUDUK TETAP"/>
    <s v="JL. PEKAPURAN RAYA"/>
    <s v="JL. PEKAPURAN RAYA"/>
    <m/>
  </r>
  <r>
    <s v="RT 08"/>
    <s v="RW 01"/>
    <s v="6371020501080989"/>
    <s v="6371023103050002"/>
    <s v="MUHAMMAD KHOIRY"/>
    <s v="ANAK"/>
    <x v="0"/>
    <s v="BANJARMASIN"/>
    <n v="31"/>
    <n v="3"/>
    <n v="2005"/>
    <n v="19"/>
    <x v="2"/>
    <x v="0"/>
    <x v="0"/>
    <x v="2"/>
    <s v="PELAJAR/MAHASISWA"/>
    <x v="1"/>
    <s v="PENDUDUK TETAP"/>
    <s v="JL. PEKAPURAN RAYA"/>
    <s v="JL. PEKAPURAN RAYA"/>
    <m/>
  </r>
  <r>
    <s v="RT 08"/>
    <s v="RW 01"/>
    <s v="6371020501080989"/>
    <s v="6371026809070002"/>
    <s v="NUR AZIZAH"/>
    <s v="ANAK"/>
    <x v="1"/>
    <s v="BANJARMASIN"/>
    <n v="28"/>
    <n v="9"/>
    <n v="2007"/>
    <n v="17"/>
    <x v="2"/>
    <x v="0"/>
    <x v="2"/>
    <x v="3"/>
    <s v="BELUM/TIDAK BEKERJA"/>
    <x v="1"/>
    <s v="PENDUDUK TETAP"/>
    <s v="JL. PEKAPURAN RAYA"/>
    <s v="JL. PEKAPURAN RAYA"/>
    <m/>
  </r>
  <r>
    <s v="RT 08"/>
    <s v="RW 01"/>
    <s v="6371020501080989"/>
    <s v="6371025203140002"/>
    <s v="LAYLI BARIROH"/>
    <s v="ANAK"/>
    <x v="1"/>
    <s v="BANJARMASIN"/>
    <n v="12"/>
    <n v="3"/>
    <n v="2014"/>
    <n v="10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0501080989"/>
    <s v="6371024810150002"/>
    <s v="NOOR 'AISYAH"/>
    <s v="ANAK"/>
    <x v="1"/>
    <s v="BANJARMASIN"/>
    <n v="8"/>
    <n v="10"/>
    <n v="2015"/>
    <n v="9"/>
    <x v="4"/>
    <x v="0"/>
    <x v="2"/>
    <x v="3"/>
    <s v="BELUM/TIDAK BEKERJA"/>
    <x v="1"/>
    <s v="PENDUDUK TETAP"/>
    <s v="JL. PEKAPURAN RAYA"/>
    <s v="JL. PEKAPURAN RAYA"/>
    <m/>
  </r>
  <r>
    <s v="RT 08"/>
    <s v="RW 01"/>
    <s v="6371023008080001"/>
    <s v="6371021205820008"/>
    <s v="HASAN BASRI, H"/>
    <s v="KEPALA KELUARGA"/>
    <x v="0"/>
    <s v="BANJARMASIN"/>
    <n v="12"/>
    <n v="5"/>
    <n v="1982"/>
    <n v="42"/>
    <x v="1"/>
    <x v="0"/>
    <x v="3"/>
    <x v="0"/>
    <s v="WIRASWASTA"/>
    <x v="2"/>
    <s v="PENDUDUK TETAP"/>
    <s v="JL. PEKAPURAN RAYA"/>
    <s v="JL. PEKAPURAN RAYA"/>
    <m/>
  </r>
  <r>
    <s v="RT 08"/>
    <s v="RW 01"/>
    <s v="6371023008080001"/>
    <s v="6371025007830016"/>
    <s v="HASANAH, HJ"/>
    <s v="ISTRI"/>
    <x v="1"/>
    <s v="BANJARMASIN"/>
    <n v="10"/>
    <n v="7"/>
    <n v="1983"/>
    <n v="41"/>
    <x v="1"/>
    <x v="0"/>
    <x v="3"/>
    <x v="1"/>
    <s v="MENGURUS RUMAH TANGGA"/>
    <x v="2"/>
    <s v="PENDUDUK TETAP"/>
    <s v="JL. PEKAPURAN RAYA"/>
    <s v="JL. PEKAPURAN RAYA"/>
    <m/>
  </r>
  <r>
    <s v="RT 08"/>
    <s v="RW 01"/>
    <s v="6371023008080001"/>
    <s v="6371020201060002"/>
    <s v="AHMAD ROMI"/>
    <s v="ANAK"/>
    <x v="0"/>
    <s v="BANJARMASIN"/>
    <n v="2"/>
    <n v="1"/>
    <n v="2006"/>
    <n v="18"/>
    <x v="2"/>
    <x v="0"/>
    <x v="3"/>
    <x v="2"/>
    <s v="PELAJAR/MAHASISWA"/>
    <x v="1"/>
    <s v="PENDUDUK TETAP"/>
    <s v="JL. PEKAPURAN RAYA"/>
    <s v="JL. PEKAPURAN RAYA"/>
    <m/>
  </r>
  <r>
    <s v="RT 08"/>
    <s v="RW 01"/>
    <s v="6371023008080001"/>
    <s v="6371026402110001"/>
    <s v="NURLAILATUL HASANAH"/>
    <s v="ANAK"/>
    <x v="1"/>
    <s v="BANJARMASIN"/>
    <n v="24"/>
    <n v="2"/>
    <n v="2011"/>
    <n v="13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0903150007"/>
    <s v="6303031602780001"/>
    <s v="ZAINAL ABIDIN"/>
    <s v="KEPALA KELUARGA"/>
    <x v="0"/>
    <s v="LANDASAN ULIN"/>
    <n v="28"/>
    <n v="11"/>
    <n v="1978"/>
    <n v="46"/>
    <x v="8"/>
    <x v="0"/>
    <x v="4"/>
    <x v="0"/>
    <s v="WIRASWASTA"/>
    <x v="2"/>
    <s v="PENDUDUK TETAP"/>
    <s v="JL. PEKAPURAN RAYA NO. 06"/>
    <s v="JL. PEKAPURAN RAYA NO. 06"/>
    <m/>
  </r>
  <r>
    <s v="RT 08"/>
    <s v="RW 01"/>
    <s v="6371020903150007"/>
    <s v="6303036308730001"/>
    <s v="SITI AMINAH"/>
    <s v="ISTRI"/>
    <x v="1"/>
    <s v="BANJARMASIN"/>
    <n v="13"/>
    <n v="8"/>
    <n v="1973"/>
    <n v="51"/>
    <x v="0"/>
    <x v="0"/>
    <x v="0"/>
    <x v="14"/>
    <s v="GURU"/>
    <x v="2"/>
    <s v="PENDUDUK TETAP"/>
    <s v="JL. PEKAPURAN RAYA NO. 06"/>
    <s v="JL. PEKAPURAN RAYA NO. 06"/>
    <m/>
  </r>
  <r>
    <s v="RT 08"/>
    <s v="RW 01"/>
    <s v="6371020903150007"/>
    <s v="6303036503980001"/>
    <s v="AMALIA SANTI"/>
    <s v="ANAK"/>
    <x v="1"/>
    <s v="BANJARMASIN"/>
    <n v="25"/>
    <n v="3"/>
    <n v="1998"/>
    <n v="26"/>
    <x v="9"/>
    <x v="0"/>
    <x v="3"/>
    <x v="3"/>
    <s v="BELUM/TIDAK BEKERJA"/>
    <x v="1"/>
    <s v="PENDUDUK TETAP"/>
    <s v="JL. PEKAPURAN RAYA NO. 06"/>
    <s v="JL. PEKAPURAN RAYA NO. 06"/>
    <m/>
  </r>
  <r>
    <s v="RT 08"/>
    <s v="RW 01"/>
    <s v="6371020903150007"/>
    <s v="6303030407100002"/>
    <s v="SAHID ZAKIR MAULANA"/>
    <s v="ANAK"/>
    <x v="0"/>
    <s v="BANJARMASIN"/>
    <n v="4"/>
    <n v="4"/>
    <n v="2010"/>
    <n v="14"/>
    <x v="3"/>
    <x v="0"/>
    <x v="2"/>
    <x v="3"/>
    <s v="BELUM/TIDAK BEKERJA"/>
    <x v="1"/>
    <s v="PENDUDUK TETAP"/>
    <s v="JL. PEKAPURAN RAYA NO. 06"/>
    <s v="JL. PEKAPURAN RAYA NO. 06"/>
    <m/>
  </r>
  <r>
    <s v="RT 08"/>
    <s v="RW 01"/>
    <s v="6371022212080012"/>
    <s v="6371027112550058"/>
    <s v="NORHASANAH"/>
    <s v="KEPALA KELUARGA"/>
    <x v="1"/>
    <s v="BANJARMASIN"/>
    <n v="31"/>
    <n v="12"/>
    <n v="1955"/>
    <n v="69"/>
    <x v="13"/>
    <x v="0"/>
    <x v="3"/>
    <x v="1"/>
    <s v="MENGURUS RUMAH TANGGA"/>
    <x v="4"/>
    <s v="PENDUDUK TETAP"/>
    <s v="JL. PEKAPURAN RAYA GG. ASRI"/>
    <s v="JL. PEKAPURAN RAYA GG. ASRI"/>
    <m/>
  </r>
  <r>
    <s v="RT 08"/>
    <s v="RW 01"/>
    <s v="6371022212080012"/>
    <s v="6371021402780011"/>
    <s v="M. HUSAINI"/>
    <s v="ISTRI"/>
    <x v="0"/>
    <s v="BANJARMASIN"/>
    <n v="14"/>
    <n v="2"/>
    <n v="1978"/>
    <n v="46"/>
    <x v="8"/>
    <x v="0"/>
    <x v="0"/>
    <x v="0"/>
    <s v="WIRASWASTA"/>
    <x v="1"/>
    <s v="PENDUDUK TETAP"/>
    <s v="JL. PEKAPURAN RAYA GG. ASRI"/>
    <s v="JL. PEKAPURAN RAYA GG. ASRI"/>
    <m/>
  </r>
  <r>
    <s v="RT 08"/>
    <s v="RW 01"/>
    <s v="6371022212080012"/>
    <s v="6371022111800005"/>
    <s v="M. SYARIFUDIN"/>
    <s v="ANAK"/>
    <x v="0"/>
    <s v="BANJARMASIN"/>
    <n v="21"/>
    <n v="11"/>
    <n v="1980"/>
    <n v="44"/>
    <x v="1"/>
    <x v="0"/>
    <x v="0"/>
    <x v="0"/>
    <s v="WIRASWASTA"/>
    <x v="1"/>
    <s v="PENDUDUK TETAP"/>
    <s v="JL. PEKAPURAN RAYA GG. ASRI"/>
    <s v="JL. PEKAPURAN RAYA GG. ASRI"/>
    <m/>
  </r>
  <r>
    <s v="RT 08"/>
    <s v="RW 01"/>
    <s v="6371022212080012"/>
    <s v="6371020601870009"/>
    <s v="HENDRA GUNAWAN"/>
    <s v="ANAK"/>
    <x v="0"/>
    <s v="BANJARMASIN"/>
    <n v="6"/>
    <n v="1"/>
    <n v="1987"/>
    <n v="37"/>
    <x v="5"/>
    <x v="0"/>
    <x v="0"/>
    <x v="0"/>
    <s v="WIRASWASTA"/>
    <x v="1"/>
    <s v="PENDUDUK TETAP"/>
    <s v="JL. PEKAPURAN RAYA GG. ASRI"/>
    <s v="JL. PEKAPURAN RAYA GG. ASRI"/>
    <m/>
  </r>
  <r>
    <s v="RT 08"/>
    <s v="RW 01"/>
    <s v="6371020601080129"/>
    <s v="6371022202600002"/>
    <s v="JAMBERI"/>
    <s v="KEPALA KELUARGA"/>
    <x v="0"/>
    <s v="BANJARMASIN"/>
    <n v="22"/>
    <n v="2"/>
    <n v="1960"/>
    <n v="64"/>
    <x v="10"/>
    <x v="0"/>
    <x v="3"/>
    <x v="4"/>
    <s v="PEDAGANG"/>
    <x v="0"/>
    <s v="PENDUDUK TETAP"/>
    <s v="JL. PEKAPURAN RAYA GG. RATU RIANG NO. 4"/>
    <s v="JL. PEKAPURAN RAYA GG. RATU RIANG NO. 4"/>
    <m/>
  </r>
  <r>
    <s v="RT 08"/>
    <s v="RW 01"/>
    <s v="6371020601080129"/>
    <s v="6371026303690006"/>
    <s v="JUM'AH"/>
    <s v="ISTRI"/>
    <x v="1"/>
    <s v="BANJARMASIN"/>
    <n v="23"/>
    <n v="3"/>
    <n v="1969"/>
    <n v="55"/>
    <x v="7"/>
    <x v="0"/>
    <x v="3"/>
    <x v="1"/>
    <s v="MENGURUS RUMAH TANGGA"/>
    <x v="0"/>
    <s v="PENDUDUK TETAP"/>
    <s v="JL. PEKAPURAN RAYA GG. RATU RIANG NO. 4"/>
    <s v="JL. PEKAPURAN RAYA GG. RATU RIANG NO. 4"/>
    <m/>
  </r>
  <r>
    <s v="RT 08"/>
    <s v="RW 01"/>
    <s v="6371020601080129"/>
    <s v="6371020511970006"/>
    <s v="MISKAN"/>
    <s v="ANAK"/>
    <x v="0"/>
    <s v="BANJARMASIN"/>
    <n v="5"/>
    <n v="11"/>
    <n v="1997"/>
    <n v="27"/>
    <x v="9"/>
    <x v="0"/>
    <x v="1"/>
    <x v="3"/>
    <s v="BELUM/TIDAK BEKERJA"/>
    <x v="1"/>
    <s v="PENDUDUK TETAP"/>
    <s v="JL. PEKAPURAN RAYA GG. RATU RIANG NO. 4"/>
    <s v="JL. PEKAPURAN RAYA GG. RATU RIANG NO. 4"/>
    <m/>
  </r>
  <r>
    <s v="RT 08"/>
    <s v="RW 01"/>
    <s v="6371020501080478"/>
    <s v="6371023112590032"/>
    <s v="IBRAMSYAH"/>
    <s v="KEPALA KELUARGA"/>
    <x v="0"/>
    <s v="TAPIN"/>
    <n v="31"/>
    <n v="12"/>
    <n v="1959"/>
    <n v="65"/>
    <x v="13"/>
    <x v="0"/>
    <x v="3"/>
    <x v="0"/>
    <s v="WIRASWASTA"/>
    <x v="6"/>
    <s v="PENDUDUK TETAP"/>
    <s v="JL. PEKAPURAN RAYA"/>
    <s v="JL. PEKAPURAN RAYA"/>
    <m/>
  </r>
  <r>
    <s v="RT 08"/>
    <s v="RW 01"/>
    <s v="6371020501080478"/>
    <s v="6371025708740003"/>
    <s v="HENNY"/>
    <s v="ISTRI"/>
    <x v="1"/>
    <s v="JAKARTA"/>
    <n v="17"/>
    <n v="8"/>
    <n v="1974"/>
    <n v="50"/>
    <x v="0"/>
    <x v="0"/>
    <x v="3"/>
    <x v="1"/>
    <s v="MENGURUS RUMAH TANGGA"/>
    <x v="6"/>
    <s v="PENDUDUK TETAP"/>
    <s v="JL. PEKAPURAN RAYA"/>
    <s v="JL. PEKAPURAN RAYA"/>
    <m/>
  </r>
  <r>
    <s v="RT 08"/>
    <s v="RW 01"/>
    <s v="6371020501080478"/>
    <s v="6371027001000005"/>
    <s v="NUR HAMIDAH"/>
    <s v="ANAK"/>
    <x v="1"/>
    <s v="BANJARMASIN"/>
    <n v="30"/>
    <n v="1"/>
    <n v="2000"/>
    <n v="24"/>
    <x v="11"/>
    <x v="0"/>
    <x v="1"/>
    <x v="0"/>
    <s v="WIRASWASTA"/>
    <x v="1"/>
    <s v="PENDUDUK TETAP"/>
    <s v="JL. PEKAPURAN RAYA"/>
    <s v="JL. PEKAPURAN RAYA"/>
    <m/>
  </r>
  <r>
    <s v="RT 08"/>
    <s v="RW 01"/>
    <s v="6371020201080376"/>
    <s v="6371020308780005"/>
    <s v="AHMAD SYARIFANNOR"/>
    <s v="KEPALA KELUARGA"/>
    <x v="0"/>
    <s v="SUNGAI TABUKAN"/>
    <n v="3"/>
    <n v="8"/>
    <n v="1978"/>
    <n v="46"/>
    <x v="8"/>
    <x v="0"/>
    <x v="4"/>
    <x v="0"/>
    <s v="WIRASWASTA"/>
    <x v="0"/>
    <s v="PENDUDUK TETAP"/>
    <s v="JL. PEKAPURAN RAYA NO. 69"/>
    <s v="JL. PEKAPURAN RAYA NO. 69"/>
    <m/>
  </r>
  <r>
    <s v="RT 08"/>
    <s v="RW 01"/>
    <s v="6371020201080376"/>
    <s v="6371025812800003"/>
    <s v="FARIDAH"/>
    <s v="ISTRI"/>
    <x v="1"/>
    <s v="BANJARMASIN"/>
    <n v="18"/>
    <n v="12"/>
    <n v="1980"/>
    <n v="44"/>
    <x v="1"/>
    <x v="0"/>
    <x v="3"/>
    <x v="1"/>
    <s v="MENGURUS RUMAH TANGGA"/>
    <x v="0"/>
    <s v="PENDUDUK TETAP"/>
    <s v="JL. PEKAPURAN RAYA NO. 69"/>
    <s v="JL. PEKAPURAN RAYA NO. 69"/>
    <m/>
  </r>
  <r>
    <s v="RT 08"/>
    <s v="RW 01"/>
    <s v="6371020201080376"/>
    <s v="6371027107010005"/>
    <s v="NADIA AGUSTINA"/>
    <s v="ANAK"/>
    <x v="1"/>
    <s v="BANJARMASIN"/>
    <n v="31"/>
    <n v="7"/>
    <n v="2001"/>
    <n v="23"/>
    <x v="11"/>
    <x v="0"/>
    <x v="1"/>
    <x v="2"/>
    <s v="PELAJAR/MAHASISWA"/>
    <x v="1"/>
    <s v="PENDUDUK TETAP"/>
    <s v="JL. PEKAPURAN RAYA NO. 69"/>
    <s v="JL. PEKAPURAN RAYA NO. 69"/>
    <m/>
  </r>
  <r>
    <s v="RT 08"/>
    <s v="RW 01"/>
    <s v="6371020201080376"/>
    <s v="6371022306090002"/>
    <s v="AHMAD DAVIN"/>
    <s v="ANAK"/>
    <x v="0"/>
    <s v="BANJARMASIN"/>
    <n v="23"/>
    <n v="6"/>
    <n v="2009"/>
    <n v="15"/>
    <x v="2"/>
    <x v="0"/>
    <x v="2"/>
    <x v="3"/>
    <s v="BELUM/TIDAK BEKERJA"/>
    <x v="1"/>
    <s v="PENDUDUK TETAP"/>
    <s v="JL. PEKAPURAN RAYA NO. 69"/>
    <s v="JL. PEKAPURAN RAYA NO. 69"/>
    <m/>
  </r>
  <r>
    <s v="RT 08"/>
    <s v="RW 01"/>
    <s v="6371020201080376"/>
    <s v="6371026006580005"/>
    <s v="JAMALIAH"/>
    <s v="ANAK"/>
    <x v="1"/>
    <s v="BANJARMASIN"/>
    <n v="20"/>
    <n v="6"/>
    <n v="1958"/>
    <n v="66"/>
    <x v="13"/>
    <x v="0"/>
    <x v="3"/>
    <x v="3"/>
    <s v="BELUM/TIDAK BEKERJA"/>
    <x v="4"/>
    <s v="PENDUDUK TETAP"/>
    <s v="JL. PEKAPURAN RAYA NO. 69"/>
    <s v="JL. PEKAPURAN RAYA NO. 69"/>
    <m/>
  </r>
  <r>
    <s v="RT 08"/>
    <s v="RW 01"/>
    <s v="6371020301080360"/>
    <s v="6371026006660003"/>
    <s v="SRI WINARTI"/>
    <s v="KEPALA KELUARGA"/>
    <x v="1"/>
    <s v="BARABAI"/>
    <n v="20"/>
    <n v="6"/>
    <n v="1966"/>
    <n v="58"/>
    <x v="7"/>
    <x v="0"/>
    <x v="3"/>
    <x v="1"/>
    <s v="MENGURUS RUMAH TANGGA"/>
    <x v="4"/>
    <s v="PENDUDUK TETAP"/>
    <s v="JL. PEKAPURAN RAYA NO. 04"/>
    <s v="JL. PEKAPURAN RAYA NO. 04"/>
    <m/>
  </r>
  <r>
    <s v="RT 08"/>
    <s v="RW 01"/>
    <s v="6371020301080360"/>
    <s v="6371020505890014"/>
    <s v="TAUFIK RIDHANIANSYAH"/>
    <s v="ISTRI"/>
    <x v="0"/>
    <s v="BARABAI"/>
    <n v="5"/>
    <n v="5"/>
    <n v="1989"/>
    <n v="35"/>
    <x v="5"/>
    <x v="0"/>
    <x v="0"/>
    <x v="2"/>
    <s v="PELAJAR/MAHASISWA"/>
    <x v="1"/>
    <s v="PENDUDUK TETAP"/>
    <s v="JL. PEKAPURAN RAYA NO. 04"/>
    <s v="JL. PEKAPURAN RAYA NO. 04"/>
    <m/>
  </r>
  <r>
    <s v="RT 08"/>
    <s v="RW 01"/>
    <s v="6371020301080360"/>
    <s v="6371022411050004"/>
    <s v="MUHAMMAD FAUZI"/>
    <s v="ANAK"/>
    <x v="0"/>
    <s v="BARABAI"/>
    <n v="28"/>
    <n v="9"/>
    <n v="2005"/>
    <n v="19"/>
    <x v="2"/>
    <x v="0"/>
    <x v="0"/>
    <x v="3"/>
    <s v="BELUM/TIDAK BEKERJA"/>
    <x v="1"/>
    <s v="PENDUDUK TETAP"/>
    <s v="JL. PEKAPURAN RAYA NO. 04"/>
    <s v="JL. PEKAPURAN RAYA NO. 04"/>
    <m/>
  </r>
  <r>
    <s v="RT 08"/>
    <s v="RW 01"/>
    <s v="6371021709080026"/>
    <s v="6305021106710001"/>
    <s v="AHMAD RIDUAN"/>
    <s v="KEPALA KELUARGA"/>
    <x v="0"/>
    <s v="BANJARMASIN"/>
    <n v="11"/>
    <n v="6"/>
    <n v="1971"/>
    <n v="53"/>
    <x v="0"/>
    <x v="0"/>
    <x v="3"/>
    <x v="9"/>
    <s v="BURUH HARIAN LEPAS"/>
    <x v="6"/>
    <s v="PENDUDUK TETAP"/>
    <s v="JL. PEKAPURAN RAYA GG. RATU RIANG NO.26"/>
    <s v="JL. PEKAPURAN RAYA GG. RATU RIANG NO.26"/>
    <m/>
  </r>
  <r>
    <s v="RT 08"/>
    <s v="RW 01"/>
    <s v="6371021709080026"/>
    <s v="6371024107740208"/>
    <s v="AMINAH"/>
    <s v="ISTRI"/>
    <x v="1"/>
    <s v="BANJARMASIN"/>
    <n v="1"/>
    <n v="7"/>
    <n v="1974"/>
    <n v="50"/>
    <x v="0"/>
    <x v="0"/>
    <x v="3"/>
    <x v="1"/>
    <s v="MENGURUS RUMAH TANGGA"/>
    <x v="0"/>
    <s v="PENDUDUK TETAP"/>
    <s v="JL. PEKAPURAN RAYA GG. RATU RIANG NO.26"/>
    <s v="JL. PEKAPURAN RAYA GG. RATU RIANG NO.26"/>
    <m/>
  </r>
  <r>
    <s v="RT 08"/>
    <s v="RW 01"/>
    <s v="6371021709080026"/>
    <s v="6371021907210001"/>
    <s v="AHNAN ADHA"/>
    <s v="ANAK"/>
    <x v="0"/>
    <s v="BANJARMASIN"/>
    <n v="19"/>
    <n v="7"/>
    <n v="2021"/>
    <n v="3"/>
    <x v="14"/>
    <x v="0"/>
    <x v="2"/>
    <x v="3"/>
    <s v="BELUM/TIDAK BEKERJA"/>
    <x v="1"/>
    <s v="PENDUDUK TETAP"/>
    <s v="JL. PEKAPURAN RAYA GG. RATU RIANG NO.26"/>
    <s v="JL. PEKAPURAN RAYA GG. RATU RIANG NO.26"/>
    <m/>
  </r>
  <r>
    <s v="RT 08"/>
    <s v="RW 01"/>
    <s v="6371023006200004"/>
    <s v="6371021503970006"/>
    <s v="MUHAMMAD ANWAR"/>
    <s v="KEPALA KELUARGA"/>
    <x v="0"/>
    <s v="MARABAHAN"/>
    <n v="15"/>
    <n v="3"/>
    <n v="1997"/>
    <n v="27"/>
    <x v="9"/>
    <x v="0"/>
    <x v="4"/>
    <x v="5"/>
    <s v="KARYAWAN SWASTA"/>
    <x v="0"/>
    <s v="PENDUDUK TETAP"/>
    <s v="JL. PEK. RAYA GG. RATU RIANG NO. 50"/>
    <s v="JL. PEK. RAYA GG. RATU RIANG NO. 50"/>
    <m/>
  </r>
  <r>
    <s v="RT 08"/>
    <s v="RW 01"/>
    <s v="6371023006200004"/>
    <s v="6371016104000006"/>
    <s v="AMALIA REZKIYAH"/>
    <s v="ISTRI"/>
    <x v="1"/>
    <s v="BANJARMASIN"/>
    <n v="21"/>
    <n v="4"/>
    <n v="2000"/>
    <n v="24"/>
    <x v="11"/>
    <x v="0"/>
    <x v="4"/>
    <x v="5"/>
    <s v="KARYAWAN SWASTA"/>
    <x v="0"/>
    <s v="PENDUDUK TETAP"/>
    <s v="JL. PEK. RAYA GG. RATU RIANG NO. 50"/>
    <s v="JL. PEK. RAYA GG. RATU RIANG NO. 50"/>
    <m/>
  </r>
  <r>
    <s v="RT 08"/>
    <s v="RW 01"/>
    <s v="6371023006200004"/>
    <s v="6371025402220002"/>
    <s v="ALFIRA MADINA KHADIJAH"/>
    <s v="ANAK"/>
    <x v="1"/>
    <s v="BANJARMASIN"/>
    <n v="14"/>
    <n v="2"/>
    <n v="2022"/>
    <n v="2"/>
    <x v="14"/>
    <x v="0"/>
    <x v="2"/>
    <x v="3"/>
    <s v="BELUM/TIDAK BEKERJA"/>
    <x v="1"/>
    <s v="PENDUDUK TETAP"/>
    <s v="JL. PEK. RAYA GG. RATU RIANG NO. 50"/>
    <s v="JL. PEK. RAYA GG. RATU RIANG NO. 50"/>
    <m/>
  </r>
  <r>
    <s v="RT 08"/>
    <s v="RW 01"/>
    <s v="6371020301080088"/>
    <s v="6371022107300001"/>
    <s v="M. BASUNI, H"/>
    <s v="KEPALA KELUARGA"/>
    <x v="0"/>
    <s v="BANJARMASIN"/>
    <n v="21"/>
    <n v="7"/>
    <n v="1930"/>
    <n v="94"/>
    <x v="15"/>
    <x v="0"/>
    <x v="4"/>
    <x v="15"/>
    <s v="PENSIUNAN"/>
    <x v="0"/>
    <s v="PENDUDUK TETAP"/>
    <s v="JL. PEKAPURAN RAYA"/>
    <s v="JL. PEKAPURAN RAYA"/>
    <m/>
  </r>
  <r>
    <s v="RT 08"/>
    <s v="RW 01"/>
    <s v="6371020301080088"/>
    <s v="6371024512460004"/>
    <s v="JARIYAH"/>
    <s v="ISTRI"/>
    <x v="1"/>
    <s v="BANJARMASIN"/>
    <n v="5"/>
    <n v="12"/>
    <n v="1946"/>
    <n v="78"/>
    <x v="15"/>
    <x v="0"/>
    <x v="3"/>
    <x v="1"/>
    <s v="MENGURUS RUMAH TANGGA"/>
    <x v="0"/>
    <s v="PENDUDUK TETAP"/>
    <s v="JL. PEKAPURAN RAYA"/>
    <s v="JL. PEKAPURAN RAYA"/>
    <m/>
  </r>
  <r>
    <s v="RT 08"/>
    <s v="RW 01"/>
    <s v="6371020301080088"/>
    <s v="6371024609600004"/>
    <s v="JAMALIAH"/>
    <s v="ANAK"/>
    <x v="1"/>
    <s v="BANJARMASIN"/>
    <n v="6"/>
    <n v="9"/>
    <n v="1960"/>
    <n v="64"/>
    <x v="10"/>
    <x v="0"/>
    <x v="3"/>
    <x v="1"/>
    <s v="MENGURUS RUMAH TANGGA"/>
    <x v="3"/>
    <s v="PENDUDUK TETAP"/>
    <s v="JL. PEKAPURAN RAYA"/>
    <s v="JL. PEKAPURAN RAYA"/>
    <m/>
  </r>
  <r>
    <s v="RT 101"/>
    <s v="RW 01"/>
    <s v="6472083005130008"/>
    <s v="6472050311860004"/>
    <m/>
    <s v="KEPALA KELUARGA"/>
    <x v="0"/>
    <s v="BANJARMASIN"/>
    <n v="3"/>
    <n v="11"/>
    <n v="1986"/>
    <n v="38"/>
    <x v="5"/>
    <x v="0"/>
    <x v="4"/>
    <x v="5"/>
    <s v="KARYAWAN SWASTA"/>
    <x v="7"/>
    <s v="PENDUDUK TETAP"/>
    <s v="JL. GERILYA GG. SEPAKAT"/>
    <s v="JL. GERILYA GG. SEPAKAT"/>
    <m/>
  </r>
  <r>
    <s v="RT 101"/>
    <s v="RW 01"/>
    <s v="6472083005130008"/>
    <s v="3526094412960004"/>
    <m/>
    <s v="ISTRI"/>
    <x v="1"/>
    <s v="BANGKALAN"/>
    <n v="4"/>
    <n v="12"/>
    <n v="1996"/>
    <n v="28"/>
    <x v="9"/>
    <x v="0"/>
    <x v="3"/>
    <x v="1"/>
    <s v="MENGURUS RUMAH TANGGA"/>
    <x v="7"/>
    <s v="PENDUDUK TETAP"/>
    <s v="JL. GERILYA GG. SEPAKAT"/>
    <s v="JL. GERILYA GG. SEPAKAT"/>
    <m/>
  </r>
  <r>
    <s v="RT 101"/>
    <s v="RW 01"/>
    <s v="6472083005130008"/>
    <s v="6472086809130001"/>
    <m/>
    <s v="ANAK"/>
    <x v="1"/>
    <s v="SAMARINDA"/>
    <n v="28"/>
    <n v="9"/>
    <n v="2013"/>
    <n v="11"/>
    <x v="3"/>
    <x v="0"/>
    <x v="2"/>
    <x v="3"/>
    <s v="BELUM/TIDAK BEKERJA"/>
    <x v="7"/>
    <s v="PENDUDUK TETAP"/>
    <s v="JL. GERILYA GG. SEPAKAT"/>
    <s v="JL. GERILYA GG. SEPAKAT"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Laporan Potensi Wilayah" cacheId="31" applyNumberFormats="0" applyBorderFormats="0" applyFontFormats="0" applyPatternFormats="0" applyAlignmentFormats="0" applyWidthHeightFormats="0" dataCaption="" updatedVersion="8" compact="0" compactData="0">
  <location ref="G6:J24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dataField="1" compact="0" outline="0" multipleItemSelectionAllowed="1" showAll="0" sortType="ascending">
      <items count="4">
        <item x="0"/>
        <item x="1"/>
        <item h="1" x="2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axis="axisRow" compact="0" outline="0" multipleItemSelectionAllowed="1" showAll="0" sortType="ascending">
      <items count="18">
        <item x="14"/>
        <item x="3"/>
        <item x="2"/>
        <item x="11"/>
        <item x="9"/>
        <item x="6"/>
        <item x="5"/>
        <item x="1"/>
        <item x="8"/>
        <item x="0"/>
        <item x="7"/>
        <item x="4"/>
        <item x="10"/>
        <item x="13"/>
        <item x="12"/>
        <item x="15"/>
        <item x="16"/>
        <item t="default"/>
      </items>
    </pivotField>
    <pivotField name="AGAMA" compact="0" outline="0" multipleItemSelectionAllowed="1" showAll="0"/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A of JENIS KELAMIN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Laporan Potensi Wilayah 2" cacheId="31" applyNumberFormats="0" applyBorderFormats="0" applyFontFormats="0" applyPatternFormats="0" applyAlignmentFormats="0" applyWidthHeightFormats="0" dataCaption="" updatedVersion="8" compact="0" compactData="0">
  <location ref="G28:J37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dataField="1" compact="0" outline="0" multipleItemSelectionAllowed="1" showAll="0" sortType="ascending">
      <items count="4">
        <item x="0"/>
        <item x="1"/>
        <item h="1" x="2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axis="axisRow" compact="0" outline="0" multipleItemSelectionAllowed="1" showAll="0" sortType="ascending">
      <items count="9">
        <item x="1"/>
        <item x="5"/>
        <item x="6"/>
        <item x="4"/>
        <item x="0"/>
        <item x="3"/>
        <item x="2"/>
        <item x="7"/>
        <item t="default"/>
      </items>
    </pivotField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A of JENIS KELAMIN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Laporan Potensi Wilayah 3" cacheId="31" applyNumberFormats="0" applyBorderFormats="0" applyFontFormats="0" applyPatternFormats="0" applyAlignmentFormats="0" applyWidthHeightFormats="0" dataCaption="" updatedVersion="8" compact="0" compactData="0">
  <location ref="G42:J45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dataField="1" compact="0" outline="0" multipleItemSelectionAllowed="1" showAll="0" sortType="ascending">
      <items count="4">
        <item x="0"/>
        <item x="1"/>
        <item h="1" x="2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axis="axisRow" compact="0" outline="0" multipleItemSelectionAllowed="1" showAll="0" sortType="ascending">
      <items count="3">
        <item x="0"/>
        <item x="1"/>
        <item t="default"/>
      </items>
    </pivotField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3"/>
  </rowFields>
  <rowItems count="2">
    <i>
      <x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A of JENIS KELAMIN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Laporan Potensi Wilayah 4" cacheId="31" applyNumberFormats="0" applyBorderFormats="0" applyFontFormats="0" applyPatternFormats="0" applyAlignmentFormats="0" applyWidthHeightFormats="0" dataCaption="" updatedVersion="8" compact="0" compactData="0">
  <location ref="L50:O68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dataField="1" compact="0" outline="0" multipleItemSelectionAllowed="1" showAll="0" sortType="ascending">
      <items count="4">
        <item x="0"/>
        <item x="1"/>
        <item h="1" x="2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compact="0" outline="0" multipleItemSelectionAllowed="1" showAll="0"/>
    <pivotField name="JENIS PEKERJAAN" axis="axisRow" compact="0" outline="0" multipleItemSelectionAllowed="1" showAll="0" sortType="ascending">
      <items count="18">
        <item x="3"/>
        <item x="9"/>
        <item x="12"/>
        <item x="14"/>
        <item x="11"/>
        <item x="5"/>
        <item x="1"/>
        <item x="4"/>
        <item x="6"/>
        <item x="2"/>
        <item x="15"/>
        <item x="10"/>
        <item x="13"/>
        <item x="8"/>
        <item x="7"/>
        <item x="0"/>
        <item x="16"/>
        <item t="default"/>
      </items>
    </pivotField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A of JENIS KELAMIN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Laporan Potensi Wilayah 5" cacheId="31" applyNumberFormats="0" applyBorderFormats="0" applyFontFormats="0" applyPatternFormats="0" applyAlignmentFormats="0" applyWidthHeightFormats="0" dataCaption="" updatedVersion="8" compact="0" compactData="0">
  <location ref="G72:J82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dataField="1" compact="0" outline="0" multipleItemSelectionAllowed="1" showAll="0" sortType="ascending">
      <items count="4">
        <item x="0"/>
        <item x="1"/>
        <item h="1" x="2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axis="axisRow" compact="0" outline="0" multipleItemSelectionAllowed="1" showAll="0" sortType="ascending">
      <items count="9">
        <item x="1"/>
        <item x="3"/>
        <item x="5"/>
        <item x="4"/>
        <item x="2"/>
        <item x="6"/>
        <item x="0"/>
        <item x="7"/>
        <item t="default"/>
      </items>
    </pivotField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A of JENIS KELAMIN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B000000}" name="RINGKASAN 4" cacheId="17" applyNumberFormats="0" applyBorderFormats="0" applyFontFormats="0" applyPatternFormats="0" applyAlignmentFormats="0" applyWidthHeightFormats="0" dataCaption="" updatedVersion="8" compact="0" compactData="0">
  <location ref="V10:Y13" firstHeaderRow="1" firstDataRow="2" firstDataCol="1" rowPageCount="1" colPageCount="1"/>
  <pivotFields count="21">
    <pivotField name="RT" axis="axisPage" compact="0" outline="0" multipleItemSelectionAllowed="1" showAll="0">
      <items count="2">
        <item x="0"/>
        <item t="default"/>
      </items>
    </pivotField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compact="0" outline="0" multipleItemSelectionAllowed="1" showAll="0" sortType="ascending">
      <items count="3">
        <item x="0"/>
        <item x="1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axis="axisRow" dataField="1" compact="0" outline="0" multipleItemSelectionAllowed="1" showAll="0" sortType="ascending">
      <items count="2">
        <item x="0"/>
        <item t="default"/>
      </items>
    </pivotField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</pivotFields>
  <rowFields count="1">
    <field x="13"/>
  </rowFields>
  <rowItems count="2">
    <i>
      <x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0" hier="0"/>
  </pageFields>
  <dataFields count="1">
    <dataField name="Count of AGAMA" fld="1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A000000}" name="RINGKASAN 5" cacheId="17" applyNumberFormats="0" applyBorderFormats="0" applyFontFormats="0" applyPatternFormats="0" applyAlignmentFormats="0" applyWidthHeightFormats="0" dataCaption="" updatedVersion="8" compact="0" compactData="0">
  <location ref="AA10:AD17" firstHeaderRow="1" firstDataRow="2" firstDataCol="1" rowPageCount="1" colPageCount="1"/>
  <pivotFields count="21">
    <pivotField name="RT" axis="axisPage" compact="0" outline="0" multipleItemSelectionAllowed="1" showAll="0">
      <items count="2">
        <item x="0"/>
        <item t="default"/>
      </items>
    </pivotField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compact="0" outline="0" multipleItemSelectionAllowed="1" showAll="0" sortType="ascending">
      <items count="3">
        <item x="0"/>
        <item x="1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axis="axisRow" dataField="1" compact="0" outline="0" multipleItemSelectionAllowed="1" showAll="0" sortType="ascending">
      <items count="6">
        <item x="1"/>
        <item x="3"/>
        <item x="4"/>
        <item x="2"/>
        <item x="0"/>
        <item t="default"/>
      </items>
    </pivotField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0" hier="0"/>
  </pageFields>
  <dataFields count="1">
    <dataField name="Count of STATUS PERKAWINAN" fld="17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9000000}" name="RINGKASAN 6" cacheId="8" applyNumberFormats="0" applyBorderFormats="0" applyFontFormats="0" applyPatternFormats="0" applyAlignmentFormats="0" applyWidthHeightFormats="0" dataCaption="" updatedVersion="8" compact="0" compactData="0">
  <location ref="A25:C29" firstHeaderRow="1" firstDataRow="2" firstDataCol="1"/>
  <pivotFields count="6">
    <pivotField name="RT" compact="0" outline="0" multipleItemSelectionAllowed="1" showAll="0"/>
    <pivotField name="RW" compact="0" outline="0" multipleItemSelectionAllowed="1" showAll="0"/>
    <pivotField name="JENIS FASILITAS" axis="axisCol" dataField="1" compact="0" numFmtId="49" outline="0" multipleItemSelectionAllowed="1" showAll="0" sortType="ascending">
      <items count="4">
        <item x="0"/>
        <item h="1" x="1"/>
        <item h="1" x="2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KATEGORI FASILITAS" axis="axisRow" compact="0" numFmtId="49" outline="0" multipleItemSelectionAllowed="1" showAll="0" sortType="ascending">
      <items count="6">
        <item x="2"/>
        <item x="1"/>
        <item x="0"/>
        <item x="3"/>
        <item x="4"/>
        <item t="default"/>
      </items>
    </pivotField>
    <pivotField name="NAMA FASILITAS" compact="0" outline="0" multipleItemSelectionAllowed="1" showAll="0"/>
    <pivotField name="ALAMAT" compact="0" outline="0" multipleItemSelectionAllowed="1" showAll="0"/>
  </pivotFields>
  <rowFields count="1">
    <field x="3"/>
  </rowFields>
  <rowItems count="3">
    <i>
      <x v="2"/>
    </i>
    <i>
      <x v="3"/>
    </i>
    <i t="grand">
      <x/>
    </i>
  </rowItems>
  <colFields count="1">
    <field x="2"/>
  </colFields>
  <colItems count="2">
    <i>
      <x/>
    </i>
    <i t="grand">
      <x/>
    </i>
  </colItems>
  <dataFields count="1">
    <dataField name="COUNTA of JENIS FASILITAS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8000000}" name="RINGKASAN" cacheId="22" applyNumberFormats="0" applyBorderFormats="0" applyFontFormats="0" applyPatternFormats="0" applyAlignmentFormats="0" applyWidthHeightFormats="0" dataCaption="" updatedVersion="8" compact="0" compactData="0">
  <location ref="F10:I13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compact="0" outline="0" multipleItemSelectionAllowed="1" showAll="0" sortType="ascending">
      <items count="3">
        <item x="0"/>
        <item x="1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axis="axisRow" dataField="1" compact="0" outline="0" multipleItemSelectionAllowed="1" showAll="0" sortType="ascending">
      <items count="2">
        <item x="0"/>
        <item t="default"/>
      </items>
    </pivotField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8"/>
  </rowFields>
  <rowItems count="2">
    <i>
      <x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STATUS KEPENDUDUKAN" fld="18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7000000}" name="RINGKASAN 2" cacheId="17" applyNumberFormats="0" applyBorderFormats="0" applyFontFormats="0" applyPatternFormats="0" applyAlignmentFormats="0" applyWidthHeightFormats="0" dataCaption="" updatedVersion="8" compact="0" compactData="0">
  <location ref="L10:O21" firstHeaderRow="1" firstDataRow="2" firstDataCol="1" rowPageCount="1" colPageCount="1"/>
  <pivotFields count="21">
    <pivotField name="RT" axis="axisPage" compact="0" outline="0" multipleItemSelectionAllowed="1" showAll="0">
      <items count="2">
        <item x="0"/>
        <item t="default"/>
      </items>
    </pivotField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compact="0" outline="0" multipleItemSelectionAllowed="1" showAll="0" sortType="ascending">
      <items count="3">
        <item x="0"/>
        <item x="1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compact="0" outline="0" multipleItemSelectionAllowed="1" showAll="0"/>
    <pivotField name="JENIS PEKERJAAN" axis="axisRow" dataField="1" compact="0" outline="0" multipleItemSelectionAllowed="1" showAll="0" sortType="ascending">
      <items count="10">
        <item x="3"/>
        <item x="5"/>
        <item x="1"/>
        <item x="4"/>
        <item x="6"/>
        <item x="2"/>
        <item x="8"/>
        <item x="7"/>
        <item x="0"/>
        <item t="default"/>
      </items>
    </pivotField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0" hier="0"/>
  </pageFields>
  <dataFields count="1">
    <dataField name="Count of JENIS PEKERJAAN" fld="15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RINGKASAN 7" cacheId="8" applyNumberFormats="0" applyBorderFormats="0" applyFontFormats="0" applyPatternFormats="0" applyAlignmentFormats="0" applyWidthHeightFormats="0" dataCaption="" updatedVersion="8" compact="0" compactData="0">
  <location ref="F25:H29" firstHeaderRow="1" firstDataRow="2" firstDataCol="1"/>
  <pivotFields count="6">
    <pivotField name="RT" compact="0" outline="0" multipleItemSelectionAllowed="1" showAll="0"/>
    <pivotField name="RW" compact="0" outline="0" multipleItemSelectionAllowed="1" showAll="0"/>
    <pivotField name="JENIS FASILITAS" axis="axisCol" compact="0" numFmtId="49" outline="0" multipleItemSelectionAllowed="1" showAll="0" sortType="ascending">
      <items count="4">
        <item x="1"/>
        <item h="1" x="0"/>
        <item h="1" x="2"/>
        <item t="default"/>
      </items>
    </pivotField>
    <pivotField name="KATEGORI FASILITAS" axis="axisRow" dataField="1" compact="0" numFmtId="49" outline="0" multipleItemSelectionAllowed="1" showAll="0" sortType="ascending">
      <items count="6">
        <item x="2"/>
        <item x="1"/>
        <item x="0"/>
        <item x="3"/>
        <item x="4"/>
        <item t="default"/>
      </items>
    </pivotField>
    <pivotField name="NAMA FASILITAS" compact="0" outline="0" multipleItemSelectionAllowed="1" showAll="0"/>
    <pivotField name="ALAMAT" compact="0" outline="0" multipleItemSelectionAllowed="1" showAll="0"/>
  </pivotFields>
  <rowFields count="1">
    <field x="3"/>
  </rowFields>
  <rowItems count="3">
    <i>
      <x/>
    </i>
    <i>
      <x v="1"/>
    </i>
    <i t="grand">
      <x/>
    </i>
  </rowItems>
  <colFields count="1">
    <field x="2"/>
  </colFields>
  <colItems count="2">
    <i>
      <x/>
    </i>
    <i t="grand">
      <x/>
    </i>
  </colItems>
  <dataFields count="1">
    <dataField name="COUNTA of KATEGORI FASILITAS" fld="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RINGKASAN 3" cacheId="17" applyNumberFormats="0" applyBorderFormats="0" applyFontFormats="0" applyPatternFormats="0" applyAlignmentFormats="0" applyWidthHeightFormats="0" dataCaption="" updatedVersion="8" compact="0" compactData="0">
  <location ref="Q10:T19" firstHeaderRow="1" firstDataRow="2" firstDataCol="1" rowPageCount="1" colPageCount="1"/>
  <pivotFields count="21">
    <pivotField name="RT" axis="axisPage" compact="0" outline="0" multipleItemSelectionAllowed="1" showAll="0">
      <items count="2">
        <item x="0"/>
        <item t="default"/>
      </items>
    </pivotField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compact="0" outline="0" multipleItemSelectionAllowed="1" showAll="0" sortType="ascending">
      <items count="3">
        <item x="0"/>
        <item x="1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axis="axisRow" dataField="1" compact="0" outline="0" multipleItemSelectionAllowed="1" showAll="0" sortType="ascending">
      <items count="8">
        <item x="1"/>
        <item x="5"/>
        <item x="6"/>
        <item x="4"/>
        <item x="0"/>
        <item x="3"/>
        <item x="2"/>
        <item t="default"/>
      </items>
    </pivotField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0" hier="0"/>
  </pageFields>
  <dataFields count="1">
    <dataField name="Count of PENDIDIKAN TERAKHIR" fld="1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998"/>
  <sheetViews>
    <sheetView tabSelected="1" zoomScale="85" zoomScaleNormal="85" workbookViewId="0">
      <pane ySplit="1" topLeftCell="A2" activePane="bottomLeft" state="frozen"/>
      <selection pane="bottomLeft" activeCell="B1" sqref="A1:XFD2"/>
    </sheetView>
  </sheetViews>
  <sheetFormatPr defaultColWidth="14.453125" defaultRowHeight="15" customHeight="1" x14ac:dyDescent="0.35"/>
  <cols>
    <col min="1" max="1" width="9.26953125" style="105" customWidth="1"/>
    <col min="2" max="2" width="10" customWidth="1"/>
    <col min="3" max="3" width="24.81640625" style="115" customWidth="1"/>
    <col min="4" max="4" width="22.08984375" style="108" customWidth="1"/>
    <col min="5" max="5" width="43.453125" style="108" customWidth="1"/>
    <col min="6" max="8" width="20.54296875" style="89" customWidth="1"/>
    <col min="9" max="9" width="19" style="89" customWidth="1"/>
    <col min="10" max="10" width="20.453125" style="89" customWidth="1"/>
    <col min="11" max="11" width="19.54296875" style="89" customWidth="1"/>
    <col min="12" max="12" width="17.26953125" style="89" customWidth="1"/>
    <col min="13" max="14" width="17.7265625" style="89" customWidth="1"/>
    <col min="15" max="16" width="22.26953125" style="89" customWidth="1"/>
    <col min="17" max="17" width="11.7265625" style="89" customWidth="1"/>
    <col min="18" max="18" width="38.453125" style="123" customWidth="1"/>
    <col min="19" max="19" width="29.7265625" style="89" customWidth="1"/>
    <col min="20" max="22" width="32" style="89" customWidth="1"/>
    <col min="23" max="30" width="27" style="89" customWidth="1"/>
    <col min="31" max="31" width="33" style="89" customWidth="1"/>
    <col min="32" max="32" width="39.08984375" style="89" customWidth="1"/>
    <col min="33" max="35" width="28.453125" style="89" customWidth="1"/>
    <col min="36" max="36" width="15.7265625" customWidth="1"/>
    <col min="37" max="38" width="14.453125" customWidth="1"/>
  </cols>
  <sheetData>
    <row r="1" spans="1:40" ht="25.5" customHeight="1" x14ac:dyDescent="0.35">
      <c r="A1" s="124" t="s">
        <v>77</v>
      </c>
      <c r="B1" s="125" t="s">
        <v>76</v>
      </c>
      <c r="C1" s="109" t="s">
        <v>956</v>
      </c>
      <c r="D1" s="126" t="s">
        <v>79</v>
      </c>
      <c r="E1" s="84" t="s">
        <v>80</v>
      </c>
      <c r="F1" s="84" t="s">
        <v>81</v>
      </c>
      <c r="G1" s="84" t="s">
        <v>899</v>
      </c>
      <c r="H1" s="84" t="s">
        <v>900</v>
      </c>
      <c r="I1" s="84" t="s">
        <v>8</v>
      </c>
      <c r="J1" s="84" t="s">
        <v>82</v>
      </c>
      <c r="K1" s="84" t="s">
        <v>902</v>
      </c>
      <c r="L1" s="84" t="s">
        <v>73</v>
      </c>
      <c r="M1" s="84" t="s">
        <v>75</v>
      </c>
      <c r="N1" s="84" t="s">
        <v>83</v>
      </c>
      <c r="O1" s="85" t="e">
        <f>"UMUR Bulan "&amp;#REF!&amp;" Tahun "&amp;#REF!</f>
        <v>#REF!</v>
      </c>
      <c r="P1" s="85" t="s">
        <v>3</v>
      </c>
      <c r="Q1" s="84" t="s">
        <v>39</v>
      </c>
      <c r="R1" s="120" t="s">
        <v>903</v>
      </c>
      <c r="S1" s="84" t="s">
        <v>904</v>
      </c>
      <c r="T1" s="84" t="s">
        <v>64</v>
      </c>
      <c r="U1" s="84" t="s">
        <v>905</v>
      </c>
      <c r="V1" s="84" t="s">
        <v>910</v>
      </c>
      <c r="W1" s="84" t="s">
        <v>908</v>
      </c>
      <c r="X1" s="84" t="s">
        <v>911</v>
      </c>
      <c r="Y1" s="84" t="s">
        <v>912</v>
      </c>
      <c r="Z1" s="84" t="s">
        <v>913</v>
      </c>
      <c r="AA1" s="84" t="s">
        <v>914</v>
      </c>
      <c r="AB1" s="84" t="s">
        <v>915</v>
      </c>
      <c r="AC1" s="84" t="s">
        <v>917</v>
      </c>
      <c r="AD1" s="84" t="s">
        <v>918</v>
      </c>
      <c r="AE1" s="84" t="s">
        <v>920</v>
      </c>
      <c r="AF1" s="84" t="s">
        <v>921</v>
      </c>
      <c r="AG1" s="84" t="s">
        <v>90</v>
      </c>
      <c r="AH1" s="84" t="s">
        <v>922</v>
      </c>
      <c r="AI1" s="84" t="s">
        <v>923</v>
      </c>
      <c r="AJ1" s="22" t="s">
        <v>91</v>
      </c>
      <c r="AK1" s="23"/>
      <c r="AL1" s="23"/>
      <c r="AM1" s="23"/>
      <c r="AN1" s="23"/>
    </row>
    <row r="2" spans="1:40" ht="14.25" customHeight="1" x14ac:dyDescent="0.35">
      <c r="A2" s="24" t="s">
        <v>925</v>
      </c>
      <c r="B2" s="100" t="s">
        <v>924</v>
      </c>
      <c r="C2" s="110" t="s">
        <v>94</v>
      </c>
      <c r="D2" s="116" t="s">
        <v>95</v>
      </c>
      <c r="E2" s="86" t="s">
        <v>96</v>
      </c>
      <c r="F2" s="86" t="s">
        <v>97</v>
      </c>
      <c r="G2" s="86" t="s">
        <v>901</v>
      </c>
      <c r="H2" s="86"/>
      <c r="I2" s="86" t="s">
        <v>4</v>
      </c>
      <c r="J2" s="86" t="s">
        <v>98</v>
      </c>
      <c r="K2" s="86">
        <v>20</v>
      </c>
      <c r="L2" s="86">
        <v>3</v>
      </c>
      <c r="M2" s="87">
        <v>1974</v>
      </c>
      <c r="N2" s="88">
        <f>DATE(M2,L2,K2)</f>
        <v>27108</v>
      </c>
      <c r="O2" s="25" t="e">
        <f>IF(L2&gt;#REF!,#REF!-M2-1,#REF!-M2)</f>
        <v>#REF!</v>
      </c>
      <c r="P2" s="25" t="e">
        <f t="shared" ref="P2:P256" si="0">IF(OR(O2="",ISTEXT(O2)),"",LOOKUP(O2,{0;5;10;15;20;25;30;35;40;45;50;55;60;65;70;75},{"0-4 TAHUN";"5-9 TAHUN";"10-14 TAHUN";"15-19 TAHUN";"20-24 TAHUN";"25-29 TAHUN";"30-34 TAHUN";"35-39 TAHUN";"40-44 TAHUN";"45-49 TAHUN";"50-54 TAHUN";"55-59 TAHUN";"60-64 TAHUN";"65-69 TAHUN";"70-74 TAHUN";"75+ TAHUN"}))</f>
        <v>#REF!</v>
      </c>
      <c r="Q2" s="87" t="s">
        <v>40</v>
      </c>
      <c r="R2" s="121" t="s">
        <v>33</v>
      </c>
      <c r="S2" s="87" t="s">
        <v>62</v>
      </c>
      <c r="T2" s="87" t="s">
        <v>66</v>
      </c>
      <c r="U2" s="87" t="s">
        <v>906</v>
      </c>
      <c r="V2" s="87" t="s">
        <v>907</v>
      </c>
      <c r="W2" s="87" t="s">
        <v>909</v>
      </c>
      <c r="X2" s="87" t="s">
        <v>916</v>
      </c>
      <c r="Y2" s="87"/>
      <c r="Z2" s="87"/>
      <c r="AA2" s="87"/>
      <c r="AB2" s="87"/>
      <c r="AC2" s="87"/>
      <c r="AD2" s="87"/>
      <c r="AE2" s="87" t="s">
        <v>100</v>
      </c>
      <c r="AF2" s="87" t="s">
        <v>100</v>
      </c>
      <c r="AG2" s="87" t="s">
        <v>101</v>
      </c>
      <c r="AH2" s="87"/>
      <c r="AI2" s="87"/>
      <c r="AJ2" s="27" t="s">
        <v>102</v>
      </c>
      <c r="AK2" s="18"/>
      <c r="AL2" s="18"/>
      <c r="AM2" s="18"/>
      <c r="AN2" s="18"/>
    </row>
    <row r="3" spans="1:40" ht="14.25" customHeight="1" x14ac:dyDescent="0.35">
      <c r="A3" s="26" t="s">
        <v>925</v>
      </c>
      <c r="B3" s="100" t="s">
        <v>924</v>
      </c>
      <c r="C3" s="110" t="s">
        <v>94</v>
      </c>
      <c r="D3" s="116" t="s">
        <v>103</v>
      </c>
      <c r="E3" s="86" t="s">
        <v>104</v>
      </c>
      <c r="F3" s="86" t="s">
        <v>105</v>
      </c>
      <c r="G3" s="86" t="s">
        <v>901</v>
      </c>
      <c r="H3" s="86"/>
      <c r="I3" s="86" t="s">
        <v>5</v>
      </c>
      <c r="J3" s="86" t="s">
        <v>98</v>
      </c>
      <c r="K3" s="86">
        <v>20</v>
      </c>
      <c r="L3" s="86">
        <v>4</v>
      </c>
      <c r="M3" s="87">
        <v>1981</v>
      </c>
      <c r="N3" s="88">
        <f t="shared" ref="N3:N66" si="1">DATE(M3,L3,K3)</f>
        <v>29696</v>
      </c>
      <c r="O3" s="25" t="e">
        <f>IF(L3&gt;#REF!,#REF!-M3-1,#REF!-M3)</f>
        <v>#REF!</v>
      </c>
      <c r="P3" s="25" t="e">
        <f t="shared" si="0"/>
        <v>#REF!</v>
      </c>
      <c r="Q3" s="87" t="s">
        <v>40</v>
      </c>
      <c r="R3" s="121" t="s">
        <v>33</v>
      </c>
      <c r="S3" s="87" t="s">
        <v>54</v>
      </c>
      <c r="T3" s="87" t="s">
        <v>66</v>
      </c>
      <c r="U3" s="87" t="s">
        <v>906</v>
      </c>
      <c r="V3" s="87" t="s">
        <v>907</v>
      </c>
      <c r="W3" s="87" t="s">
        <v>909</v>
      </c>
      <c r="X3" s="87" t="s">
        <v>916</v>
      </c>
      <c r="Y3" s="87"/>
      <c r="Z3" s="87"/>
      <c r="AA3" s="87"/>
      <c r="AB3" s="87"/>
      <c r="AC3" s="87"/>
      <c r="AD3" s="87"/>
      <c r="AE3" s="87" t="s">
        <v>100</v>
      </c>
      <c r="AF3" s="87" t="s">
        <v>100</v>
      </c>
      <c r="AG3" s="87" t="s">
        <v>101</v>
      </c>
      <c r="AH3" s="87"/>
      <c r="AI3" s="87"/>
      <c r="AJ3" s="27" t="s">
        <v>102</v>
      </c>
      <c r="AK3" s="18"/>
      <c r="AL3" s="18"/>
      <c r="AM3" s="18"/>
      <c r="AN3" s="18"/>
    </row>
    <row r="4" spans="1:40" ht="14.25" customHeight="1" x14ac:dyDescent="0.35">
      <c r="A4" s="26" t="s">
        <v>925</v>
      </c>
      <c r="B4" s="100" t="s">
        <v>924</v>
      </c>
      <c r="C4" s="110" t="s">
        <v>94</v>
      </c>
      <c r="D4" s="116" t="s">
        <v>106</v>
      </c>
      <c r="E4" s="86" t="s">
        <v>107</v>
      </c>
      <c r="F4" s="86" t="s">
        <v>108</v>
      </c>
      <c r="G4" s="86" t="s">
        <v>901</v>
      </c>
      <c r="H4" s="86"/>
      <c r="I4" s="86" t="s">
        <v>5</v>
      </c>
      <c r="J4" s="86" t="s">
        <v>98</v>
      </c>
      <c r="K4" s="86">
        <v>8</v>
      </c>
      <c r="L4" s="86">
        <v>8</v>
      </c>
      <c r="M4" s="87">
        <v>2007</v>
      </c>
      <c r="N4" s="88">
        <f t="shared" si="1"/>
        <v>39302</v>
      </c>
      <c r="O4" s="25" t="e">
        <f>IF(L4&gt;#REF!,#REF!-M4-1,#REF!-M4)</f>
        <v>#REF!</v>
      </c>
      <c r="P4" s="25" t="e">
        <f t="shared" si="0"/>
        <v>#REF!</v>
      </c>
      <c r="Q4" s="87" t="s">
        <v>40</v>
      </c>
      <c r="R4" s="121" t="s">
        <v>30</v>
      </c>
      <c r="S4" s="87" t="s">
        <v>57</v>
      </c>
      <c r="T4" s="87" t="s">
        <v>65</v>
      </c>
      <c r="U4" s="87" t="s">
        <v>906</v>
      </c>
      <c r="V4" s="87" t="s">
        <v>907</v>
      </c>
      <c r="W4" s="87" t="s">
        <v>909</v>
      </c>
      <c r="X4" s="87" t="s">
        <v>916</v>
      </c>
      <c r="Y4" s="87"/>
      <c r="Z4" s="87"/>
      <c r="AA4" s="87"/>
      <c r="AB4" s="87"/>
      <c r="AC4" s="87"/>
      <c r="AE4" s="87" t="s">
        <v>100</v>
      </c>
      <c r="AF4" s="87" t="s">
        <v>100</v>
      </c>
      <c r="AG4" s="87" t="s">
        <v>109</v>
      </c>
      <c r="AH4" s="87"/>
      <c r="AI4" s="87"/>
      <c r="AJ4" s="27" t="s">
        <v>102</v>
      </c>
      <c r="AK4" s="18"/>
      <c r="AL4" s="18"/>
      <c r="AM4" s="18"/>
      <c r="AN4" s="18"/>
    </row>
    <row r="5" spans="1:40" ht="14.25" customHeight="1" x14ac:dyDescent="0.35">
      <c r="A5" s="26" t="s">
        <v>925</v>
      </c>
      <c r="B5" s="100" t="s">
        <v>924</v>
      </c>
      <c r="C5" s="110" t="s">
        <v>94</v>
      </c>
      <c r="D5" s="116" t="s">
        <v>110</v>
      </c>
      <c r="E5" s="86" t="s">
        <v>111</v>
      </c>
      <c r="F5" s="86" t="s">
        <v>108</v>
      </c>
      <c r="G5" s="86" t="s">
        <v>901</v>
      </c>
      <c r="H5" s="86"/>
      <c r="I5" s="86" t="s">
        <v>4</v>
      </c>
      <c r="J5" s="86" t="s">
        <v>98</v>
      </c>
      <c r="K5" s="86">
        <v>30</v>
      </c>
      <c r="L5" s="86">
        <v>8</v>
      </c>
      <c r="M5" s="87">
        <v>2011</v>
      </c>
      <c r="N5" s="88">
        <f t="shared" si="1"/>
        <v>40785</v>
      </c>
      <c r="O5" s="25" t="e">
        <f>IF(L5&gt;#REF!,#REF!-M5-1,#REF!-M5)</f>
        <v>#REF!</v>
      </c>
      <c r="P5" s="25" t="e">
        <f t="shared" si="0"/>
        <v>#REF!</v>
      </c>
      <c r="Q5" s="87" t="s">
        <v>40</v>
      </c>
      <c r="R5" s="121" t="s">
        <v>30</v>
      </c>
      <c r="S5" s="87" t="s">
        <v>57</v>
      </c>
      <c r="T5" s="87" t="s">
        <v>65</v>
      </c>
      <c r="U5" s="87" t="s">
        <v>906</v>
      </c>
      <c r="V5" s="87" t="s">
        <v>907</v>
      </c>
      <c r="W5" s="87" t="s">
        <v>909</v>
      </c>
      <c r="X5" s="87" t="s">
        <v>916</v>
      </c>
      <c r="Y5" s="87"/>
      <c r="Z5" s="87"/>
      <c r="AA5" s="87"/>
      <c r="AB5" s="87"/>
      <c r="AC5" s="87"/>
      <c r="AD5" s="87"/>
      <c r="AE5" s="87" t="s">
        <v>100</v>
      </c>
      <c r="AF5" s="87" t="s">
        <v>100</v>
      </c>
      <c r="AG5" s="87" t="s">
        <v>109</v>
      </c>
      <c r="AH5" s="87"/>
      <c r="AI5" s="87"/>
      <c r="AJ5" s="27" t="s">
        <v>102</v>
      </c>
      <c r="AK5" s="18"/>
      <c r="AL5" s="18"/>
      <c r="AM5" s="18"/>
      <c r="AN5" s="18"/>
    </row>
    <row r="6" spans="1:40" ht="14.25" customHeight="1" x14ac:dyDescent="0.35">
      <c r="A6" s="26" t="s">
        <v>925</v>
      </c>
      <c r="B6" s="100" t="s">
        <v>924</v>
      </c>
      <c r="C6" s="110" t="s">
        <v>94</v>
      </c>
      <c r="D6" s="116" t="s">
        <v>112</v>
      </c>
      <c r="E6" s="86" t="s">
        <v>113</v>
      </c>
      <c r="F6" s="86" t="s">
        <v>108</v>
      </c>
      <c r="G6" s="86" t="s">
        <v>901</v>
      </c>
      <c r="H6" s="86"/>
      <c r="I6" s="86" t="s">
        <v>5</v>
      </c>
      <c r="J6" s="86" t="s">
        <v>98</v>
      </c>
      <c r="K6" s="86">
        <v>3</v>
      </c>
      <c r="L6" s="86">
        <v>11</v>
      </c>
      <c r="M6" s="87">
        <v>2018</v>
      </c>
      <c r="N6" s="88">
        <f t="shared" si="1"/>
        <v>43407</v>
      </c>
      <c r="O6" s="25" t="e">
        <f>IF(L6&gt;#REF!,#REF!-M6-1,#REF!-M6)</f>
        <v>#REF!</v>
      </c>
      <c r="P6" s="25" t="e">
        <f t="shared" si="0"/>
        <v>#REF!</v>
      </c>
      <c r="Q6" s="87" t="s">
        <v>40</v>
      </c>
      <c r="R6" s="121" t="s">
        <v>28</v>
      </c>
      <c r="S6" s="87" t="s">
        <v>48</v>
      </c>
      <c r="T6" s="87" t="s">
        <v>65</v>
      </c>
      <c r="U6" s="87" t="s">
        <v>906</v>
      </c>
      <c r="V6" s="87" t="s">
        <v>907</v>
      </c>
      <c r="W6" s="87" t="s">
        <v>909</v>
      </c>
      <c r="X6" s="87" t="s">
        <v>916</v>
      </c>
      <c r="Y6" s="87"/>
      <c r="Z6" s="87"/>
      <c r="AA6" s="87"/>
      <c r="AB6" s="87"/>
      <c r="AC6" s="87"/>
      <c r="AD6" s="87"/>
      <c r="AE6" s="87" t="s">
        <v>100</v>
      </c>
      <c r="AF6" s="87" t="s">
        <v>100</v>
      </c>
      <c r="AG6" s="87" t="s">
        <v>109</v>
      </c>
      <c r="AH6" s="87"/>
      <c r="AI6" s="87"/>
      <c r="AJ6" s="27" t="s">
        <v>102</v>
      </c>
      <c r="AK6" s="18"/>
      <c r="AL6" s="18"/>
      <c r="AM6" s="18"/>
      <c r="AN6" s="18"/>
    </row>
    <row r="7" spans="1:40" ht="14.25" customHeight="1" x14ac:dyDescent="0.35">
      <c r="A7" s="26" t="s">
        <v>925</v>
      </c>
      <c r="B7" s="100" t="s">
        <v>924</v>
      </c>
      <c r="C7" s="110" t="s">
        <v>114</v>
      </c>
      <c r="D7" s="116" t="s">
        <v>115</v>
      </c>
      <c r="E7" s="86" t="s">
        <v>116</v>
      </c>
      <c r="F7" s="86" t="s">
        <v>97</v>
      </c>
      <c r="G7" s="86" t="s">
        <v>901</v>
      </c>
      <c r="H7" s="86"/>
      <c r="I7" s="86" t="s">
        <v>4</v>
      </c>
      <c r="J7" s="86" t="s">
        <v>98</v>
      </c>
      <c r="K7" s="86">
        <v>4</v>
      </c>
      <c r="L7" s="86">
        <v>9</v>
      </c>
      <c r="M7" s="87">
        <v>1987</v>
      </c>
      <c r="N7" s="88">
        <f t="shared" si="1"/>
        <v>32024</v>
      </c>
      <c r="O7" s="25" t="e">
        <f>IF(L7&gt;#REF!,#REF!-M7-1,#REF!-M7)</f>
        <v>#REF!</v>
      </c>
      <c r="P7" s="25" t="e">
        <f t="shared" si="0"/>
        <v>#REF!</v>
      </c>
      <c r="Q7" s="87" t="s">
        <v>40</v>
      </c>
      <c r="R7" s="121" t="s">
        <v>28</v>
      </c>
      <c r="S7" s="87" t="s">
        <v>62</v>
      </c>
      <c r="T7" s="87" t="s">
        <v>67</v>
      </c>
      <c r="U7" s="87" t="s">
        <v>906</v>
      </c>
      <c r="V7" s="87" t="s">
        <v>907</v>
      </c>
      <c r="W7" s="87" t="s">
        <v>909</v>
      </c>
      <c r="X7" s="87" t="s">
        <v>916</v>
      </c>
      <c r="Y7" s="87"/>
      <c r="Z7" s="87"/>
      <c r="AA7" s="87"/>
      <c r="AB7" s="87"/>
      <c r="AC7" s="87"/>
      <c r="AD7" s="87"/>
      <c r="AE7" s="87" t="s">
        <v>117</v>
      </c>
      <c r="AF7" s="87" t="s">
        <v>117</v>
      </c>
      <c r="AG7" s="87" t="s">
        <v>118</v>
      </c>
      <c r="AH7" s="87"/>
      <c r="AI7" s="87"/>
      <c r="AJ7" s="27" t="s">
        <v>102</v>
      </c>
      <c r="AK7" s="18"/>
      <c r="AL7" s="18"/>
      <c r="AM7" s="18"/>
      <c r="AN7" s="18"/>
    </row>
    <row r="8" spans="1:40" ht="14.25" customHeight="1" x14ac:dyDescent="0.35">
      <c r="A8" s="26" t="s">
        <v>925</v>
      </c>
      <c r="B8" s="100" t="s">
        <v>924</v>
      </c>
      <c r="C8" s="110" t="s">
        <v>114</v>
      </c>
      <c r="D8" s="116" t="s">
        <v>119</v>
      </c>
      <c r="E8" s="86" t="s">
        <v>120</v>
      </c>
      <c r="F8" s="86" t="s">
        <v>105</v>
      </c>
      <c r="G8" s="86" t="s">
        <v>901</v>
      </c>
      <c r="H8" s="86"/>
      <c r="I8" s="86" t="s">
        <v>5</v>
      </c>
      <c r="J8" s="86" t="s">
        <v>98</v>
      </c>
      <c r="K8" s="86">
        <v>13</v>
      </c>
      <c r="L8" s="86">
        <v>6</v>
      </c>
      <c r="M8" s="87">
        <v>1994</v>
      </c>
      <c r="N8" s="88">
        <f t="shared" si="1"/>
        <v>34498</v>
      </c>
      <c r="O8" s="25" t="e">
        <f>IF(L8&gt;#REF!,#REF!-M8-1,#REF!-M8)</f>
        <v>#REF!</v>
      </c>
      <c r="P8" s="25" t="e">
        <f t="shared" si="0"/>
        <v>#REF!</v>
      </c>
      <c r="Q8" s="87" t="s">
        <v>40</v>
      </c>
      <c r="R8" s="121" t="s">
        <v>33</v>
      </c>
      <c r="S8" s="87" t="s">
        <v>54</v>
      </c>
      <c r="T8" s="87" t="s">
        <v>67</v>
      </c>
      <c r="U8" s="87" t="s">
        <v>906</v>
      </c>
      <c r="V8" s="87" t="s">
        <v>907</v>
      </c>
      <c r="W8" s="87" t="s">
        <v>909</v>
      </c>
      <c r="X8" s="87" t="s">
        <v>916</v>
      </c>
      <c r="Y8" s="87"/>
      <c r="Z8" s="87"/>
      <c r="AA8" s="87"/>
      <c r="AB8" s="87"/>
      <c r="AC8" s="87"/>
      <c r="AD8" s="87"/>
      <c r="AE8" s="87" t="s">
        <v>117</v>
      </c>
      <c r="AF8" s="87" t="s">
        <v>117</v>
      </c>
      <c r="AG8" s="87" t="s">
        <v>118</v>
      </c>
      <c r="AH8" s="87"/>
      <c r="AI8" s="87"/>
      <c r="AJ8" s="27" t="s">
        <v>102</v>
      </c>
      <c r="AK8" s="18"/>
      <c r="AL8" s="18"/>
      <c r="AM8" s="18"/>
      <c r="AN8" s="18"/>
    </row>
    <row r="9" spans="1:40" ht="14.25" customHeight="1" x14ac:dyDescent="0.35">
      <c r="A9" s="26" t="s">
        <v>925</v>
      </c>
      <c r="B9" s="100" t="s">
        <v>924</v>
      </c>
      <c r="C9" s="110" t="s">
        <v>114</v>
      </c>
      <c r="D9" s="116" t="s">
        <v>121</v>
      </c>
      <c r="E9" s="86" t="s">
        <v>122</v>
      </c>
      <c r="F9" s="86" t="s">
        <v>108</v>
      </c>
      <c r="G9" s="86" t="s">
        <v>901</v>
      </c>
      <c r="H9" s="86"/>
      <c r="I9" s="86" t="s">
        <v>4</v>
      </c>
      <c r="J9" s="86" t="s">
        <v>98</v>
      </c>
      <c r="K9" s="86">
        <v>20</v>
      </c>
      <c r="L9" s="86">
        <v>9</v>
      </c>
      <c r="M9" s="87">
        <v>2014</v>
      </c>
      <c r="N9" s="88">
        <f t="shared" si="1"/>
        <v>41902</v>
      </c>
      <c r="O9" s="25" t="e">
        <f>IF(L9&gt;#REF!,#REF!-M9-1,#REF!-M9)</f>
        <v>#REF!</v>
      </c>
      <c r="P9" s="25" t="e">
        <f t="shared" si="0"/>
        <v>#REF!</v>
      </c>
      <c r="Q9" s="87" t="s">
        <v>40</v>
      </c>
      <c r="R9" s="121" t="s">
        <v>28</v>
      </c>
      <c r="S9" s="87" t="s">
        <v>48</v>
      </c>
      <c r="T9" s="87" t="s">
        <v>65</v>
      </c>
      <c r="U9" s="87" t="s">
        <v>906</v>
      </c>
      <c r="V9" s="87" t="s">
        <v>907</v>
      </c>
      <c r="W9" s="87" t="s">
        <v>909</v>
      </c>
      <c r="X9" s="87" t="s">
        <v>916</v>
      </c>
      <c r="Y9" s="87"/>
      <c r="Z9" s="87"/>
      <c r="AA9" s="87"/>
      <c r="AB9" s="87"/>
      <c r="AC9" s="87"/>
      <c r="AD9" s="87"/>
      <c r="AE9" s="87" t="s">
        <v>117</v>
      </c>
      <c r="AF9" s="87" t="s">
        <v>117</v>
      </c>
      <c r="AG9" s="87"/>
      <c r="AH9" s="87"/>
      <c r="AI9" s="87"/>
      <c r="AJ9" s="27" t="s">
        <v>102</v>
      </c>
      <c r="AK9" s="18"/>
      <c r="AL9" s="18"/>
      <c r="AM9" s="18"/>
      <c r="AN9" s="18"/>
    </row>
    <row r="10" spans="1:40" ht="14.25" customHeight="1" x14ac:dyDescent="0.35">
      <c r="A10" s="26" t="s">
        <v>925</v>
      </c>
      <c r="B10" s="100" t="s">
        <v>924</v>
      </c>
      <c r="C10" s="110" t="s">
        <v>114</v>
      </c>
      <c r="D10" s="116" t="s">
        <v>123</v>
      </c>
      <c r="E10" s="86" t="s">
        <v>124</v>
      </c>
      <c r="F10" s="86" t="s">
        <v>125</v>
      </c>
      <c r="G10" s="86" t="s">
        <v>901</v>
      </c>
      <c r="H10" s="86"/>
      <c r="I10" s="86" t="s">
        <v>5</v>
      </c>
      <c r="J10" s="86" t="s">
        <v>98</v>
      </c>
      <c r="K10" s="86">
        <v>2</v>
      </c>
      <c r="L10" s="86">
        <v>12</v>
      </c>
      <c r="M10" s="87">
        <v>1965</v>
      </c>
      <c r="N10" s="88">
        <f t="shared" si="1"/>
        <v>24078</v>
      </c>
      <c r="O10" s="25" t="e">
        <f>IF(L10&gt;#REF!,#REF!-M10-1,#REF!-M10)</f>
        <v>#REF!</v>
      </c>
      <c r="P10" s="25" t="e">
        <f t="shared" si="0"/>
        <v>#REF!</v>
      </c>
      <c r="Q10" s="87" t="s">
        <v>40</v>
      </c>
      <c r="R10" s="121" t="s">
        <v>33</v>
      </c>
      <c r="S10" s="87" t="s">
        <v>54</v>
      </c>
      <c r="T10" s="87" t="s">
        <v>68</v>
      </c>
      <c r="U10" s="87" t="s">
        <v>906</v>
      </c>
      <c r="V10" s="87" t="s">
        <v>907</v>
      </c>
      <c r="W10" s="87" t="s">
        <v>909</v>
      </c>
      <c r="X10" s="87" t="s">
        <v>916</v>
      </c>
      <c r="Y10" s="87"/>
      <c r="Z10" s="87"/>
      <c r="AA10" s="87"/>
      <c r="AB10" s="87"/>
      <c r="AC10" s="87"/>
      <c r="AD10" s="87"/>
      <c r="AE10" s="87" t="s">
        <v>117</v>
      </c>
      <c r="AF10" s="87" t="s">
        <v>117</v>
      </c>
      <c r="AG10" s="87"/>
      <c r="AH10" s="87"/>
      <c r="AI10" s="87"/>
      <c r="AJ10" s="27" t="s">
        <v>102</v>
      </c>
      <c r="AK10" s="18"/>
      <c r="AL10" s="18"/>
      <c r="AM10" s="18"/>
      <c r="AN10" s="18"/>
    </row>
    <row r="11" spans="1:40" ht="14.25" customHeight="1" x14ac:dyDescent="0.35">
      <c r="A11" s="26" t="s">
        <v>925</v>
      </c>
      <c r="B11" s="100" t="s">
        <v>924</v>
      </c>
      <c r="C11" s="110" t="s">
        <v>126</v>
      </c>
      <c r="D11" s="116" t="s">
        <v>127</v>
      </c>
      <c r="E11" s="86" t="s">
        <v>128</v>
      </c>
      <c r="F11" s="86" t="s">
        <v>97</v>
      </c>
      <c r="G11" s="86" t="s">
        <v>901</v>
      </c>
      <c r="H11" s="86"/>
      <c r="I11" s="86" t="s">
        <v>4</v>
      </c>
      <c r="J11" s="86" t="s">
        <v>129</v>
      </c>
      <c r="K11" s="86">
        <v>1</v>
      </c>
      <c r="L11" s="86">
        <v>2</v>
      </c>
      <c r="M11" s="87">
        <v>1976</v>
      </c>
      <c r="N11" s="88">
        <f t="shared" si="1"/>
        <v>27791</v>
      </c>
      <c r="O11" s="25" t="e">
        <f>IF(L11&gt;#REF!,#REF!-M11-1,#REF!-M11)</f>
        <v>#REF!</v>
      </c>
      <c r="P11" s="25" t="e">
        <f t="shared" si="0"/>
        <v>#REF!</v>
      </c>
      <c r="Q11" s="87" t="s">
        <v>40</v>
      </c>
      <c r="R11" s="121" t="s">
        <v>31</v>
      </c>
      <c r="S11" s="87" t="s">
        <v>55</v>
      </c>
      <c r="T11" s="87" t="s">
        <v>70</v>
      </c>
      <c r="U11" s="87" t="s">
        <v>906</v>
      </c>
      <c r="V11" s="87" t="s">
        <v>907</v>
      </c>
      <c r="W11" s="87" t="s">
        <v>909</v>
      </c>
      <c r="X11" s="87" t="s">
        <v>916</v>
      </c>
      <c r="Y11" s="87"/>
      <c r="Z11" s="87"/>
      <c r="AA11" s="87"/>
      <c r="AB11" s="87"/>
      <c r="AC11" s="87"/>
      <c r="AD11" s="87"/>
      <c r="AE11" s="87" t="s">
        <v>130</v>
      </c>
      <c r="AF11" s="87" t="s">
        <v>130</v>
      </c>
      <c r="AG11" s="87"/>
      <c r="AH11" s="87"/>
      <c r="AI11" s="87"/>
      <c r="AJ11" s="27" t="s">
        <v>102</v>
      </c>
      <c r="AK11" s="18"/>
      <c r="AL11" s="18"/>
      <c r="AM11" s="18"/>
      <c r="AN11" s="18"/>
    </row>
    <row r="12" spans="1:40" ht="14.25" customHeight="1" x14ac:dyDescent="0.35">
      <c r="A12" s="26" t="s">
        <v>925</v>
      </c>
      <c r="B12" s="100" t="s">
        <v>924</v>
      </c>
      <c r="C12" s="110" t="s">
        <v>126</v>
      </c>
      <c r="D12" s="116" t="s">
        <v>131</v>
      </c>
      <c r="E12" s="86" t="s">
        <v>132</v>
      </c>
      <c r="F12" s="86" t="s">
        <v>105</v>
      </c>
      <c r="G12" s="86" t="s">
        <v>901</v>
      </c>
      <c r="H12" s="86"/>
      <c r="I12" s="86" t="s">
        <v>5</v>
      </c>
      <c r="J12" s="86" t="s">
        <v>98</v>
      </c>
      <c r="K12" s="86">
        <v>12</v>
      </c>
      <c r="L12" s="86">
        <v>4</v>
      </c>
      <c r="M12" s="87">
        <v>1999</v>
      </c>
      <c r="N12" s="88">
        <f t="shared" si="1"/>
        <v>36262</v>
      </c>
      <c r="O12" s="25" t="e">
        <f>IF(L12&gt;#REF!,#REF!-M12-1,#REF!-M12)</f>
        <v>#REF!</v>
      </c>
      <c r="P12" s="25" t="e">
        <f t="shared" si="0"/>
        <v>#REF!</v>
      </c>
      <c r="Q12" s="87" t="s">
        <v>40</v>
      </c>
      <c r="R12" s="121" t="s">
        <v>30</v>
      </c>
      <c r="S12" s="87" t="s">
        <v>57</v>
      </c>
      <c r="T12" s="87" t="s">
        <v>65</v>
      </c>
      <c r="U12" s="87" t="s">
        <v>906</v>
      </c>
      <c r="V12" s="87" t="s">
        <v>907</v>
      </c>
      <c r="W12" s="87" t="s">
        <v>909</v>
      </c>
      <c r="X12" s="87" t="s">
        <v>916</v>
      </c>
      <c r="Y12" s="87"/>
      <c r="Z12" s="87"/>
      <c r="AA12" s="87"/>
      <c r="AB12" s="87"/>
      <c r="AC12" s="87"/>
      <c r="AD12" s="87"/>
      <c r="AE12" s="87" t="s">
        <v>130</v>
      </c>
      <c r="AF12" s="87" t="s">
        <v>130</v>
      </c>
      <c r="AG12" s="87"/>
      <c r="AH12" s="87"/>
      <c r="AI12" s="87"/>
      <c r="AJ12" s="27" t="s">
        <v>102</v>
      </c>
      <c r="AK12" s="18"/>
      <c r="AL12" s="18"/>
      <c r="AM12" s="18"/>
      <c r="AN12" s="18"/>
    </row>
    <row r="13" spans="1:40" ht="14.25" customHeight="1" x14ac:dyDescent="0.35">
      <c r="A13" s="26" t="s">
        <v>925</v>
      </c>
      <c r="B13" s="100" t="s">
        <v>924</v>
      </c>
      <c r="C13" s="110" t="s">
        <v>126</v>
      </c>
      <c r="D13" s="116" t="s">
        <v>133</v>
      </c>
      <c r="E13" s="86" t="s">
        <v>134</v>
      </c>
      <c r="F13" s="86" t="s">
        <v>108</v>
      </c>
      <c r="G13" s="86" t="s">
        <v>901</v>
      </c>
      <c r="H13" s="86"/>
      <c r="I13" s="86" t="s">
        <v>4</v>
      </c>
      <c r="J13" s="86" t="s">
        <v>98</v>
      </c>
      <c r="K13" s="86">
        <v>3</v>
      </c>
      <c r="L13" s="86">
        <v>5</v>
      </c>
      <c r="M13" s="87">
        <v>2005</v>
      </c>
      <c r="N13" s="88">
        <f t="shared" si="1"/>
        <v>38475</v>
      </c>
      <c r="O13" s="25" t="e">
        <f>IF(L13&gt;#REF!,#REF!-M13-1,#REF!-M13)</f>
        <v>#REF!</v>
      </c>
      <c r="P13" s="25" t="e">
        <f t="shared" si="0"/>
        <v>#REF!</v>
      </c>
      <c r="Q13" s="87" t="s">
        <v>40</v>
      </c>
      <c r="R13" s="121" t="s">
        <v>28</v>
      </c>
      <c r="S13" s="87" t="s">
        <v>48</v>
      </c>
      <c r="T13" s="87" t="s">
        <v>65</v>
      </c>
      <c r="U13" s="87" t="s">
        <v>906</v>
      </c>
      <c r="V13" s="87" t="s">
        <v>907</v>
      </c>
      <c r="W13" s="87" t="s">
        <v>909</v>
      </c>
      <c r="X13" s="87" t="s">
        <v>916</v>
      </c>
      <c r="Y13" s="87"/>
      <c r="Z13" s="87"/>
      <c r="AA13" s="87"/>
      <c r="AB13" s="87"/>
      <c r="AC13" s="87"/>
      <c r="AD13" s="87"/>
      <c r="AE13" s="87" t="s">
        <v>130</v>
      </c>
      <c r="AF13" s="87" t="s">
        <v>130</v>
      </c>
      <c r="AG13" s="87"/>
      <c r="AH13" s="87"/>
      <c r="AI13" s="87"/>
      <c r="AJ13" s="27" t="s">
        <v>102</v>
      </c>
      <c r="AK13" s="18"/>
      <c r="AL13" s="18"/>
      <c r="AM13" s="18"/>
      <c r="AN13" s="18"/>
    </row>
    <row r="14" spans="1:40" ht="14.25" customHeight="1" x14ac:dyDescent="0.35">
      <c r="A14" s="26" t="s">
        <v>925</v>
      </c>
      <c r="B14" s="100" t="s">
        <v>924</v>
      </c>
      <c r="C14" s="110" t="s">
        <v>135</v>
      </c>
      <c r="D14" s="116" t="s">
        <v>136</v>
      </c>
      <c r="E14" s="86" t="s">
        <v>137</v>
      </c>
      <c r="F14" s="86" t="s">
        <v>97</v>
      </c>
      <c r="G14" s="86" t="s">
        <v>901</v>
      </c>
      <c r="H14" s="86"/>
      <c r="I14" s="86" t="s">
        <v>4</v>
      </c>
      <c r="J14" s="86" t="s">
        <v>129</v>
      </c>
      <c r="K14" s="86">
        <v>31</v>
      </c>
      <c r="L14" s="86">
        <v>12</v>
      </c>
      <c r="M14" s="87">
        <v>1962</v>
      </c>
      <c r="N14" s="88">
        <f t="shared" si="1"/>
        <v>23011</v>
      </c>
      <c r="O14" s="25" t="e">
        <f>IF(L14&gt;#REF!,#REF!-M14-1,#REF!-M14)</f>
        <v>#REF!</v>
      </c>
      <c r="P14" s="25" t="e">
        <f t="shared" si="0"/>
        <v>#REF!</v>
      </c>
      <c r="Q14" s="87" t="s">
        <v>40</v>
      </c>
      <c r="R14" s="121" t="s">
        <v>31</v>
      </c>
      <c r="S14" s="87" t="s">
        <v>62</v>
      </c>
      <c r="T14" s="87" t="s">
        <v>67</v>
      </c>
      <c r="U14" s="87" t="s">
        <v>906</v>
      </c>
      <c r="V14" s="87" t="s">
        <v>907</v>
      </c>
      <c r="W14" s="87" t="s">
        <v>909</v>
      </c>
      <c r="X14" s="87" t="s">
        <v>916</v>
      </c>
      <c r="Y14" s="87"/>
      <c r="Z14" s="87"/>
      <c r="AA14" s="87"/>
      <c r="AB14" s="87"/>
      <c r="AC14" s="87"/>
      <c r="AD14" s="87"/>
      <c r="AE14" s="87" t="s">
        <v>100</v>
      </c>
      <c r="AF14" s="87" t="s">
        <v>100</v>
      </c>
      <c r="AG14" s="87"/>
      <c r="AH14" s="87"/>
      <c r="AI14" s="87"/>
      <c r="AJ14" s="27" t="s">
        <v>102</v>
      </c>
      <c r="AK14" s="18"/>
      <c r="AL14" s="18"/>
      <c r="AM14" s="18"/>
      <c r="AN14" s="18"/>
    </row>
    <row r="15" spans="1:40" ht="14.25" customHeight="1" x14ac:dyDescent="0.35">
      <c r="A15" s="26" t="s">
        <v>925</v>
      </c>
      <c r="B15" s="100" t="s">
        <v>924</v>
      </c>
      <c r="C15" s="110" t="s">
        <v>135</v>
      </c>
      <c r="D15" s="116" t="s">
        <v>138</v>
      </c>
      <c r="E15" s="86" t="s">
        <v>139</v>
      </c>
      <c r="F15" s="86" t="s">
        <v>105</v>
      </c>
      <c r="G15" s="86" t="s">
        <v>901</v>
      </c>
      <c r="H15" s="86"/>
      <c r="I15" s="86" t="s">
        <v>5</v>
      </c>
      <c r="J15" s="86" t="s">
        <v>98</v>
      </c>
      <c r="K15" s="86">
        <v>31</v>
      </c>
      <c r="L15" s="86">
        <v>12</v>
      </c>
      <c r="M15" s="87">
        <v>1967</v>
      </c>
      <c r="N15" s="88">
        <f t="shared" si="1"/>
        <v>24837</v>
      </c>
      <c r="O15" s="25" t="e">
        <f>IF(L15&gt;#REF!,#REF!-M15-1,#REF!-M15)</f>
        <v>#REF!</v>
      </c>
      <c r="P15" s="25" t="e">
        <f t="shared" si="0"/>
        <v>#REF!</v>
      </c>
      <c r="Q15" s="87" t="s">
        <v>40</v>
      </c>
      <c r="R15" s="121" t="s">
        <v>33</v>
      </c>
      <c r="S15" s="87" t="s">
        <v>54</v>
      </c>
      <c r="T15" s="87" t="s">
        <v>67</v>
      </c>
      <c r="U15" s="87" t="s">
        <v>906</v>
      </c>
      <c r="V15" s="87" t="s">
        <v>907</v>
      </c>
      <c r="W15" s="87" t="s">
        <v>909</v>
      </c>
      <c r="X15" s="87" t="s">
        <v>916</v>
      </c>
      <c r="Y15" s="87"/>
      <c r="Z15" s="87"/>
      <c r="AA15" s="87"/>
      <c r="AB15" s="87"/>
      <c r="AC15" s="87"/>
      <c r="AD15" s="87"/>
      <c r="AE15" s="87" t="s">
        <v>100</v>
      </c>
      <c r="AF15" s="87" t="s">
        <v>100</v>
      </c>
      <c r="AG15" s="87"/>
      <c r="AH15" s="87"/>
      <c r="AI15" s="87"/>
      <c r="AJ15" s="27" t="s">
        <v>102</v>
      </c>
      <c r="AK15" s="18"/>
      <c r="AL15" s="18"/>
      <c r="AM15" s="18"/>
      <c r="AN15" s="18"/>
    </row>
    <row r="16" spans="1:40" ht="14.25" customHeight="1" x14ac:dyDescent="0.35">
      <c r="A16" s="26" t="s">
        <v>925</v>
      </c>
      <c r="B16" s="100" t="s">
        <v>924</v>
      </c>
      <c r="C16" s="110" t="s">
        <v>135</v>
      </c>
      <c r="D16" s="116" t="s">
        <v>140</v>
      </c>
      <c r="E16" s="86" t="s">
        <v>141</v>
      </c>
      <c r="F16" s="86" t="s">
        <v>108</v>
      </c>
      <c r="G16" s="86" t="s">
        <v>901</v>
      </c>
      <c r="H16" s="86"/>
      <c r="I16" s="86" t="s">
        <v>4</v>
      </c>
      <c r="J16" s="86" t="s">
        <v>98</v>
      </c>
      <c r="K16" s="86">
        <v>25</v>
      </c>
      <c r="L16" s="86">
        <v>3</v>
      </c>
      <c r="M16" s="87">
        <v>1987</v>
      </c>
      <c r="N16" s="88">
        <f t="shared" si="1"/>
        <v>31861</v>
      </c>
      <c r="O16" s="25" t="e">
        <f>IF(L16&gt;#REF!,#REF!-M16-1,#REF!-M16)</f>
        <v>#REF!</v>
      </c>
      <c r="P16" s="25" t="e">
        <f t="shared" si="0"/>
        <v>#REF!</v>
      </c>
      <c r="Q16" s="87" t="s">
        <v>40</v>
      </c>
      <c r="R16" s="121" t="s">
        <v>33</v>
      </c>
      <c r="S16" s="87" t="s">
        <v>57</v>
      </c>
      <c r="T16" s="87" t="s">
        <v>65</v>
      </c>
      <c r="U16" s="87" t="s">
        <v>906</v>
      </c>
      <c r="V16" s="87" t="s">
        <v>907</v>
      </c>
      <c r="W16" s="87" t="s">
        <v>909</v>
      </c>
      <c r="X16" s="87" t="s">
        <v>916</v>
      </c>
      <c r="Y16" s="87"/>
      <c r="Z16" s="87"/>
      <c r="AA16" s="87"/>
      <c r="AB16" s="87"/>
      <c r="AC16" s="87"/>
      <c r="AD16" s="87"/>
      <c r="AE16" s="87" t="s">
        <v>100</v>
      </c>
      <c r="AF16" s="87" t="s">
        <v>100</v>
      </c>
      <c r="AG16" s="87"/>
      <c r="AH16" s="87"/>
      <c r="AI16" s="87"/>
      <c r="AJ16" s="27" t="s">
        <v>102</v>
      </c>
      <c r="AK16" s="18"/>
      <c r="AL16" s="18"/>
      <c r="AM16" s="18"/>
      <c r="AN16" s="18"/>
    </row>
    <row r="17" spans="1:40" ht="14.25" customHeight="1" x14ac:dyDescent="0.35">
      <c r="A17" s="26" t="s">
        <v>925</v>
      </c>
      <c r="B17" s="100" t="s">
        <v>924</v>
      </c>
      <c r="C17" s="110" t="s">
        <v>135</v>
      </c>
      <c r="D17" s="116" t="s">
        <v>142</v>
      </c>
      <c r="E17" s="86" t="s">
        <v>143</v>
      </c>
      <c r="F17" s="86" t="s">
        <v>108</v>
      </c>
      <c r="G17" s="86" t="s">
        <v>901</v>
      </c>
      <c r="H17" s="86"/>
      <c r="I17" s="86" t="s">
        <v>4</v>
      </c>
      <c r="J17" s="86" t="s">
        <v>98</v>
      </c>
      <c r="K17" s="86">
        <v>1</v>
      </c>
      <c r="L17" s="86">
        <v>8</v>
      </c>
      <c r="M17" s="87">
        <v>1997</v>
      </c>
      <c r="N17" s="88">
        <f t="shared" si="1"/>
        <v>35643</v>
      </c>
      <c r="O17" s="25" t="e">
        <f>IF(L17&gt;#REF!,#REF!-M17-1,#REF!-M17)</f>
        <v>#REF!</v>
      </c>
      <c r="P17" s="25" t="e">
        <f t="shared" si="0"/>
        <v>#REF!</v>
      </c>
      <c r="Q17" s="87" t="s">
        <v>40</v>
      </c>
      <c r="R17" s="121" t="s">
        <v>31</v>
      </c>
      <c r="S17" s="87" t="s">
        <v>57</v>
      </c>
      <c r="T17" s="87" t="s">
        <v>65</v>
      </c>
      <c r="U17" s="87" t="s">
        <v>906</v>
      </c>
      <c r="V17" s="87" t="s">
        <v>907</v>
      </c>
      <c r="W17" s="87" t="s">
        <v>909</v>
      </c>
      <c r="X17" s="87" t="s">
        <v>916</v>
      </c>
      <c r="Y17" s="87"/>
      <c r="Z17" s="87"/>
      <c r="AA17" s="87"/>
      <c r="AB17" s="87"/>
      <c r="AC17" s="87"/>
      <c r="AD17" s="87"/>
      <c r="AE17" s="87" t="s">
        <v>100</v>
      </c>
      <c r="AF17" s="87" t="s">
        <v>100</v>
      </c>
      <c r="AG17" s="87"/>
      <c r="AH17" s="87"/>
      <c r="AI17" s="87"/>
      <c r="AJ17" s="27" t="s">
        <v>102</v>
      </c>
      <c r="AK17" s="18"/>
      <c r="AL17" s="18"/>
      <c r="AM17" s="18"/>
      <c r="AN17" s="18"/>
    </row>
    <row r="18" spans="1:40" ht="14.25" customHeight="1" x14ac:dyDescent="0.35">
      <c r="A18" s="26" t="s">
        <v>925</v>
      </c>
      <c r="B18" s="100" t="s">
        <v>924</v>
      </c>
      <c r="C18" s="110" t="s">
        <v>144</v>
      </c>
      <c r="D18" s="116" t="s">
        <v>145</v>
      </c>
      <c r="E18" s="86" t="s">
        <v>146</v>
      </c>
      <c r="F18" s="86" t="s">
        <v>97</v>
      </c>
      <c r="G18" s="86" t="s">
        <v>901</v>
      </c>
      <c r="H18" s="86"/>
      <c r="I18" s="86" t="s">
        <v>5</v>
      </c>
      <c r="J18" s="86" t="s">
        <v>98</v>
      </c>
      <c r="K18" s="86">
        <v>30</v>
      </c>
      <c r="L18" s="86">
        <v>10</v>
      </c>
      <c r="M18" s="87">
        <v>1982</v>
      </c>
      <c r="N18" s="88">
        <f t="shared" si="1"/>
        <v>30254</v>
      </c>
      <c r="O18" s="25" t="e">
        <f>IF(L18&gt;#REF!,#REF!-M18-1,#REF!-M18)</f>
        <v>#REF!</v>
      </c>
      <c r="P18" s="25" t="e">
        <f t="shared" si="0"/>
        <v>#REF!</v>
      </c>
      <c r="Q18" s="87" t="s">
        <v>40</v>
      </c>
      <c r="R18" s="121" t="s">
        <v>31</v>
      </c>
      <c r="S18" s="87" t="s">
        <v>54</v>
      </c>
      <c r="T18" s="87" t="s">
        <v>68</v>
      </c>
      <c r="U18" s="87" t="s">
        <v>906</v>
      </c>
      <c r="V18" s="87" t="s">
        <v>907</v>
      </c>
      <c r="W18" s="87" t="s">
        <v>909</v>
      </c>
      <c r="X18" s="87" t="s">
        <v>916</v>
      </c>
      <c r="Y18" s="87"/>
      <c r="Z18" s="87"/>
      <c r="AA18" s="87"/>
      <c r="AB18" s="87"/>
      <c r="AC18" s="87"/>
      <c r="AD18" s="87"/>
      <c r="AE18" s="87" t="s">
        <v>117</v>
      </c>
      <c r="AF18" s="87" t="s">
        <v>117</v>
      </c>
      <c r="AG18" s="87"/>
      <c r="AH18" s="87"/>
      <c r="AI18" s="87"/>
      <c r="AJ18" s="27" t="s">
        <v>102</v>
      </c>
      <c r="AK18" s="18"/>
      <c r="AL18" s="18"/>
      <c r="AM18" s="18"/>
      <c r="AN18" s="18"/>
    </row>
    <row r="19" spans="1:40" ht="14.25" customHeight="1" x14ac:dyDescent="0.35">
      <c r="A19" s="26" t="s">
        <v>925</v>
      </c>
      <c r="B19" s="100" t="s">
        <v>924</v>
      </c>
      <c r="C19" s="110" t="s">
        <v>144</v>
      </c>
      <c r="D19" s="116" t="s">
        <v>147</v>
      </c>
      <c r="E19" s="86" t="s">
        <v>148</v>
      </c>
      <c r="F19" s="86" t="s">
        <v>105</v>
      </c>
      <c r="G19" s="86" t="s">
        <v>901</v>
      </c>
      <c r="H19" s="86"/>
      <c r="I19" s="86" t="s">
        <v>5</v>
      </c>
      <c r="J19" s="86" t="s">
        <v>98</v>
      </c>
      <c r="K19" s="86">
        <v>12</v>
      </c>
      <c r="L19" s="86">
        <v>11</v>
      </c>
      <c r="M19" s="87">
        <v>1991</v>
      </c>
      <c r="N19" s="88">
        <f t="shared" si="1"/>
        <v>33554</v>
      </c>
      <c r="O19" s="25" t="e">
        <f>IF(L19&gt;#REF!,#REF!-M19-1,#REF!-M19)</f>
        <v>#REF!</v>
      </c>
      <c r="P19" s="25" t="e">
        <f t="shared" si="0"/>
        <v>#REF!</v>
      </c>
      <c r="Q19" s="87" t="s">
        <v>40</v>
      </c>
      <c r="R19" s="121" t="s">
        <v>31</v>
      </c>
      <c r="S19" s="87" t="s">
        <v>55</v>
      </c>
      <c r="T19" s="87" t="s">
        <v>67</v>
      </c>
      <c r="U19" s="87" t="s">
        <v>906</v>
      </c>
      <c r="V19" s="87" t="s">
        <v>907</v>
      </c>
      <c r="W19" s="87" t="s">
        <v>909</v>
      </c>
      <c r="X19" s="87" t="s">
        <v>916</v>
      </c>
      <c r="Y19" s="87"/>
      <c r="Z19" s="87"/>
      <c r="AA19" s="87"/>
      <c r="AB19" s="87"/>
      <c r="AC19" s="87"/>
      <c r="AD19" s="87"/>
      <c r="AE19" s="87" t="s">
        <v>117</v>
      </c>
      <c r="AF19" s="87" t="s">
        <v>117</v>
      </c>
      <c r="AG19" s="87"/>
      <c r="AH19" s="87"/>
      <c r="AI19" s="87"/>
      <c r="AJ19" s="27" t="s">
        <v>102</v>
      </c>
      <c r="AK19" s="18"/>
      <c r="AL19" s="18"/>
      <c r="AM19" s="18"/>
      <c r="AN19" s="18"/>
    </row>
    <row r="20" spans="1:40" ht="14.25" customHeight="1" x14ac:dyDescent="0.35">
      <c r="A20" s="26" t="s">
        <v>925</v>
      </c>
      <c r="B20" s="100" t="s">
        <v>924</v>
      </c>
      <c r="C20" s="110" t="s">
        <v>144</v>
      </c>
      <c r="D20" s="116" t="s">
        <v>149</v>
      </c>
      <c r="E20" s="86" t="s">
        <v>150</v>
      </c>
      <c r="F20" s="86" t="s">
        <v>108</v>
      </c>
      <c r="G20" s="86" t="s">
        <v>901</v>
      </c>
      <c r="H20" s="86"/>
      <c r="I20" s="86" t="s">
        <v>4</v>
      </c>
      <c r="J20" s="86" t="s">
        <v>98</v>
      </c>
      <c r="K20" s="86">
        <v>27</v>
      </c>
      <c r="L20" s="86">
        <v>1</v>
      </c>
      <c r="M20" s="87">
        <v>2004</v>
      </c>
      <c r="N20" s="88">
        <f t="shared" si="1"/>
        <v>38013</v>
      </c>
      <c r="O20" s="25" t="e">
        <f>IF(L20&gt;#REF!,#REF!-M20-1,#REF!-M20)</f>
        <v>#REF!</v>
      </c>
      <c r="P20" s="25" t="e">
        <f t="shared" si="0"/>
        <v>#REF!</v>
      </c>
      <c r="Q20" s="87" t="s">
        <v>40</v>
      </c>
      <c r="R20" s="121" t="s">
        <v>30</v>
      </c>
      <c r="S20" s="87" t="s">
        <v>57</v>
      </c>
      <c r="T20" s="87" t="s">
        <v>65</v>
      </c>
      <c r="U20" s="87" t="s">
        <v>906</v>
      </c>
      <c r="V20" s="87" t="s">
        <v>907</v>
      </c>
      <c r="W20" s="87" t="s">
        <v>909</v>
      </c>
      <c r="X20" s="87" t="s">
        <v>916</v>
      </c>
      <c r="Y20" s="87"/>
      <c r="Z20" s="87"/>
      <c r="AA20" s="87"/>
      <c r="AB20" s="87"/>
      <c r="AC20" s="87"/>
      <c r="AD20" s="87"/>
      <c r="AE20" s="87" t="s">
        <v>117</v>
      </c>
      <c r="AF20" s="87" t="s">
        <v>117</v>
      </c>
      <c r="AG20" s="87"/>
      <c r="AH20" s="87"/>
      <c r="AI20" s="87"/>
      <c r="AJ20" s="27" t="s">
        <v>102</v>
      </c>
      <c r="AK20" s="18"/>
      <c r="AL20" s="18"/>
      <c r="AM20" s="18"/>
      <c r="AN20" s="18"/>
    </row>
    <row r="21" spans="1:40" ht="14.25" customHeight="1" x14ac:dyDescent="0.35">
      <c r="A21" s="26" t="s">
        <v>925</v>
      </c>
      <c r="B21" s="100" t="s">
        <v>924</v>
      </c>
      <c r="C21" s="110" t="s">
        <v>144</v>
      </c>
      <c r="D21" s="116" t="s">
        <v>151</v>
      </c>
      <c r="E21" s="86" t="s">
        <v>152</v>
      </c>
      <c r="F21" s="86" t="s">
        <v>108</v>
      </c>
      <c r="G21" s="86" t="s">
        <v>901</v>
      </c>
      <c r="H21" s="86"/>
      <c r="I21" s="86" t="s">
        <v>4</v>
      </c>
      <c r="J21" s="86" t="s">
        <v>98</v>
      </c>
      <c r="K21" s="86">
        <v>15</v>
      </c>
      <c r="L21" s="86">
        <v>3</v>
      </c>
      <c r="M21" s="87">
        <v>2008</v>
      </c>
      <c r="N21" s="88">
        <f t="shared" si="1"/>
        <v>39522</v>
      </c>
      <c r="O21" s="25" t="e">
        <f>IF(L21&gt;#REF!,#REF!-M21-1,#REF!-M21)</f>
        <v>#REF!</v>
      </c>
      <c r="P21" s="25" t="e">
        <f t="shared" si="0"/>
        <v>#REF!</v>
      </c>
      <c r="Q21" s="87" t="s">
        <v>40</v>
      </c>
      <c r="R21" s="121" t="s">
        <v>28</v>
      </c>
      <c r="S21" s="87" t="s">
        <v>48</v>
      </c>
      <c r="T21" s="87" t="s">
        <v>65</v>
      </c>
      <c r="U21" s="87" t="s">
        <v>906</v>
      </c>
      <c r="V21" s="87" t="s">
        <v>907</v>
      </c>
      <c r="W21" s="87" t="s">
        <v>909</v>
      </c>
      <c r="X21" s="87" t="s">
        <v>916</v>
      </c>
      <c r="Y21" s="87"/>
      <c r="Z21" s="87"/>
      <c r="AA21" s="87"/>
      <c r="AB21" s="87"/>
      <c r="AC21" s="87"/>
      <c r="AD21" s="87"/>
      <c r="AE21" s="87" t="s">
        <v>117</v>
      </c>
      <c r="AF21" s="87" t="s">
        <v>117</v>
      </c>
      <c r="AG21" s="87"/>
      <c r="AH21" s="87"/>
      <c r="AI21" s="87"/>
      <c r="AJ21" s="27" t="s">
        <v>102</v>
      </c>
      <c r="AK21" s="18"/>
      <c r="AL21" s="18"/>
      <c r="AM21" s="18"/>
      <c r="AN21" s="18"/>
    </row>
    <row r="22" spans="1:40" ht="14.25" customHeight="1" x14ac:dyDescent="0.35">
      <c r="A22" s="26" t="s">
        <v>925</v>
      </c>
      <c r="B22" s="100" t="s">
        <v>924</v>
      </c>
      <c r="C22" s="110" t="s">
        <v>144</v>
      </c>
      <c r="D22" s="116" t="s">
        <v>153</v>
      </c>
      <c r="E22" s="86" t="s">
        <v>154</v>
      </c>
      <c r="F22" s="86" t="s">
        <v>125</v>
      </c>
      <c r="G22" s="86" t="s">
        <v>901</v>
      </c>
      <c r="H22" s="86"/>
      <c r="I22" s="86" t="s">
        <v>4</v>
      </c>
      <c r="J22" s="86" t="s">
        <v>155</v>
      </c>
      <c r="K22" s="86">
        <v>17</v>
      </c>
      <c r="L22" s="86">
        <v>6</v>
      </c>
      <c r="M22" s="87">
        <v>1990</v>
      </c>
      <c r="N22" s="88">
        <f t="shared" si="1"/>
        <v>33041</v>
      </c>
      <c r="O22" s="25" t="e">
        <f>IF(L22&gt;#REF!,#REF!-M22-1,#REF!-M22)</f>
        <v>#REF!</v>
      </c>
      <c r="P22" s="25" t="e">
        <f t="shared" si="0"/>
        <v>#REF!</v>
      </c>
      <c r="Q22" s="87" t="s">
        <v>40</v>
      </c>
      <c r="R22" s="121" t="s">
        <v>31</v>
      </c>
      <c r="S22" s="87" t="s">
        <v>55</v>
      </c>
      <c r="T22" s="87" t="s">
        <v>65</v>
      </c>
      <c r="U22" s="87" t="s">
        <v>906</v>
      </c>
      <c r="V22" s="87" t="s">
        <v>907</v>
      </c>
      <c r="W22" s="87" t="s">
        <v>909</v>
      </c>
      <c r="X22" s="87" t="s">
        <v>916</v>
      </c>
      <c r="Y22" s="87"/>
      <c r="Z22" s="87"/>
      <c r="AA22" s="87"/>
      <c r="AB22" s="87"/>
      <c r="AC22" s="87"/>
      <c r="AD22" s="87"/>
      <c r="AE22" s="87" t="s">
        <v>117</v>
      </c>
      <c r="AF22" s="87" t="s">
        <v>117</v>
      </c>
      <c r="AG22" s="87"/>
      <c r="AH22" s="87"/>
      <c r="AI22" s="87"/>
      <c r="AJ22" s="27" t="s">
        <v>102</v>
      </c>
      <c r="AK22" s="18"/>
      <c r="AL22" s="18"/>
      <c r="AM22" s="18"/>
      <c r="AN22" s="18"/>
    </row>
    <row r="23" spans="1:40" ht="14.25" customHeight="1" x14ac:dyDescent="0.35">
      <c r="A23" s="26" t="s">
        <v>925</v>
      </c>
      <c r="B23" s="100" t="s">
        <v>924</v>
      </c>
      <c r="C23" s="110" t="s">
        <v>156</v>
      </c>
      <c r="D23" s="116" t="s">
        <v>157</v>
      </c>
      <c r="E23" s="86" t="s">
        <v>158</v>
      </c>
      <c r="F23" s="86" t="s">
        <v>97</v>
      </c>
      <c r="G23" s="86" t="s">
        <v>901</v>
      </c>
      <c r="H23" s="86"/>
      <c r="I23" s="86" t="s">
        <v>4</v>
      </c>
      <c r="J23" s="86" t="s">
        <v>159</v>
      </c>
      <c r="K23" s="86">
        <v>18</v>
      </c>
      <c r="L23" s="86">
        <v>7</v>
      </c>
      <c r="M23" s="87">
        <v>1954</v>
      </c>
      <c r="N23" s="88">
        <f t="shared" si="1"/>
        <v>19923</v>
      </c>
      <c r="O23" s="25" t="e">
        <f>IF(L23&gt;#REF!,#REF!-M23-1,#REF!-M23)</f>
        <v>#REF!</v>
      </c>
      <c r="P23" s="25" t="e">
        <f t="shared" si="0"/>
        <v>#REF!</v>
      </c>
      <c r="Q23" s="87" t="s">
        <v>40</v>
      </c>
      <c r="R23" s="121" t="s">
        <v>35</v>
      </c>
      <c r="S23" s="87" t="s">
        <v>55</v>
      </c>
      <c r="T23" s="87" t="s">
        <v>67</v>
      </c>
      <c r="U23" s="87" t="s">
        <v>906</v>
      </c>
      <c r="V23" s="87" t="s">
        <v>907</v>
      </c>
      <c r="W23" s="87" t="s">
        <v>909</v>
      </c>
      <c r="X23" s="87" t="s">
        <v>916</v>
      </c>
      <c r="Y23" s="87"/>
      <c r="Z23" s="87"/>
      <c r="AA23" s="87"/>
      <c r="AB23" s="87"/>
      <c r="AC23" s="87"/>
      <c r="AD23" s="87"/>
      <c r="AE23" s="87" t="s">
        <v>160</v>
      </c>
      <c r="AF23" s="87" t="s">
        <v>160</v>
      </c>
      <c r="AG23" s="87"/>
      <c r="AH23" s="87"/>
      <c r="AI23" s="87"/>
      <c r="AJ23" s="27" t="s">
        <v>102</v>
      </c>
      <c r="AK23" s="18"/>
      <c r="AL23" s="18"/>
      <c r="AM23" s="18"/>
      <c r="AN23" s="18"/>
    </row>
    <row r="24" spans="1:40" ht="14.25" customHeight="1" x14ac:dyDescent="0.35">
      <c r="A24" s="26" t="s">
        <v>925</v>
      </c>
      <c r="B24" s="100" t="s">
        <v>924</v>
      </c>
      <c r="C24" s="110" t="s">
        <v>156</v>
      </c>
      <c r="D24" s="116" t="s">
        <v>161</v>
      </c>
      <c r="E24" s="86" t="s">
        <v>162</v>
      </c>
      <c r="F24" s="86" t="s">
        <v>105</v>
      </c>
      <c r="G24" s="86" t="s">
        <v>901</v>
      </c>
      <c r="H24" s="86"/>
      <c r="I24" s="86" t="s">
        <v>5</v>
      </c>
      <c r="J24" s="86" t="s">
        <v>98</v>
      </c>
      <c r="K24" s="86">
        <v>2</v>
      </c>
      <c r="L24" s="86">
        <v>2</v>
      </c>
      <c r="M24" s="87">
        <v>1955</v>
      </c>
      <c r="N24" s="88">
        <f t="shared" si="1"/>
        <v>20122</v>
      </c>
      <c r="O24" s="25" t="e">
        <f>IF(L24&gt;#REF!,#REF!-M24-1,#REF!-M24)</f>
        <v>#REF!</v>
      </c>
      <c r="P24" s="25" t="e">
        <f t="shared" si="0"/>
        <v>#REF!</v>
      </c>
      <c r="Q24" s="87" t="s">
        <v>40</v>
      </c>
      <c r="R24" s="121" t="s">
        <v>31</v>
      </c>
      <c r="S24" s="87" t="s">
        <v>54</v>
      </c>
      <c r="T24" s="87" t="s">
        <v>67</v>
      </c>
      <c r="U24" s="87" t="s">
        <v>906</v>
      </c>
      <c r="V24" s="87" t="s">
        <v>907</v>
      </c>
      <c r="W24" s="87" t="s">
        <v>909</v>
      </c>
      <c r="X24" s="87" t="s">
        <v>916</v>
      </c>
      <c r="Y24" s="87"/>
      <c r="Z24" s="87"/>
      <c r="AA24" s="87"/>
      <c r="AB24" s="87"/>
      <c r="AC24" s="87"/>
      <c r="AD24" s="87"/>
      <c r="AE24" s="87" t="s">
        <v>163</v>
      </c>
      <c r="AF24" s="87" t="s">
        <v>163</v>
      </c>
      <c r="AG24" s="87"/>
      <c r="AH24" s="87"/>
      <c r="AI24" s="87"/>
      <c r="AJ24" s="27" t="s">
        <v>102</v>
      </c>
      <c r="AK24" s="18"/>
      <c r="AL24" s="18"/>
      <c r="AM24" s="18"/>
      <c r="AN24" s="18"/>
    </row>
    <row r="25" spans="1:40" ht="14.25" customHeight="1" x14ac:dyDescent="0.35">
      <c r="A25" s="26" t="s">
        <v>925</v>
      </c>
      <c r="B25" s="100" t="s">
        <v>924</v>
      </c>
      <c r="C25" s="110" t="s">
        <v>156</v>
      </c>
      <c r="D25" s="116" t="s">
        <v>164</v>
      </c>
      <c r="E25" s="86" t="s">
        <v>165</v>
      </c>
      <c r="F25" s="86" t="s">
        <v>108</v>
      </c>
      <c r="G25" s="86" t="s">
        <v>901</v>
      </c>
      <c r="H25" s="86"/>
      <c r="I25" s="86" t="s">
        <v>4</v>
      </c>
      <c r="J25" s="86" t="s">
        <v>98</v>
      </c>
      <c r="K25" s="86">
        <v>11</v>
      </c>
      <c r="L25" s="86">
        <v>5</v>
      </c>
      <c r="M25" s="87">
        <v>1986</v>
      </c>
      <c r="N25" s="88">
        <f t="shared" si="1"/>
        <v>31543</v>
      </c>
      <c r="O25" s="25" t="e">
        <f>IF(L25&gt;#REF!,#REF!-M25-1,#REF!-M25)</f>
        <v>#REF!</v>
      </c>
      <c r="P25" s="25" t="e">
        <f t="shared" si="0"/>
        <v>#REF!</v>
      </c>
      <c r="Q25" s="87" t="s">
        <v>40</v>
      </c>
      <c r="R25" s="121" t="s">
        <v>35</v>
      </c>
      <c r="S25" s="87" t="s">
        <v>55</v>
      </c>
      <c r="T25" s="87" t="s">
        <v>65</v>
      </c>
      <c r="U25" s="87" t="s">
        <v>906</v>
      </c>
      <c r="V25" s="87" t="s">
        <v>907</v>
      </c>
      <c r="W25" s="87" t="s">
        <v>909</v>
      </c>
      <c r="X25" s="87" t="s">
        <v>916</v>
      </c>
      <c r="Y25" s="87"/>
      <c r="Z25" s="87"/>
      <c r="AA25" s="87"/>
      <c r="AB25" s="87"/>
      <c r="AC25" s="87"/>
      <c r="AD25" s="87"/>
      <c r="AE25" s="87" t="s">
        <v>166</v>
      </c>
      <c r="AF25" s="87" t="s">
        <v>166</v>
      </c>
      <c r="AG25" s="87"/>
      <c r="AH25" s="87"/>
      <c r="AI25" s="87"/>
      <c r="AJ25" s="27" t="s">
        <v>102</v>
      </c>
      <c r="AK25" s="18"/>
      <c r="AL25" s="18"/>
      <c r="AM25" s="18"/>
      <c r="AN25" s="18"/>
    </row>
    <row r="26" spans="1:40" ht="14.25" customHeight="1" x14ac:dyDescent="0.35">
      <c r="A26" s="26" t="s">
        <v>925</v>
      </c>
      <c r="B26" s="100" t="s">
        <v>924</v>
      </c>
      <c r="C26" s="110" t="s">
        <v>156</v>
      </c>
      <c r="D26" s="116" t="s">
        <v>167</v>
      </c>
      <c r="E26" s="86" t="s">
        <v>168</v>
      </c>
      <c r="F26" s="86" t="s">
        <v>108</v>
      </c>
      <c r="G26" s="86" t="s">
        <v>901</v>
      </c>
      <c r="H26" s="86"/>
      <c r="I26" s="86" t="s">
        <v>4</v>
      </c>
      <c r="J26" s="86" t="s">
        <v>98</v>
      </c>
      <c r="K26" s="86">
        <v>9</v>
      </c>
      <c r="L26" s="86">
        <v>2</v>
      </c>
      <c r="M26" s="87">
        <v>1992</v>
      </c>
      <c r="N26" s="88">
        <f t="shared" si="1"/>
        <v>33643</v>
      </c>
      <c r="O26" s="25" t="e">
        <f>IF(L26&gt;#REF!,#REF!-M26-1,#REF!-M26)</f>
        <v>#REF!</v>
      </c>
      <c r="P26" s="25" t="e">
        <f t="shared" si="0"/>
        <v>#REF!</v>
      </c>
      <c r="Q26" s="87" t="s">
        <v>40</v>
      </c>
      <c r="R26" s="121" t="s">
        <v>35</v>
      </c>
      <c r="S26" s="87" t="s">
        <v>57</v>
      </c>
      <c r="T26" s="87" t="s">
        <v>65</v>
      </c>
      <c r="U26" s="87" t="s">
        <v>906</v>
      </c>
      <c r="V26" s="87" t="s">
        <v>907</v>
      </c>
      <c r="W26" s="87" t="s">
        <v>909</v>
      </c>
      <c r="X26" s="87" t="s">
        <v>916</v>
      </c>
      <c r="Y26" s="87"/>
      <c r="Z26" s="87"/>
      <c r="AA26" s="87"/>
      <c r="AB26" s="87"/>
      <c r="AC26" s="87"/>
      <c r="AD26" s="87"/>
      <c r="AE26" s="87" t="s">
        <v>169</v>
      </c>
      <c r="AF26" s="87" t="s">
        <v>169</v>
      </c>
      <c r="AG26" s="87"/>
      <c r="AH26" s="87"/>
      <c r="AI26" s="87"/>
      <c r="AJ26" s="27" t="s">
        <v>102</v>
      </c>
      <c r="AK26" s="18"/>
      <c r="AL26" s="18"/>
      <c r="AM26" s="18"/>
      <c r="AN26" s="18"/>
    </row>
    <row r="27" spans="1:40" ht="14.25" customHeight="1" x14ac:dyDescent="0.35">
      <c r="A27" s="26" t="s">
        <v>925</v>
      </c>
      <c r="B27" s="100" t="s">
        <v>924</v>
      </c>
      <c r="C27" s="110" t="s">
        <v>170</v>
      </c>
      <c r="D27" s="116" t="s">
        <v>170</v>
      </c>
      <c r="E27" s="86" t="s">
        <v>137</v>
      </c>
      <c r="F27" s="86" t="s">
        <v>97</v>
      </c>
      <c r="G27" s="86" t="s">
        <v>901</v>
      </c>
      <c r="H27" s="86"/>
      <c r="I27" s="86" t="s">
        <v>4</v>
      </c>
      <c r="J27" s="86" t="s">
        <v>98</v>
      </c>
      <c r="K27" s="86">
        <v>3</v>
      </c>
      <c r="L27" s="86">
        <v>10</v>
      </c>
      <c r="M27" s="87">
        <v>1995</v>
      </c>
      <c r="N27" s="88">
        <f t="shared" si="1"/>
        <v>34975</v>
      </c>
      <c r="O27" s="25" t="e">
        <f>IF(L27&gt;#REF!,#REF!-M27-1,#REF!-M27)</f>
        <v>#REF!</v>
      </c>
      <c r="P27" s="25" t="e">
        <f t="shared" si="0"/>
        <v>#REF!</v>
      </c>
      <c r="Q27" s="87" t="s">
        <v>40</v>
      </c>
      <c r="R27" s="121" t="s">
        <v>33</v>
      </c>
      <c r="S27" s="87" t="s">
        <v>62</v>
      </c>
      <c r="T27" s="87" t="s">
        <v>66</v>
      </c>
      <c r="U27" s="87" t="s">
        <v>906</v>
      </c>
      <c r="V27" s="87" t="s">
        <v>907</v>
      </c>
      <c r="W27" s="87" t="s">
        <v>909</v>
      </c>
      <c r="X27" s="87" t="s">
        <v>916</v>
      </c>
      <c r="Y27" s="87"/>
      <c r="Z27" s="87"/>
      <c r="AA27" s="87"/>
      <c r="AB27" s="87"/>
      <c r="AC27" s="87"/>
      <c r="AD27" s="87"/>
      <c r="AE27" s="87" t="s">
        <v>117</v>
      </c>
      <c r="AF27" s="87" t="s">
        <v>117</v>
      </c>
      <c r="AG27" s="87"/>
      <c r="AH27" s="87"/>
      <c r="AI27" s="87"/>
      <c r="AJ27" s="27" t="s">
        <v>102</v>
      </c>
      <c r="AK27" s="18"/>
      <c r="AL27" s="18"/>
      <c r="AM27" s="18"/>
      <c r="AN27" s="18"/>
    </row>
    <row r="28" spans="1:40" ht="14.25" customHeight="1" x14ac:dyDescent="0.35">
      <c r="A28" s="26" t="s">
        <v>925</v>
      </c>
      <c r="B28" s="100" t="s">
        <v>924</v>
      </c>
      <c r="C28" s="110" t="s">
        <v>170</v>
      </c>
      <c r="D28" s="116" t="s">
        <v>171</v>
      </c>
      <c r="E28" s="86" t="s">
        <v>172</v>
      </c>
      <c r="F28" s="86" t="s">
        <v>105</v>
      </c>
      <c r="G28" s="86" t="s">
        <v>901</v>
      </c>
      <c r="H28" s="86"/>
      <c r="I28" s="86" t="s">
        <v>5</v>
      </c>
      <c r="J28" s="86" t="s">
        <v>129</v>
      </c>
      <c r="K28" s="86">
        <v>22</v>
      </c>
      <c r="L28" s="86">
        <v>2</v>
      </c>
      <c r="M28" s="87">
        <v>2000</v>
      </c>
      <c r="N28" s="88">
        <f t="shared" si="1"/>
        <v>36578</v>
      </c>
      <c r="O28" s="25" t="e">
        <f>IF(L28&gt;#REF!,#REF!-M28-1,#REF!-M28)</f>
        <v>#REF!</v>
      </c>
      <c r="P28" s="25" t="e">
        <f t="shared" si="0"/>
        <v>#REF!</v>
      </c>
      <c r="Q28" s="87" t="s">
        <v>40</v>
      </c>
      <c r="R28" s="121" t="s">
        <v>31</v>
      </c>
      <c r="S28" s="87" t="s">
        <v>54</v>
      </c>
      <c r="T28" s="87" t="s">
        <v>66</v>
      </c>
      <c r="U28" s="87" t="s">
        <v>906</v>
      </c>
      <c r="V28" s="87" t="s">
        <v>907</v>
      </c>
      <c r="W28" s="87" t="s">
        <v>909</v>
      </c>
      <c r="X28" s="87" t="s">
        <v>916</v>
      </c>
      <c r="Y28" s="87"/>
      <c r="Z28" s="87"/>
      <c r="AA28" s="87"/>
      <c r="AB28" s="87"/>
      <c r="AC28" s="87"/>
      <c r="AD28" s="87"/>
      <c r="AE28" s="87" t="s">
        <v>117</v>
      </c>
      <c r="AF28" s="87" t="s">
        <v>117</v>
      </c>
      <c r="AG28" s="87"/>
      <c r="AH28" s="87"/>
      <c r="AI28" s="87"/>
      <c r="AJ28" s="27" t="s">
        <v>102</v>
      </c>
      <c r="AK28" s="18"/>
      <c r="AL28" s="18"/>
      <c r="AM28" s="18"/>
      <c r="AN28" s="18"/>
    </row>
    <row r="29" spans="1:40" ht="14.25" customHeight="1" x14ac:dyDescent="0.35">
      <c r="A29" s="26" t="s">
        <v>925</v>
      </c>
      <c r="B29" s="100" t="s">
        <v>924</v>
      </c>
      <c r="C29" s="110" t="s">
        <v>170</v>
      </c>
      <c r="D29" s="116" t="s">
        <v>173</v>
      </c>
      <c r="E29" s="86" t="s">
        <v>174</v>
      </c>
      <c r="F29" s="86" t="s">
        <v>108</v>
      </c>
      <c r="G29" s="86" t="s">
        <v>901</v>
      </c>
      <c r="H29" s="86"/>
      <c r="I29" s="86" t="s">
        <v>4</v>
      </c>
      <c r="J29" s="86" t="s">
        <v>98</v>
      </c>
      <c r="K29" s="86">
        <v>23</v>
      </c>
      <c r="L29" s="86">
        <v>9</v>
      </c>
      <c r="M29" s="87">
        <v>2019</v>
      </c>
      <c r="N29" s="88">
        <f t="shared" si="1"/>
        <v>43731</v>
      </c>
      <c r="O29" s="25" t="e">
        <f>IF(L29&gt;#REF!,#REF!-M29-1,#REF!-M29)</f>
        <v>#REF!</v>
      </c>
      <c r="P29" s="25" t="e">
        <f t="shared" si="0"/>
        <v>#REF!</v>
      </c>
      <c r="Q29" s="87" t="s">
        <v>40</v>
      </c>
      <c r="R29" s="121" t="s">
        <v>28</v>
      </c>
      <c r="S29" s="87" t="s">
        <v>48</v>
      </c>
      <c r="T29" s="87" t="s">
        <v>65</v>
      </c>
      <c r="U29" s="87" t="s">
        <v>906</v>
      </c>
      <c r="V29" s="87" t="s">
        <v>907</v>
      </c>
      <c r="W29" s="87" t="s">
        <v>909</v>
      </c>
      <c r="X29" s="87" t="s">
        <v>916</v>
      </c>
      <c r="Y29" s="87"/>
      <c r="Z29" s="87"/>
      <c r="AA29" s="87"/>
      <c r="AB29" s="87"/>
      <c r="AC29" s="87"/>
      <c r="AD29" s="87"/>
      <c r="AE29" s="87" t="s">
        <v>919</v>
      </c>
      <c r="AF29" s="87" t="s">
        <v>117</v>
      </c>
      <c r="AG29" s="87"/>
      <c r="AH29" s="87"/>
      <c r="AI29" s="87"/>
      <c r="AJ29" s="27" t="s">
        <v>102</v>
      </c>
      <c r="AK29" s="18"/>
      <c r="AL29" s="18"/>
      <c r="AM29" s="18"/>
      <c r="AN29" s="18"/>
    </row>
    <row r="30" spans="1:40" ht="14.25" customHeight="1" x14ac:dyDescent="0.35">
      <c r="A30" s="26" t="s">
        <v>925</v>
      </c>
      <c r="B30" s="100" t="s">
        <v>924</v>
      </c>
      <c r="C30" s="110" t="s">
        <v>175</v>
      </c>
      <c r="D30" s="116" t="s">
        <v>176</v>
      </c>
      <c r="E30" s="86" t="s">
        <v>177</v>
      </c>
      <c r="F30" s="86" t="s">
        <v>97</v>
      </c>
      <c r="G30" s="86" t="s">
        <v>901</v>
      </c>
      <c r="H30" s="86"/>
      <c r="I30" s="86" t="s">
        <v>4</v>
      </c>
      <c r="J30" s="86" t="s">
        <v>98</v>
      </c>
      <c r="K30" s="86">
        <v>1</v>
      </c>
      <c r="L30" s="86">
        <v>5</v>
      </c>
      <c r="M30" s="87">
        <v>1983</v>
      </c>
      <c r="N30" s="88">
        <f t="shared" si="1"/>
        <v>30437</v>
      </c>
      <c r="O30" s="25" t="e">
        <f>IF(L30&gt;#REF!,#REF!-M30-1,#REF!-M30)</f>
        <v>#REF!</v>
      </c>
      <c r="P30" s="25" t="e">
        <f t="shared" si="0"/>
        <v>#REF!</v>
      </c>
      <c r="Q30" s="87" t="s">
        <v>40</v>
      </c>
      <c r="R30" s="121" t="s">
        <v>31</v>
      </c>
      <c r="S30" s="87" t="s">
        <v>62</v>
      </c>
      <c r="T30" s="87" t="s">
        <v>66</v>
      </c>
      <c r="U30" s="87" t="s">
        <v>906</v>
      </c>
      <c r="V30" s="87" t="s">
        <v>907</v>
      </c>
      <c r="W30" s="87" t="s">
        <v>909</v>
      </c>
      <c r="X30" s="87" t="s">
        <v>916</v>
      </c>
      <c r="Y30" s="87"/>
      <c r="Z30" s="87"/>
      <c r="AA30" s="87"/>
      <c r="AB30" s="87"/>
      <c r="AC30" s="87"/>
      <c r="AD30" s="87"/>
      <c r="AE30" s="87" t="s">
        <v>178</v>
      </c>
      <c r="AF30" s="87" t="s">
        <v>178</v>
      </c>
      <c r="AG30" s="87"/>
      <c r="AH30" s="87"/>
      <c r="AI30" s="87"/>
      <c r="AJ30" s="27" t="s">
        <v>102</v>
      </c>
      <c r="AK30" s="18"/>
      <c r="AL30" s="18"/>
      <c r="AM30" s="18"/>
      <c r="AN30" s="18"/>
    </row>
    <row r="31" spans="1:40" ht="14.25" customHeight="1" x14ac:dyDescent="0.35">
      <c r="A31" s="26" t="s">
        <v>925</v>
      </c>
      <c r="B31" s="100" t="s">
        <v>924</v>
      </c>
      <c r="C31" s="110" t="s">
        <v>175</v>
      </c>
      <c r="D31" s="116" t="s">
        <v>179</v>
      </c>
      <c r="E31" s="86" t="s">
        <v>180</v>
      </c>
      <c r="F31" s="86" t="s">
        <v>105</v>
      </c>
      <c r="G31" s="86" t="s">
        <v>901</v>
      </c>
      <c r="H31" s="86"/>
      <c r="I31" s="86" t="s">
        <v>5</v>
      </c>
      <c r="J31" s="86" t="s">
        <v>98</v>
      </c>
      <c r="K31" s="86">
        <v>26</v>
      </c>
      <c r="L31" s="86">
        <v>4</v>
      </c>
      <c r="M31" s="87">
        <v>1989</v>
      </c>
      <c r="N31" s="88">
        <f t="shared" si="1"/>
        <v>32624</v>
      </c>
      <c r="O31" s="25" t="e">
        <f>IF(L31&gt;#REF!,#REF!-M31-1,#REF!-M31)</f>
        <v>#REF!</v>
      </c>
      <c r="P31" s="25" t="e">
        <f t="shared" si="0"/>
        <v>#REF!</v>
      </c>
      <c r="Q31" s="87" t="s">
        <v>40</v>
      </c>
      <c r="R31" s="121" t="s">
        <v>33</v>
      </c>
      <c r="S31" s="87" t="s">
        <v>54</v>
      </c>
      <c r="T31" s="87" t="s">
        <v>66</v>
      </c>
      <c r="U31" s="87" t="s">
        <v>906</v>
      </c>
      <c r="V31" s="87" t="s">
        <v>907</v>
      </c>
      <c r="W31" s="87" t="s">
        <v>909</v>
      </c>
      <c r="X31" s="87" t="s">
        <v>916</v>
      </c>
      <c r="Y31" s="87"/>
      <c r="Z31" s="87"/>
      <c r="AA31" s="87"/>
      <c r="AB31" s="87"/>
      <c r="AC31" s="87"/>
      <c r="AD31" s="87"/>
      <c r="AE31" s="87" t="s">
        <v>178</v>
      </c>
      <c r="AF31" s="87" t="s">
        <v>178</v>
      </c>
      <c r="AG31" s="87"/>
      <c r="AH31" s="87"/>
      <c r="AI31" s="87"/>
      <c r="AJ31" s="27" t="s">
        <v>102</v>
      </c>
      <c r="AK31" s="18"/>
      <c r="AL31" s="18"/>
      <c r="AM31" s="18"/>
      <c r="AN31" s="18"/>
    </row>
    <row r="32" spans="1:40" ht="14.25" customHeight="1" x14ac:dyDescent="0.35">
      <c r="A32" s="26" t="s">
        <v>925</v>
      </c>
      <c r="B32" s="100" t="s">
        <v>924</v>
      </c>
      <c r="C32" s="110" t="s">
        <v>175</v>
      </c>
      <c r="D32" s="116" t="s">
        <v>181</v>
      </c>
      <c r="E32" s="86" t="s">
        <v>182</v>
      </c>
      <c r="F32" s="86" t="s">
        <v>108</v>
      </c>
      <c r="G32" s="86" t="s">
        <v>901</v>
      </c>
      <c r="H32" s="86"/>
      <c r="I32" s="86" t="s">
        <v>5</v>
      </c>
      <c r="J32" s="86" t="s">
        <v>98</v>
      </c>
      <c r="K32" s="86">
        <v>12</v>
      </c>
      <c r="L32" s="86">
        <v>10</v>
      </c>
      <c r="M32" s="87">
        <v>2008</v>
      </c>
      <c r="N32" s="88">
        <f t="shared" si="1"/>
        <v>39733</v>
      </c>
      <c r="O32" s="25" t="e">
        <f>IF(L32&gt;#REF!,#REF!-M32-1,#REF!-M32)</f>
        <v>#REF!</v>
      </c>
      <c r="P32" s="25" t="e">
        <f t="shared" si="0"/>
        <v>#REF!</v>
      </c>
      <c r="Q32" s="87" t="s">
        <v>40</v>
      </c>
      <c r="R32" s="121" t="s">
        <v>30</v>
      </c>
      <c r="S32" s="87" t="s">
        <v>57</v>
      </c>
      <c r="T32" s="87" t="s">
        <v>65</v>
      </c>
      <c r="U32" s="87" t="s">
        <v>906</v>
      </c>
      <c r="V32" s="87" t="s">
        <v>907</v>
      </c>
      <c r="W32" s="87" t="s">
        <v>909</v>
      </c>
      <c r="X32" s="87" t="s">
        <v>916</v>
      </c>
      <c r="Y32" s="87"/>
      <c r="Z32" s="87"/>
      <c r="AA32" s="87"/>
      <c r="AB32" s="87"/>
      <c r="AC32" s="87"/>
      <c r="AD32" s="87"/>
      <c r="AE32" s="87" t="s">
        <v>178</v>
      </c>
      <c r="AF32" s="87" t="s">
        <v>178</v>
      </c>
      <c r="AG32" s="87"/>
      <c r="AH32" s="87"/>
      <c r="AI32" s="87"/>
      <c r="AJ32" s="27" t="s">
        <v>102</v>
      </c>
      <c r="AK32" s="18"/>
      <c r="AL32" s="18"/>
      <c r="AM32" s="18"/>
      <c r="AN32" s="18"/>
    </row>
    <row r="33" spans="1:40" ht="14.25" customHeight="1" x14ac:dyDescent="0.35">
      <c r="A33" s="26" t="s">
        <v>925</v>
      </c>
      <c r="B33" s="100" t="s">
        <v>924</v>
      </c>
      <c r="C33" s="110" t="s">
        <v>175</v>
      </c>
      <c r="D33" s="116" t="s">
        <v>183</v>
      </c>
      <c r="E33" s="86" t="s">
        <v>184</v>
      </c>
      <c r="F33" s="86" t="s">
        <v>108</v>
      </c>
      <c r="G33" s="86" t="s">
        <v>901</v>
      </c>
      <c r="H33" s="86"/>
      <c r="I33" s="86" t="s">
        <v>5</v>
      </c>
      <c r="J33" s="86" t="s">
        <v>98</v>
      </c>
      <c r="K33" s="86">
        <v>11</v>
      </c>
      <c r="L33" s="86">
        <v>5</v>
      </c>
      <c r="M33" s="87">
        <v>2015</v>
      </c>
      <c r="N33" s="88">
        <f t="shared" si="1"/>
        <v>42135</v>
      </c>
      <c r="O33" s="25" t="e">
        <f>IF(L33&gt;#REF!,#REF!-M33-1,#REF!-M33)</f>
        <v>#REF!</v>
      </c>
      <c r="P33" s="25" t="e">
        <f t="shared" si="0"/>
        <v>#REF!</v>
      </c>
      <c r="Q33" s="87" t="s">
        <v>40</v>
      </c>
      <c r="R33" s="121" t="s">
        <v>28</v>
      </c>
      <c r="S33" s="87" t="s">
        <v>48</v>
      </c>
      <c r="T33" s="87" t="s">
        <v>65</v>
      </c>
      <c r="U33" s="87" t="s">
        <v>906</v>
      </c>
      <c r="V33" s="87" t="s">
        <v>907</v>
      </c>
      <c r="W33" s="87" t="s">
        <v>909</v>
      </c>
      <c r="X33" s="87" t="s">
        <v>916</v>
      </c>
      <c r="Y33" s="87"/>
      <c r="Z33" s="87"/>
      <c r="AA33" s="87"/>
      <c r="AB33" s="87"/>
      <c r="AC33" s="87"/>
      <c r="AD33" s="87"/>
      <c r="AE33" s="87" t="s">
        <v>178</v>
      </c>
      <c r="AF33" s="87" t="s">
        <v>178</v>
      </c>
      <c r="AG33" s="87"/>
      <c r="AH33" s="87"/>
      <c r="AI33" s="87"/>
      <c r="AJ33" s="27" t="s">
        <v>102</v>
      </c>
      <c r="AK33" s="18"/>
      <c r="AL33" s="18"/>
      <c r="AM33" s="18"/>
      <c r="AN33" s="18"/>
    </row>
    <row r="34" spans="1:40" ht="14.25" customHeight="1" x14ac:dyDescent="0.35">
      <c r="A34" s="26" t="s">
        <v>925</v>
      </c>
      <c r="B34" s="100" t="s">
        <v>924</v>
      </c>
      <c r="C34" s="110" t="s">
        <v>175</v>
      </c>
      <c r="D34" s="116" t="s">
        <v>185</v>
      </c>
      <c r="E34" s="86" t="s">
        <v>186</v>
      </c>
      <c r="F34" s="86" t="s">
        <v>108</v>
      </c>
      <c r="G34" s="86" t="s">
        <v>901</v>
      </c>
      <c r="H34" s="86"/>
      <c r="I34" s="86" t="s">
        <v>4</v>
      </c>
      <c r="J34" s="86" t="s">
        <v>98</v>
      </c>
      <c r="K34" s="86">
        <v>15</v>
      </c>
      <c r="L34" s="86">
        <v>11</v>
      </c>
      <c r="M34" s="87">
        <v>2018</v>
      </c>
      <c r="N34" s="88">
        <f t="shared" si="1"/>
        <v>43419</v>
      </c>
      <c r="O34" s="25" t="e">
        <f>IF(L34&gt;#REF!,#REF!-M34-1,#REF!-M34)</f>
        <v>#REF!</v>
      </c>
      <c r="P34" s="25" t="e">
        <f t="shared" si="0"/>
        <v>#REF!</v>
      </c>
      <c r="Q34" s="87" t="s">
        <v>40</v>
      </c>
      <c r="R34" s="121" t="s">
        <v>28</v>
      </c>
      <c r="S34" s="87" t="s">
        <v>48</v>
      </c>
      <c r="T34" s="87" t="s">
        <v>65</v>
      </c>
      <c r="U34" s="87" t="s">
        <v>906</v>
      </c>
      <c r="V34" s="87" t="s">
        <v>907</v>
      </c>
      <c r="W34" s="87" t="s">
        <v>909</v>
      </c>
      <c r="X34" s="87" t="s">
        <v>916</v>
      </c>
      <c r="Y34" s="87"/>
      <c r="Z34" s="87"/>
      <c r="AA34" s="87"/>
      <c r="AB34" s="87"/>
      <c r="AC34" s="87"/>
      <c r="AD34" s="87"/>
      <c r="AE34" s="87" t="s">
        <v>178</v>
      </c>
      <c r="AF34" s="87" t="s">
        <v>178</v>
      </c>
      <c r="AG34" s="87"/>
      <c r="AH34" s="87"/>
      <c r="AI34" s="87"/>
      <c r="AJ34" s="27" t="s">
        <v>102</v>
      </c>
      <c r="AK34" s="18"/>
      <c r="AL34" s="18"/>
      <c r="AM34" s="18"/>
      <c r="AN34" s="18"/>
    </row>
    <row r="35" spans="1:40" ht="14.25" customHeight="1" x14ac:dyDescent="0.35">
      <c r="A35" s="26" t="s">
        <v>925</v>
      </c>
      <c r="B35" s="100" t="s">
        <v>924</v>
      </c>
      <c r="C35" s="110" t="s">
        <v>175</v>
      </c>
      <c r="D35" s="116" t="s">
        <v>187</v>
      </c>
      <c r="E35" s="86" t="s">
        <v>188</v>
      </c>
      <c r="F35" s="86" t="s">
        <v>108</v>
      </c>
      <c r="G35" s="86" t="s">
        <v>901</v>
      </c>
      <c r="H35" s="86"/>
      <c r="I35" s="86" t="s">
        <v>4</v>
      </c>
      <c r="J35" s="86" t="s">
        <v>98</v>
      </c>
      <c r="K35" s="86">
        <v>8</v>
      </c>
      <c r="L35" s="86">
        <v>7</v>
      </c>
      <c r="M35" s="87">
        <v>2019</v>
      </c>
      <c r="N35" s="88">
        <f t="shared" si="1"/>
        <v>43654</v>
      </c>
      <c r="O35" s="25" t="e">
        <f>IF(L35&gt;#REF!,#REF!-M35-1,#REF!-M35)</f>
        <v>#REF!</v>
      </c>
      <c r="P35" s="25" t="e">
        <f t="shared" si="0"/>
        <v>#REF!</v>
      </c>
      <c r="Q35" s="87" t="s">
        <v>40</v>
      </c>
      <c r="R35" s="121" t="s">
        <v>28</v>
      </c>
      <c r="S35" s="87" t="s">
        <v>48</v>
      </c>
      <c r="T35" s="87" t="s">
        <v>65</v>
      </c>
      <c r="U35" s="87" t="s">
        <v>906</v>
      </c>
      <c r="V35" s="87" t="s">
        <v>907</v>
      </c>
      <c r="W35" s="87" t="s">
        <v>909</v>
      </c>
      <c r="X35" s="87" t="s">
        <v>916</v>
      </c>
      <c r="Y35" s="87"/>
      <c r="Z35" s="87"/>
      <c r="AA35" s="87"/>
      <c r="AB35" s="87"/>
      <c r="AC35" s="87"/>
      <c r="AD35" s="87"/>
      <c r="AE35" s="87" t="s">
        <v>178</v>
      </c>
      <c r="AF35" s="87" t="s">
        <v>178</v>
      </c>
      <c r="AG35" s="87"/>
      <c r="AH35" s="87"/>
      <c r="AI35" s="87"/>
      <c r="AJ35" s="27" t="s">
        <v>102</v>
      </c>
      <c r="AK35" s="18"/>
      <c r="AL35" s="18"/>
      <c r="AM35" s="18"/>
      <c r="AN35" s="18"/>
    </row>
    <row r="36" spans="1:40" ht="14.25" customHeight="1" x14ac:dyDescent="0.35">
      <c r="A36" s="26" t="s">
        <v>925</v>
      </c>
      <c r="B36" s="100" t="s">
        <v>924</v>
      </c>
      <c r="C36" s="110" t="s">
        <v>189</v>
      </c>
      <c r="D36" s="116" t="s">
        <v>190</v>
      </c>
      <c r="E36" s="86" t="s">
        <v>191</v>
      </c>
      <c r="F36" s="86" t="s">
        <v>97</v>
      </c>
      <c r="G36" s="86" t="s">
        <v>901</v>
      </c>
      <c r="H36" s="86"/>
      <c r="I36" s="86" t="s">
        <v>4</v>
      </c>
      <c r="J36" s="86" t="s">
        <v>192</v>
      </c>
      <c r="K36" s="86">
        <v>12</v>
      </c>
      <c r="L36" s="86">
        <v>4</v>
      </c>
      <c r="M36" s="87">
        <v>1975</v>
      </c>
      <c r="N36" s="88">
        <f t="shared" si="1"/>
        <v>27496</v>
      </c>
      <c r="O36" s="25" t="e">
        <f>IF(L36&gt;#REF!,#REF!-M36-1,#REF!-M36)</f>
        <v>#REF!</v>
      </c>
      <c r="P36" s="25" t="e">
        <f t="shared" si="0"/>
        <v>#REF!</v>
      </c>
      <c r="Q36" s="87" t="s">
        <v>40</v>
      </c>
      <c r="R36" s="121" t="s">
        <v>33</v>
      </c>
      <c r="S36" s="87" t="s">
        <v>62</v>
      </c>
      <c r="T36" s="87" t="s">
        <v>67</v>
      </c>
      <c r="U36" s="87" t="s">
        <v>906</v>
      </c>
      <c r="V36" s="87" t="s">
        <v>907</v>
      </c>
      <c r="W36" s="87" t="s">
        <v>909</v>
      </c>
      <c r="X36" s="87" t="s">
        <v>916</v>
      </c>
      <c r="Y36" s="87"/>
      <c r="Z36" s="87"/>
      <c r="AA36" s="87"/>
      <c r="AB36" s="87"/>
      <c r="AC36" s="87"/>
      <c r="AD36" s="87"/>
      <c r="AE36" s="87" t="s">
        <v>100</v>
      </c>
      <c r="AF36" s="87" t="s">
        <v>100</v>
      </c>
      <c r="AG36" s="87"/>
      <c r="AH36" s="87"/>
      <c r="AI36" s="87"/>
      <c r="AJ36" s="27" t="s">
        <v>102</v>
      </c>
      <c r="AK36" s="18"/>
      <c r="AL36" s="18"/>
      <c r="AM36" s="18"/>
      <c r="AN36" s="18"/>
    </row>
    <row r="37" spans="1:40" ht="14.25" customHeight="1" x14ac:dyDescent="0.35">
      <c r="A37" s="26" t="s">
        <v>925</v>
      </c>
      <c r="B37" s="100" t="s">
        <v>924</v>
      </c>
      <c r="C37" s="110" t="s">
        <v>189</v>
      </c>
      <c r="D37" s="116" t="s">
        <v>193</v>
      </c>
      <c r="E37" s="86" t="s">
        <v>194</v>
      </c>
      <c r="F37" s="86" t="s">
        <v>105</v>
      </c>
      <c r="G37" s="86" t="s">
        <v>901</v>
      </c>
      <c r="H37" s="86"/>
      <c r="I37" s="86" t="s">
        <v>5</v>
      </c>
      <c r="J37" s="86" t="s">
        <v>98</v>
      </c>
      <c r="K37" s="86">
        <v>15</v>
      </c>
      <c r="L37" s="86">
        <v>5</v>
      </c>
      <c r="M37" s="87">
        <v>1980</v>
      </c>
      <c r="N37" s="88">
        <f t="shared" si="1"/>
        <v>29356</v>
      </c>
      <c r="O37" s="25" t="e">
        <f>IF(L37&gt;#REF!,#REF!-M37-1,#REF!-M37)</f>
        <v>#REF!</v>
      </c>
      <c r="P37" s="25" t="e">
        <f t="shared" si="0"/>
        <v>#REF!</v>
      </c>
      <c r="Q37" s="87" t="s">
        <v>40</v>
      </c>
      <c r="R37" s="121" t="s">
        <v>33</v>
      </c>
      <c r="S37" s="87" t="s">
        <v>54</v>
      </c>
      <c r="T37" s="87" t="s">
        <v>67</v>
      </c>
      <c r="U37" s="87" t="s">
        <v>906</v>
      </c>
      <c r="V37" s="87" t="s">
        <v>907</v>
      </c>
      <c r="W37" s="87" t="s">
        <v>909</v>
      </c>
      <c r="X37" s="87" t="s">
        <v>916</v>
      </c>
      <c r="Y37" s="87"/>
      <c r="Z37" s="87"/>
      <c r="AA37" s="87"/>
      <c r="AB37" s="87"/>
      <c r="AC37" s="87"/>
      <c r="AD37" s="87"/>
      <c r="AE37" s="87" t="s">
        <v>100</v>
      </c>
      <c r="AF37" s="87" t="s">
        <v>100</v>
      </c>
      <c r="AG37" s="87"/>
      <c r="AH37" s="87"/>
      <c r="AI37" s="87"/>
      <c r="AJ37" s="27" t="s">
        <v>102</v>
      </c>
      <c r="AK37" s="18"/>
      <c r="AL37" s="18"/>
      <c r="AM37" s="18"/>
      <c r="AN37" s="18"/>
    </row>
    <row r="38" spans="1:40" ht="14.25" customHeight="1" x14ac:dyDescent="0.35">
      <c r="A38" s="26" t="s">
        <v>925</v>
      </c>
      <c r="B38" s="100" t="s">
        <v>924</v>
      </c>
      <c r="C38" s="110" t="s">
        <v>189</v>
      </c>
      <c r="D38" s="116" t="s">
        <v>195</v>
      </c>
      <c r="E38" s="86" t="s">
        <v>196</v>
      </c>
      <c r="F38" s="86" t="s">
        <v>108</v>
      </c>
      <c r="G38" s="86" t="s">
        <v>901</v>
      </c>
      <c r="H38" s="86"/>
      <c r="I38" s="86" t="s">
        <v>5</v>
      </c>
      <c r="J38" s="86" t="s">
        <v>98</v>
      </c>
      <c r="K38" s="86">
        <v>2</v>
      </c>
      <c r="L38" s="86">
        <v>12</v>
      </c>
      <c r="M38" s="87">
        <v>2003</v>
      </c>
      <c r="N38" s="88">
        <f t="shared" si="1"/>
        <v>37957</v>
      </c>
      <c r="O38" s="25" t="e">
        <f>IF(L38&gt;#REF!,#REF!-M38-1,#REF!-M38)</f>
        <v>#REF!</v>
      </c>
      <c r="P38" s="25" t="e">
        <f t="shared" si="0"/>
        <v>#REF!</v>
      </c>
      <c r="Q38" s="87" t="s">
        <v>40</v>
      </c>
      <c r="R38" s="121" t="s">
        <v>30</v>
      </c>
      <c r="S38" s="87" t="s">
        <v>57</v>
      </c>
      <c r="T38" s="87" t="s">
        <v>65</v>
      </c>
      <c r="U38" s="87" t="s">
        <v>906</v>
      </c>
      <c r="V38" s="87" t="s">
        <v>907</v>
      </c>
      <c r="W38" s="87" t="s">
        <v>909</v>
      </c>
      <c r="X38" s="87" t="s">
        <v>916</v>
      </c>
      <c r="Y38" s="87"/>
      <c r="Z38" s="87"/>
      <c r="AA38" s="87"/>
      <c r="AB38" s="87"/>
      <c r="AC38" s="87"/>
      <c r="AD38" s="87"/>
      <c r="AE38" s="87" t="s">
        <v>100</v>
      </c>
      <c r="AF38" s="87" t="s">
        <v>100</v>
      </c>
      <c r="AG38" s="87"/>
      <c r="AH38" s="87"/>
      <c r="AI38" s="87"/>
      <c r="AJ38" s="27" t="s">
        <v>102</v>
      </c>
      <c r="AK38" s="18"/>
      <c r="AL38" s="18"/>
      <c r="AM38" s="18"/>
      <c r="AN38" s="18"/>
    </row>
    <row r="39" spans="1:40" ht="14.25" customHeight="1" x14ac:dyDescent="0.35">
      <c r="A39" s="26" t="s">
        <v>925</v>
      </c>
      <c r="B39" s="100" t="s">
        <v>924</v>
      </c>
      <c r="C39" s="110" t="s">
        <v>189</v>
      </c>
      <c r="D39" s="116" t="s">
        <v>197</v>
      </c>
      <c r="E39" s="86" t="s">
        <v>198</v>
      </c>
      <c r="F39" s="86" t="s">
        <v>108</v>
      </c>
      <c r="G39" s="86" t="s">
        <v>901</v>
      </c>
      <c r="H39" s="86"/>
      <c r="I39" s="86" t="s">
        <v>5</v>
      </c>
      <c r="J39" s="86" t="s">
        <v>98</v>
      </c>
      <c r="K39" s="86">
        <v>15</v>
      </c>
      <c r="L39" s="86">
        <v>8</v>
      </c>
      <c r="M39" s="87">
        <v>2005</v>
      </c>
      <c r="N39" s="88">
        <f t="shared" si="1"/>
        <v>38579</v>
      </c>
      <c r="O39" s="25" t="e">
        <f>IF(L39&gt;#REF!,#REF!-M39-1,#REF!-M39)</f>
        <v>#REF!</v>
      </c>
      <c r="P39" s="25" t="e">
        <f t="shared" si="0"/>
        <v>#REF!</v>
      </c>
      <c r="Q39" s="87" t="s">
        <v>40</v>
      </c>
      <c r="R39" s="121" t="s">
        <v>30</v>
      </c>
      <c r="S39" s="87" t="s">
        <v>57</v>
      </c>
      <c r="T39" s="87" t="s">
        <v>65</v>
      </c>
      <c r="U39" s="87" t="s">
        <v>906</v>
      </c>
      <c r="V39" s="87" t="s">
        <v>907</v>
      </c>
      <c r="W39" s="87" t="s">
        <v>909</v>
      </c>
      <c r="X39" s="87" t="s">
        <v>916</v>
      </c>
      <c r="Y39" s="87"/>
      <c r="Z39" s="87"/>
      <c r="AA39" s="87"/>
      <c r="AB39" s="87"/>
      <c r="AC39" s="87"/>
      <c r="AD39" s="87"/>
      <c r="AE39" s="87" t="s">
        <v>100</v>
      </c>
      <c r="AF39" s="87" t="s">
        <v>100</v>
      </c>
      <c r="AG39" s="87"/>
      <c r="AH39" s="87"/>
      <c r="AI39" s="87"/>
      <c r="AJ39" s="27" t="s">
        <v>102</v>
      </c>
      <c r="AK39" s="18"/>
      <c r="AL39" s="18"/>
      <c r="AM39" s="18"/>
      <c r="AN39" s="18"/>
    </row>
    <row r="40" spans="1:40" ht="14.25" customHeight="1" x14ac:dyDescent="0.35">
      <c r="A40" s="26" t="s">
        <v>925</v>
      </c>
      <c r="B40" s="100" t="s">
        <v>924</v>
      </c>
      <c r="C40" s="110" t="s">
        <v>189</v>
      </c>
      <c r="D40" s="116" t="s">
        <v>199</v>
      </c>
      <c r="E40" s="86" t="s">
        <v>200</v>
      </c>
      <c r="F40" s="86" t="s">
        <v>108</v>
      </c>
      <c r="G40" s="86" t="s">
        <v>901</v>
      </c>
      <c r="H40" s="86"/>
      <c r="I40" s="86" t="s">
        <v>4</v>
      </c>
      <c r="J40" s="86" t="s">
        <v>98</v>
      </c>
      <c r="K40" s="86">
        <v>2</v>
      </c>
      <c r="L40" s="86">
        <v>3</v>
      </c>
      <c r="M40" s="87">
        <v>2014</v>
      </c>
      <c r="N40" s="88">
        <f t="shared" si="1"/>
        <v>41700</v>
      </c>
      <c r="O40" s="25" t="e">
        <f>IF(L40&gt;#REF!,#REF!-M40-1,#REF!-M40)</f>
        <v>#REF!</v>
      </c>
      <c r="P40" s="25" t="e">
        <f t="shared" si="0"/>
        <v>#REF!</v>
      </c>
      <c r="Q40" s="87" t="s">
        <v>40</v>
      </c>
      <c r="R40" s="121" t="s">
        <v>30</v>
      </c>
      <c r="S40" s="87" t="s">
        <v>48</v>
      </c>
      <c r="T40" s="87" t="s">
        <v>65</v>
      </c>
      <c r="U40" s="87" t="s">
        <v>906</v>
      </c>
      <c r="V40" s="87" t="s">
        <v>907</v>
      </c>
      <c r="W40" s="87" t="s">
        <v>909</v>
      </c>
      <c r="X40" s="87" t="s">
        <v>916</v>
      </c>
      <c r="Y40" s="87"/>
      <c r="Z40" s="87"/>
      <c r="AA40" s="87"/>
      <c r="AB40" s="87"/>
      <c r="AC40" s="87"/>
      <c r="AD40" s="87"/>
      <c r="AE40" s="87" t="s">
        <v>100</v>
      </c>
      <c r="AF40" s="87" t="s">
        <v>100</v>
      </c>
      <c r="AG40" s="87"/>
      <c r="AH40" s="87"/>
      <c r="AI40" s="87"/>
      <c r="AJ40" s="27" t="s">
        <v>102</v>
      </c>
      <c r="AK40" s="18"/>
      <c r="AL40" s="18"/>
      <c r="AM40" s="18"/>
      <c r="AN40" s="18"/>
    </row>
    <row r="41" spans="1:40" ht="14.25" customHeight="1" x14ac:dyDescent="0.35">
      <c r="A41" s="26" t="s">
        <v>925</v>
      </c>
      <c r="B41" s="100" t="s">
        <v>924</v>
      </c>
      <c r="C41" s="110" t="s">
        <v>201</v>
      </c>
      <c r="D41" s="116" t="s">
        <v>202</v>
      </c>
      <c r="E41" s="86" t="s">
        <v>203</v>
      </c>
      <c r="F41" s="86" t="s">
        <v>97</v>
      </c>
      <c r="G41" s="86" t="s">
        <v>901</v>
      </c>
      <c r="H41" s="86"/>
      <c r="I41" s="86" t="s">
        <v>4</v>
      </c>
      <c r="J41" s="86" t="s">
        <v>98</v>
      </c>
      <c r="K41" s="86">
        <v>10</v>
      </c>
      <c r="L41" s="86">
        <v>11</v>
      </c>
      <c r="M41" s="87">
        <v>1970</v>
      </c>
      <c r="N41" s="88">
        <f t="shared" si="1"/>
        <v>25882</v>
      </c>
      <c r="O41" s="25" t="e">
        <f>IF(L41&gt;#REF!,#REF!-M41-1,#REF!-M41)</f>
        <v>#REF!</v>
      </c>
      <c r="P41" s="25" t="e">
        <f t="shared" si="0"/>
        <v>#REF!</v>
      </c>
      <c r="Q41" s="87" t="s">
        <v>40</v>
      </c>
      <c r="R41" s="121" t="s">
        <v>35</v>
      </c>
      <c r="S41" s="87" t="s">
        <v>62</v>
      </c>
      <c r="T41" s="87" t="s">
        <v>67</v>
      </c>
      <c r="U41" s="87" t="s">
        <v>906</v>
      </c>
      <c r="V41" s="87" t="s">
        <v>907</v>
      </c>
      <c r="W41" s="87" t="s">
        <v>909</v>
      </c>
      <c r="X41" s="87" t="s">
        <v>916</v>
      </c>
      <c r="Y41" s="87"/>
      <c r="Z41" s="87"/>
      <c r="AA41" s="87"/>
      <c r="AB41" s="87"/>
      <c r="AC41" s="87"/>
      <c r="AD41" s="87"/>
      <c r="AE41" s="87" t="s">
        <v>204</v>
      </c>
      <c r="AF41" s="87" t="s">
        <v>204</v>
      </c>
      <c r="AG41" s="87"/>
      <c r="AH41" s="87"/>
      <c r="AI41" s="87"/>
      <c r="AJ41" s="27" t="s">
        <v>102</v>
      </c>
      <c r="AK41" s="18"/>
      <c r="AL41" s="18"/>
      <c r="AM41" s="18"/>
      <c r="AN41" s="18"/>
    </row>
    <row r="42" spans="1:40" ht="14.25" customHeight="1" x14ac:dyDescent="0.35">
      <c r="A42" s="26" t="s">
        <v>925</v>
      </c>
      <c r="B42" s="100" t="s">
        <v>924</v>
      </c>
      <c r="C42" s="110" t="s">
        <v>201</v>
      </c>
      <c r="D42" s="116" t="s">
        <v>205</v>
      </c>
      <c r="E42" s="86" t="s">
        <v>206</v>
      </c>
      <c r="F42" s="86" t="s">
        <v>105</v>
      </c>
      <c r="G42" s="86" t="s">
        <v>901</v>
      </c>
      <c r="H42" s="86"/>
      <c r="I42" s="86" t="s">
        <v>5</v>
      </c>
      <c r="J42" s="86" t="s">
        <v>98</v>
      </c>
      <c r="K42" s="86">
        <v>13</v>
      </c>
      <c r="L42" s="86">
        <v>6</v>
      </c>
      <c r="M42" s="87">
        <v>1974</v>
      </c>
      <c r="N42" s="88">
        <f t="shared" si="1"/>
        <v>27193</v>
      </c>
      <c r="O42" s="25" t="e">
        <f>IF(L42&gt;#REF!,#REF!-M42-1,#REF!-M42)</f>
        <v>#REF!</v>
      </c>
      <c r="P42" s="25" t="e">
        <f t="shared" si="0"/>
        <v>#REF!</v>
      </c>
      <c r="Q42" s="87" t="s">
        <v>40</v>
      </c>
      <c r="R42" s="121" t="s">
        <v>33</v>
      </c>
      <c r="S42" s="87" t="s">
        <v>54</v>
      </c>
      <c r="T42" s="87" t="s">
        <v>67</v>
      </c>
      <c r="U42" s="87" t="s">
        <v>906</v>
      </c>
      <c r="V42" s="87" t="s">
        <v>907</v>
      </c>
      <c r="W42" s="87" t="s">
        <v>909</v>
      </c>
      <c r="X42" s="87" t="s">
        <v>916</v>
      </c>
      <c r="Y42" s="87"/>
      <c r="Z42" s="87"/>
      <c r="AA42" s="87"/>
      <c r="AB42" s="87"/>
      <c r="AC42" s="87"/>
      <c r="AD42" s="87"/>
      <c r="AE42" s="87" t="s">
        <v>207</v>
      </c>
      <c r="AF42" s="87" t="s">
        <v>207</v>
      </c>
      <c r="AG42" s="87"/>
      <c r="AH42" s="87"/>
      <c r="AI42" s="87"/>
      <c r="AJ42" s="27" t="s">
        <v>102</v>
      </c>
      <c r="AK42" s="18"/>
      <c r="AL42" s="18"/>
      <c r="AM42" s="18"/>
      <c r="AN42" s="18"/>
    </row>
    <row r="43" spans="1:40" ht="14.25" customHeight="1" x14ac:dyDescent="0.35">
      <c r="A43" s="26" t="s">
        <v>925</v>
      </c>
      <c r="B43" s="100" t="s">
        <v>924</v>
      </c>
      <c r="C43" s="110" t="s">
        <v>201</v>
      </c>
      <c r="D43" s="116" t="s">
        <v>208</v>
      </c>
      <c r="E43" s="86" t="s">
        <v>209</v>
      </c>
      <c r="F43" s="86" t="s">
        <v>108</v>
      </c>
      <c r="G43" s="86" t="s">
        <v>901</v>
      </c>
      <c r="H43" s="86"/>
      <c r="I43" s="86" t="s">
        <v>5</v>
      </c>
      <c r="J43" s="86" t="s">
        <v>98</v>
      </c>
      <c r="K43" s="86">
        <v>30</v>
      </c>
      <c r="L43" s="86">
        <v>10</v>
      </c>
      <c r="M43" s="87">
        <v>1994</v>
      </c>
      <c r="N43" s="88">
        <f t="shared" si="1"/>
        <v>34637</v>
      </c>
      <c r="O43" s="25" t="e">
        <f>IF(L43&gt;#REF!,#REF!-M43-1,#REF!-M43)</f>
        <v>#REF!</v>
      </c>
      <c r="P43" s="25" t="e">
        <f t="shared" si="0"/>
        <v>#REF!</v>
      </c>
      <c r="Q43" s="87" t="s">
        <v>40</v>
      </c>
      <c r="R43" s="121" t="s">
        <v>33</v>
      </c>
      <c r="S43" s="87" t="s">
        <v>57</v>
      </c>
      <c r="T43" s="87" t="s">
        <v>65</v>
      </c>
      <c r="U43" s="87" t="s">
        <v>906</v>
      </c>
      <c r="V43" s="87" t="s">
        <v>907</v>
      </c>
      <c r="W43" s="87" t="s">
        <v>909</v>
      </c>
      <c r="X43" s="87" t="s">
        <v>916</v>
      </c>
      <c r="Y43" s="87"/>
      <c r="Z43" s="87"/>
      <c r="AA43" s="87"/>
      <c r="AB43" s="87"/>
      <c r="AC43" s="87"/>
      <c r="AD43" s="87"/>
      <c r="AE43" s="87" t="s">
        <v>210</v>
      </c>
      <c r="AF43" s="87" t="s">
        <v>210</v>
      </c>
      <c r="AG43" s="87"/>
      <c r="AH43" s="87"/>
      <c r="AI43" s="87"/>
      <c r="AJ43" s="27" t="s">
        <v>102</v>
      </c>
      <c r="AK43" s="18"/>
      <c r="AL43" s="18"/>
      <c r="AM43" s="18"/>
      <c r="AN43" s="18"/>
    </row>
    <row r="44" spans="1:40" ht="14.25" customHeight="1" x14ac:dyDescent="0.35">
      <c r="A44" s="26" t="s">
        <v>925</v>
      </c>
      <c r="B44" s="100" t="s">
        <v>924</v>
      </c>
      <c r="C44" s="110" t="s">
        <v>201</v>
      </c>
      <c r="D44" s="116" t="s">
        <v>211</v>
      </c>
      <c r="E44" s="86" t="s">
        <v>212</v>
      </c>
      <c r="F44" s="86" t="s">
        <v>108</v>
      </c>
      <c r="G44" s="86" t="s">
        <v>901</v>
      </c>
      <c r="H44" s="86"/>
      <c r="I44" s="86" t="s">
        <v>4</v>
      </c>
      <c r="J44" s="86" t="s">
        <v>98</v>
      </c>
      <c r="K44" s="86">
        <v>7</v>
      </c>
      <c r="L44" s="86">
        <v>10</v>
      </c>
      <c r="M44" s="87">
        <v>1997</v>
      </c>
      <c r="N44" s="88">
        <f t="shared" si="1"/>
        <v>35710</v>
      </c>
      <c r="O44" s="25" t="e">
        <f>IF(L44&gt;#REF!,#REF!-M44-1,#REF!-M44)</f>
        <v>#REF!</v>
      </c>
      <c r="P44" s="25" t="e">
        <f t="shared" si="0"/>
        <v>#REF!</v>
      </c>
      <c r="Q44" s="87" t="s">
        <v>40</v>
      </c>
      <c r="R44" s="121" t="s">
        <v>31</v>
      </c>
      <c r="S44" s="87" t="s">
        <v>57</v>
      </c>
      <c r="T44" s="87" t="s">
        <v>65</v>
      </c>
      <c r="U44" s="87" t="s">
        <v>906</v>
      </c>
      <c r="V44" s="87" t="s">
        <v>907</v>
      </c>
      <c r="W44" s="87" t="s">
        <v>909</v>
      </c>
      <c r="X44" s="87" t="s">
        <v>916</v>
      </c>
      <c r="Y44" s="87"/>
      <c r="Z44" s="87"/>
      <c r="AA44" s="87"/>
      <c r="AB44" s="87"/>
      <c r="AC44" s="87"/>
      <c r="AD44" s="87"/>
      <c r="AE44" s="87" t="s">
        <v>213</v>
      </c>
      <c r="AF44" s="87" t="s">
        <v>213</v>
      </c>
      <c r="AG44" s="87"/>
      <c r="AH44" s="87"/>
      <c r="AI44" s="87"/>
      <c r="AJ44" s="27" t="s">
        <v>102</v>
      </c>
      <c r="AK44" s="18"/>
      <c r="AL44" s="18"/>
      <c r="AM44" s="18"/>
      <c r="AN44" s="18"/>
    </row>
    <row r="45" spans="1:40" ht="14.25" customHeight="1" x14ac:dyDescent="0.35">
      <c r="A45" s="26" t="s">
        <v>925</v>
      </c>
      <c r="B45" s="100" t="s">
        <v>924</v>
      </c>
      <c r="C45" s="110" t="s">
        <v>201</v>
      </c>
      <c r="D45" s="116" t="s">
        <v>214</v>
      </c>
      <c r="E45" s="86" t="s">
        <v>215</v>
      </c>
      <c r="F45" s="86" t="s">
        <v>108</v>
      </c>
      <c r="G45" s="86" t="s">
        <v>901</v>
      </c>
      <c r="H45" s="86"/>
      <c r="I45" s="86" t="s">
        <v>5</v>
      </c>
      <c r="J45" s="86" t="s">
        <v>98</v>
      </c>
      <c r="K45" s="86">
        <v>23</v>
      </c>
      <c r="L45" s="86">
        <v>9</v>
      </c>
      <c r="M45" s="87">
        <v>2003</v>
      </c>
      <c r="N45" s="88">
        <f t="shared" si="1"/>
        <v>37887</v>
      </c>
      <c r="O45" s="25" t="e">
        <f>IF(L45&gt;#REF!,#REF!-M45-1,#REF!-M45)</f>
        <v>#REF!</v>
      </c>
      <c r="P45" s="25" t="e">
        <f t="shared" si="0"/>
        <v>#REF!</v>
      </c>
      <c r="Q45" s="87" t="s">
        <v>40</v>
      </c>
      <c r="R45" s="121" t="s">
        <v>30</v>
      </c>
      <c r="S45" s="87" t="s">
        <v>57</v>
      </c>
      <c r="T45" s="87" t="s">
        <v>65</v>
      </c>
      <c r="U45" s="87" t="s">
        <v>906</v>
      </c>
      <c r="V45" s="87" t="s">
        <v>907</v>
      </c>
      <c r="W45" s="87" t="s">
        <v>909</v>
      </c>
      <c r="X45" s="87" t="s">
        <v>916</v>
      </c>
      <c r="Y45" s="87"/>
      <c r="Z45" s="87"/>
      <c r="AA45" s="87"/>
      <c r="AB45" s="87"/>
      <c r="AC45" s="87"/>
      <c r="AD45" s="87"/>
      <c r="AE45" s="87" t="s">
        <v>216</v>
      </c>
      <c r="AF45" s="87" t="s">
        <v>216</v>
      </c>
      <c r="AG45" s="87"/>
      <c r="AH45" s="87"/>
      <c r="AI45" s="87"/>
      <c r="AJ45" s="27" t="s">
        <v>102</v>
      </c>
      <c r="AK45" s="18"/>
      <c r="AL45" s="18"/>
      <c r="AM45" s="18"/>
      <c r="AN45" s="18"/>
    </row>
    <row r="46" spans="1:40" ht="14.25" customHeight="1" x14ac:dyDescent="0.35">
      <c r="A46" s="26" t="s">
        <v>925</v>
      </c>
      <c r="B46" s="100" t="s">
        <v>924</v>
      </c>
      <c r="C46" s="110" t="s">
        <v>201</v>
      </c>
      <c r="D46" s="116" t="s">
        <v>217</v>
      </c>
      <c r="E46" s="86" t="s">
        <v>218</v>
      </c>
      <c r="F46" s="86" t="s">
        <v>108</v>
      </c>
      <c r="G46" s="86" t="s">
        <v>901</v>
      </c>
      <c r="H46" s="86"/>
      <c r="I46" s="86" t="s">
        <v>5</v>
      </c>
      <c r="J46" s="86" t="s">
        <v>98</v>
      </c>
      <c r="K46" s="86">
        <v>6</v>
      </c>
      <c r="L46" s="86">
        <v>3</v>
      </c>
      <c r="M46" s="87">
        <v>2006</v>
      </c>
      <c r="N46" s="88">
        <f t="shared" si="1"/>
        <v>38782</v>
      </c>
      <c r="O46" s="25" t="e">
        <f>IF(L46&gt;#REF!,#REF!-M46-1,#REF!-M46)</f>
        <v>#REF!</v>
      </c>
      <c r="P46" s="25" t="e">
        <f t="shared" si="0"/>
        <v>#REF!</v>
      </c>
      <c r="Q46" s="87" t="s">
        <v>40</v>
      </c>
      <c r="R46" s="121" t="s">
        <v>28</v>
      </c>
      <c r="S46" s="87" t="s">
        <v>48</v>
      </c>
      <c r="T46" s="87" t="s">
        <v>65</v>
      </c>
      <c r="U46" s="87" t="s">
        <v>906</v>
      </c>
      <c r="V46" s="87" t="s">
        <v>907</v>
      </c>
      <c r="W46" s="87" t="s">
        <v>909</v>
      </c>
      <c r="X46" s="87" t="s">
        <v>916</v>
      </c>
      <c r="Y46" s="87"/>
      <c r="Z46" s="87"/>
      <c r="AA46" s="87"/>
      <c r="AB46" s="87"/>
      <c r="AC46" s="87"/>
      <c r="AD46" s="87"/>
      <c r="AE46" s="87" t="s">
        <v>219</v>
      </c>
      <c r="AF46" s="87" t="s">
        <v>219</v>
      </c>
      <c r="AG46" s="87"/>
      <c r="AH46" s="87"/>
      <c r="AI46" s="87"/>
      <c r="AJ46" s="27" t="s">
        <v>102</v>
      </c>
      <c r="AK46" s="18"/>
      <c r="AL46" s="18"/>
      <c r="AM46" s="18"/>
      <c r="AN46" s="18"/>
    </row>
    <row r="47" spans="1:40" ht="14.25" customHeight="1" x14ac:dyDescent="0.35">
      <c r="A47" s="26" t="s">
        <v>925</v>
      </c>
      <c r="B47" s="100" t="s">
        <v>924</v>
      </c>
      <c r="C47" s="110" t="s">
        <v>201</v>
      </c>
      <c r="D47" s="116" t="s">
        <v>220</v>
      </c>
      <c r="E47" s="86" t="s">
        <v>221</v>
      </c>
      <c r="F47" s="86" t="s">
        <v>108</v>
      </c>
      <c r="G47" s="86" t="s">
        <v>901</v>
      </c>
      <c r="H47" s="86"/>
      <c r="I47" s="86" t="s">
        <v>4</v>
      </c>
      <c r="J47" s="86" t="s">
        <v>98</v>
      </c>
      <c r="K47" s="86">
        <v>14</v>
      </c>
      <c r="L47" s="86">
        <v>5</v>
      </c>
      <c r="M47" s="87">
        <v>2013</v>
      </c>
      <c r="N47" s="88">
        <f t="shared" si="1"/>
        <v>41408</v>
      </c>
      <c r="O47" s="25" t="e">
        <f>IF(L47&gt;#REF!,#REF!-M47-1,#REF!-M47)</f>
        <v>#REF!</v>
      </c>
      <c r="P47" s="25" t="e">
        <f t="shared" si="0"/>
        <v>#REF!</v>
      </c>
      <c r="Q47" s="87" t="s">
        <v>40</v>
      </c>
      <c r="R47" s="121" t="s">
        <v>28</v>
      </c>
      <c r="S47" s="87" t="s">
        <v>48</v>
      </c>
      <c r="T47" s="87" t="s">
        <v>65</v>
      </c>
      <c r="U47" s="87" t="s">
        <v>906</v>
      </c>
      <c r="V47" s="87" t="s">
        <v>907</v>
      </c>
      <c r="W47" s="87" t="s">
        <v>909</v>
      </c>
      <c r="X47" s="87" t="s">
        <v>916</v>
      </c>
      <c r="Y47" s="87"/>
      <c r="Z47" s="87"/>
      <c r="AA47" s="87"/>
      <c r="AB47" s="87"/>
      <c r="AC47" s="87"/>
      <c r="AD47" s="87"/>
      <c r="AE47" s="87" t="s">
        <v>222</v>
      </c>
      <c r="AF47" s="87" t="s">
        <v>222</v>
      </c>
      <c r="AG47" s="87"/>
      <c r="AH47" s="87"/>
      <c r="AI47" s="87"/>
      <c r="AJ47" s="27" t="s">
        <v>102</v>
      </c>
      <c r="AK47" s="18"/>
      <c r="AL47" s="18"/>
      <c r="AM47" s="18"/>
      <c r="AN47" s="18"/>
    </row>
    <row r="48" spans="1:40" ht="14.25" customHeight="1" x14ac:dyDescent="0.35">
      <c r="A48" s="26" t="s">
        <v>925</v>
      </c>
      <c r="B48" s="100" t="s">
        <v>924</v>
      </c>
      <c r="C48" s="110" t="s">
        <v>223</v>
      </c>
      <c r="D48" s="116" t="s">
        <v>224</v>
      </c>
      <c r="E48" s="86" t="s">
        <v>225</v>
      </c>
      <c r="F48" s="86" t="s">
        <v>97</v>
      </c>
      <c r="G48" s="86" t="s">
        <v>901</v>
      </c>
      <c r="H48" s="86"/>
      <c r="I48" s="86" t="s">
        <v>4</v>
      </c>
      <c r="J48" s="86" t="s">
        <v>98</v>
      </c>
      <c r="K48" s="86">
        <v>7</v>
      </c>
      <c r="L48" s="86">
        <v>5</v>
      </c>
      <c r="M48" s="87">
        <v>1994</v>
      </c>
      <c r="N48" s="88">
        <f t="shared" si="1"/>
        <v>34461</v>
      </c>
      <c r="O48" s="25" t="e">
        <f>IF(L48&gt;#REF!,#REF!-M48-1,#REF!-M48)</f>
        <v>#REF!</v>
      </c>
      <c r="P48" s="25" t="e">
        <f t="shared" si="0"/>
        <v>#REF!</v>
      </c>
      <c r="Q48" s="87" t="s">
        <v>40</v>
      </c>
      <c r="R48" s="121" t="s">
        <v>31</v>
      </c>
      <c r="S48" s="87" t="s">
        <v>62</v>
      </c>
      <c r="T48" s="87" t="s">
        <v>66</v>
      </c>
      <c r="U48" s="87" t="s">
        <v>906</v>
      </c>
      <c r="V48" s="87" t="s">
        <v>907</v>
      </c>
      <c r="W48" s="87" t="s">
        <v>909</v>
      </c>
      <c r="X48" s="87" t="s">
        <v>916</v>
      </c>
      <c r="Y48" s="87"/>
      <c r="Z48" s="87"/>
      <c r="AA48" s="87"/>
      <c r="AB48" s="87"/>
      <c r="AC48" s="87"/>
      <c r="AD48" s="87"/>
      <c r="AE48" s="87" t="s">
        <v>100</v>
      </c>
      <c r="AF48" s="87" t="s">
        <v>100</v>
      </c>
      <c r="AG48" s="87"/>
      <c r="AH48" s="87"/>
      <c r="AI48" s="87"/>
      <c r="AJ48" s="27" t="s">
        <v>102</v>
      </c>
      <c r="AK48" s="18"/>
      <c r="AL48" s="18"/>
      <c r="AM48" s="18"/>
      <c r="AN48" s="18"/>
    </row>
    <row r="49" spans="1:40" ht="14.25" customHeight="1" x14ac:dyDescent="0.35">
      <c r="A49" s="26" t="s">
        <v>925</v>
      </c>
      <c r="B49" s="100" t="s">
        <v>924</v>
      </c>
      <c r="C49" s="110" t="s">
        <v>223</v>
      </c>
      <c r="D49" s="116" t="s">
        <v>226</v>
      </c>
      <c r="E49" s="86" t="s">
        <v>227</v>
      </c>
      <c r="F49" s="86" t="s">
        <v>105</v>
      </c>
      <c r="G49" s="86" t="s">
        <v>901</v>
      </c>
      <c r="H49" s="86"/>
      <c r="I49" s="86" t="s">
        <v>5</v>
      </c>
      <c r="J49" s="86" t="s">
        <v>98</v>
      </c>
      <c r="K49" s="86">
        <v>13</v>
      </c>
      <c r="L49" s="86">
        <v>8</v>
      </c>
      <c r="M49" s="87">
        <v>1998</v>
      </c>
      <c r="N49" s="88">
        <f t="shared" si="1"/>
        <v>36020</v>
      </c>
      <c r="O49" s="25" t="e">
        <f>IF(L49&gt;#REF!,#REF!-M49-1,#REF!-M49)</f>
        <v>#REF!</v>
      </c>
      <c r="P49" s="25" t="e">
        <f t="shared" si="0"/>
        <v>#REF!</v>
      </c>
      <c r="Q49" s="87" t="s">
        <v>40</v>
      </c>
      <c r="R49" s="121" t="s">
        <v>31</v>
      </c>
      <c r="S49" s="87" t="s">
        <v>54</v>
      </c>
      <c r="T49" s="87" t="s">
        <v>66</v>
      </c>
      <c r="U49" s="87" t="s">
        <v>906</v>
      </c>
      <c r="V49" s="87" t="s">
        <v>907</v>
      </c>
      <c r="W49" s="87" t="s">
        <v>909</v>
      </c>
      <c r="X49" s="87" t="s">
        <v>916</v>
      </c>
      <c r="Y49" s="87"/>
      <c r="Z49" s="87"/>
      <c r="AA49" s="87"/>
      <c r="AB49" s="87"/>
      <c r="AC49" s="87"/>
      <c r="AD49" s="87"/>
      <c r="AE49" s="87" t="s">
        <v>100</v>
      </c>
      <c r="AF49" s="87" t="s">
        <v>100</v>
      </c>
      <c r="AG49" s="87"/>
      <c r="AH49" s="87"/>
      <c r="AI49" s="87"/>
      <c r="AJ49" s="27" t="s">
        <v>102</v>
      </c>
      <c r="AK49" s="18"/>
      <c r="AL49" s="18"/>
      <c r="AM49" s="18"/>
      <c r="AN49" s="18"/>
    </row>
    <row r="50" spans="1:40" ht="14.25" customHeight="1" x14ac:dyDescent="0.35">
      <c r="A50" s="26" t="s">
        <v>925</v>
      </c>
      <c r="B50" s="100" t="s">
        <v>924</v>
      </c>
      <c r="C50" s="110" t="s">
        <v>223</v>
      </c>
      <c r="D50" s="116" t="s">
        <v>228</v>
      </c>
      <c r="E50" s="86" t="s">
        <v>229</v>
      </c>
      <c r="F50" s="86" t="s">
        <v>108</v>
      </c>
      <c r="G50" s="86" t="s">
        <v>901</v>
      </c>
      <c r="H50" s="86"/>
      <c r="I50" s="86" t="s">
        <v>5</v>
      </c>
      <c r="J50" s="86" t="s">
        <v>98</v>
      </c>
      <c r="K50" s="86">
        <v>25</v>
      </c>
      <c r="L50" s="86">
        <v>12</v>
      </c>
      <c r="M50" s="87">
        <v>2020</v>
      </c>
      <c r="N50" s="88">
        <f t="shared" si="1"/>
        <v>44190</v>
      </c>
      <c r="O50" s="25" t="e">
        <f>IF(L50&gt;#REF!,#REF!-M50-1,#REF!-M50)</f>
        <v>#REF!</v>
      </c>
      <c r="P50" s="25" t="e">
        <f t="shared" si="0"/>
        <v>#REF!</v>
      </c>
      <c r="Q50" s="87" t="s">
        <v>40</v>
      </c>
      <c r="R50" s="121" t="s">
        <v>28</v>
      </c>
      <c r="S50" s="87" t="s">
        <v>48</v>
      </c>
      <c r="T50" s="87" t="s">
        <v>65</v>
      </c>
      <c r="U50" s="87" t="s">
        <v>906</v>
      </c>
      <c r="V50" s="87" t="s">
        <v>907</v>
      </c>
      <c r="W50" s="87" t="s">
        <v>909</v>
      </c>
      <c r="X50" s="87" t="s">
        <v>916</v>
      </c>
      <c r="Y50" s="87"/>
      <c r="Z50" s="87"/>
      <c r="AA50" s="87"/>
      <c r="AB50" s="87"/>
      <c r="AC50" s="87"/>
      <c r="AD50" s="87"/>
      <c r="AE50" s="87" t="s">
        <v>100</v>
      </c>
      <c r="AF50" s="87" t="s">
        <v>100</v>
      </c>
      <c r="AG50" s="87"/>
      <c r="AH50" s="87"/>
      <c r="AI50" s="87"/>
      <c r="AJ50" s="27" t="s">
        <v>102</v>
      </c>
      <c r="AK50" s="18"/>
      <c r="AL50" s="18"/>
      <c r="AM50" s="18"/>
      <c r="AN50" s="18"/>
    </row>
    <row r="51" spans="1:40" ht="14.25" customHeight="1" x14ac:dyDescent="0.35">
      <c r="A51" s="26" t="s">
        <v>925</v>
      </c>
      <c r="B51" s="100" t="s">
        <v>924</v>
      </c>
      <c r="C51" s="110" t="s">
        <v>230</v>
      </c>
      <c r="D51" s="116" t="s">
        <v>231</v>
      </c>
      <c r="E51" s="86" t="s">
        <v>232</v>
      </c>
      <c r="F51" s="86" t="s">
        <v>108</v>
      </c>
      <c r="G51" s="86" t="s">
        <v>901</v>
      </c>
      <c r="H51" s="86"/>
      <c r="I51" s="86" t="s">
        <v>4</v>
      </c>
      <c r="J51" s="86" t="s">
        <v>233</v>
      </c>
      <c r="K51" s="86">
        <v>1</v>
      </c>
      <c r="L51" s="86">
        <v>7</v>
      </c>
      <c r="M51" s="87">
        <v>1978</v>
      </c>
      <c r="N51" s="88">
        <f t="shared" si="1"/>
        <v>28672</v>
      </c>
      <c r="O51" s="25" t="e">
        <f>IF(L51&gt;#REF!,#REF!-M51-1,#REF!-M51)</f>
        <v>#REF!</v>
      </c>
      <c r="P51" s="25" t="e">
        <f t="shared" si="0"/>
        <v>#REF!</v>
      </c>
      <c r="Q51" s="87" t="s">
        <v>40</v>
      </c>
      <c r="R51" s="121" t="s">
        <v>31</v>
      </c>
      <c r="S51" s="87" t="s">
        <v>62</v>
      </c>
      <c r="T51" s="87" t="s">
        <v>66</v>
      </c>
      <c r="U51" s="87" t="s">
        <v>906</v>
      </c>
      <c r="V51" s="87" t="s">
        <v>907</v>
      </c>
      <c r="W51" s="87" t="s">
        <v>909</v>
      </c>
      <c r="X51" s="87" t="s">
        <v>916</v>
      </c>
      <c r="Y51" s="87"/>
      <c r="Z51" s="87"/>
      <c r="AA51" s="87"/>
      <c r="AB51" s="87"/>
      <c r="AC51" s="87"/>
      <c r="AD51" s="87"/>
      <c r="AE51" s="87" t="s">
        <v>100</v>
      </c>
      <c r="AF51" s="87" t="s">
        <v>100</v>
      </c>
      <c r="AG51" s="87"/>
      <c r="AH51" s="87"/>
      <c r="AI51" s="87"/>
      <c r="AJ51" s="27" t="s">
        <v>102</v>
      </c>
      <c r="AK51" s="18"/>
      <c r="AL51" s="18"/>
      <c r="AM51" s="18"/>
      <c r="AN51" s="18"/>
    </row>
    <row r="52" spans="1:40" ht="14.25" customHeight="1" x14ac:dyDescent="0.35">
      <c r="A52" s="26" t="s">
        <v>925</v>
      </c>
      <c r="B52" s="100" t="s">
        <v>924</v>
      </c>
      <c r="C52" s="110" t="s">
        <v>230</v>
      </c>
      <c r="D52" s="116" t="s">
        <v>234</v>
      </c>
      <c r="E52" s="86" t="s">
        <v>235</v>
      </c>
      <c r="F52" s="86" t="s">
        <v>108</v>
      </c>
      <c r="G52" s="86" t="s">
        <v>901</v>
      </c>
      <c r="H52" s="86"/>
      <c r="I52" s="86" t="s">
        <v>5</v>
      </c>
      <c r="J52" s="86" t="s">
        <v>129</v>
      </c>
      <c r="K52" s="86">
        <v>19</v>
      </c>
      <c r="L52" s="86">
        <v>12</v>
      </c>
      <c r="M52" s="87">
        <v>1980</v>
      </c>
      <c r="N52" s="88">
        <f t="shared" si="1"/>
        <v>29574</v>
      </c>
      <c r="O52" s="25" t="e">
        <f>IF(L52&gt;#REF!,#REF!-M52-1,#REF!-M52)</f>
        <v>#REF!</v>
      </c>
      <c r="P52" s="25" t="e">
        <f t="shared" si="0"/>
        <v>#REF!</v>
      </c>
      <c r="Q52" s="87" t="s">
        <v>40</v>
      </c>
      <c r="R52" s="121" t="s">
        <v>31</v>
      </c>
      <c r="S52" s="87" t="s">
        <v>54</v>
      </c>
      <c r="T52" s="87" t="s">
        <v>66</v>
      </c>
      <c r="U52" s="87" t="s">
        <v>906</v>
      </c>
      <c r="V52" s="87" t="s">
        <v>907</v>
      </c>
      <c r="W52" s="87" t="s">
        <v>909</v>
      </c>
      <c r="X52" s="87" t="s">
        <v>916</v>
      </c>
      <c r="Y52" s="87"/>
      <c r="Z52" s="87"/>
      <c r="AA52" s="87"/>
      <c r="AB52" s="87"/>
      <c r="AC52" s="87"/>
      <c r="AD52" s="87"/>
      <c r="AE52" s="87" t="s">
        <v>100</v>
      </c>
      <c r="AF52" s="87" t="s">
        <v>100</v>
      </c>
      <c r="AG52" s="87"/>
      <c r="AH52" s="87"/>
      <c r="AI52" s="87"/>
      <c r="AJ52" s="27" t="s">
        <v>102</v>
      </c>
      <c r="AK52" s="18"/>
      <c r="AL52" s="18"/>
      <c r="AM52" s="18"/>
      <c r="AN52" s="18"/>
    </row>
    <row r="53" spans="1:40" ht="14.25" customHeight="1" x14ac:dyDescent="0.35">
      <c r="A53" s="26" t="s">
        <v>925</v>
      </c>
      <c r="B53" s="100" t="s">
        <v>924</v>
      </c>
      <c r="C53" s="110" t="s">
        <v>230</v>
      </c>
      <c r="D53" s="116" t="s">
        <v>236</v>
      </c>
      <c r="E53" s="86" t="s">
        <v>237</v>
      </c>
      <c r="F53" s="86" t="s">
        <v>108</v>
      </c>
      <c r="G53" s="86" t="s">
        <v>901</v>
      </c>
      <c r="H53" s="86"/>
      <c r="I53" s="86" t="s">
        <v>5</v>
      </c>
      <c r="J53" s="86" t="s">
        <v>98</v>
      </c>
      <c r="K53" s="86">
        <v>23</v>
      </c>
      <c r="L53" s="86">
        <v>3</v>
      </c>
      <c r="M53" s="87">
        <v>2006</v>
      </c>
      <c r="N53" s="88">
        <f t="shared" si="1"/>
        <v>38799</v>
      </c>
      <c r="O53" s="25" t="e">
        <f>IF(L53&gt;#REF!,#REF!-M53-1,#REF!-M53)</f>
        <v>#REF!</v>
      </c>
      <c r="P53" s="25" t="e">
        <f t="shared" si="0"/>
        <v>#REF!</v>
      </c>
      <c r="Q53" s="87" t="s">
        <v>40</v>
      </c>
      <c r="R53" s="121" t="s">
        <v>28</v>
      </c>
      <c r="S53" s="87" t="s">
        <v>48</v>
      </c>
      <c r="T53" s="87" t="s">
        <v>65</v>
      </c>
      <c r="U53" s="87" t="s">
        <v>906</v>
      </c>
      <c r="V53" s="87" t="s">
        <v>907</v>
      </c>
      <c r="W53" s="87" t="s">
        <v>909</v>
      </c>
      <c r="X53" s="87" t="s">
        <v>916</v>
      </c>
      <c r="Y53" s="87"/>
      <c r="Z53" s="87"/>
      <c r="AA53" s="87"/>
      <c r="AB53" s="87"/>
      <c r="AC53" s="87"/>
      <c r="AD53" s="87"/>
      <c r="AE53" s="87" t="s">
        <v>100</v>
      </c>
      <c r="AF53" s="87" t="s">
        <v>100</v>
      </c>
      <c r="AG53" s="87"/>
      <c r="AH53" s="87"/>
      <c r="AI53" s="87"/>
      <c r="AJ53" s="27" t="s">
        <v>102</v>
      </c>
      <c r="AK53" s="18"/>
      <c r="AL53" s="18"/>
      <c r="AM53" s="18"/>
      <c r="AN53" s="18"/>
    </row>
    <row r="54" spans="1:40" ht="14.25" customHeight="1" x14ac:dyDescent="0.35">
      <c r="A54" s="26" t="s">
        <v>925</v>
      </c>
      <c r="B54" s="100" t="s">
        <v>924</v>
      </c>
      <c r="C54" s="110" t="s">
        <v>230</v>
      </c>
      <c r="D54" s="116" t="s">
        <v>238</v>
      </c>
      <c r="E54" s="86" t="s">
        <v>239</v>
      </c>
      <c r="F54" s="86" t="s">
        <v>108</v>
      </c>
      <c r="G54" s="86" t="s">
        <v>901</v>
      </c>
      <c r="H54" s="86"/>
      <c r="I54" s="86" t="s">
        <v>5</v>
      </c>
      <c r="J54" s="86" t="s">
        <v>98</v>
      </c>
      <c r="K54" s="86">
        <v>30</v>
      </c>
      <c r="L54" s="86">
        <v>4</v>
      </c>
      <c r="M54" s="87">
        <v>2019</v>
      </c>
      <c r="N54" s="88">
        <f t="shared" si="1"/>
        <v>43585</v>
      </c>
      <c r="O54" s="25" t="e">
        <f>IF(L54&gt;#REF!,#REF!-M54-1,#REF!-M54)</f>
        <v>#REF!</v>
      </c>
      <c r="P54" s="25" t="e">
        <f t="shared" si="0"/>
        <v>#REF!</v>
      </c>
      <c r="Q54" s="87" t="s">
        <v>40</v>
      </c>
      <c r="R54" s="121" t="s">
        <v>28</v>
      </c>
      <c r="S54" s="87" t="s">
        <v>48</v>
      </c>
      <c r="T54" s="87" t="s">
        <v>65</v>
      </c>
      <c r="U54" s="87" t="s">
        <v>906</v>
      </c>
      <c r="V54" s="87" t="s">
        <v>907</v>
      </c>
      <c r="W54" s="87" t="s">
        <v>909</v>
      </c>
      <c r="X54" s="87" t="s">
        <v>916</v>
      </c>
      <c r="Y54" s="87"/>
      <c r="Z54" s="87"/>
      <c r="AA54" s="87"/>
      <c r="AB54" s="87"/>
      <c r="AC54" s="87"/>
      <c r="AD54" s="87"/>
      <c r="AE54" s="87" t="s">
        <v>100</v>
      </c>
      <c r="AF54" s="87" t="s">
        <v>100</v>
      </c>
      <c r="AG54" s="87"/>
      <c r="AH54" s="87"/>
      <c r="AI54" s="87"/>
      <c r="AJ54" s="27" t="s">
        <v>102</v>
      </c>
      <c r="AK54" s="18"/>
      <c r="AL54" s="18"/>
      <c r="AM54" s="18"/>
      <c r="AN54" s="18"/>
    </row>
    <row r="55" spans="1:40" ht="14.25" customHeight="1" x14ac:dyDescent="0.35">
      <c r="A55" s="26" t="s">
        <v>925</v>
      </c>
      <c r="B55" s="100" t="s">
        <v>924</v>
      </c>
      <c r="C55" s="110" t="s">
        <v>240</v>
      </c>
      <c r="D55" s="116" t="s">
        <v>241</v>
      </c>
      <c r="E55" s="86" t="s">
        <v>242</v>
      </c>
      <c r="F55" s="86" t="s">
        <v>97</v>
      </c>
      <c r="G55" s="86" t="s">
        <v>901</v>
      </c>
      <c r="H55" s="86"/>
      <c r="I55" s="86" t="s">
        <v>4</v>
      </c>
      <c r="J55" s="86" t="s">
        <v>98</v>
      </c>
      <c r="K55" s="86">
        <v>4</v>
      </c>
      <c r="L55" s="86">
        <v>8</v>
      </c>
      <c r="M55" s="87">
        <v>1984</v>
      </c>
      <c r="N55" s="88">
        <f t="shared" si="1"/>
        <v>30898</v>
      </c>
      <c r="O55" s="25" t="e">
        <f>IF(L55&gt;#REF!,#REF!-M55-1,#REF!-M55)</f>
        <v>#REF!</v>
      </c>
      <c r="P55" s="25" t="e">
        <f t="shared" si="0"/>
        <v>#REF!</v>
      </c>
      <c r="Q55" s="87" t="s">
        <v>40</v>
      </c>
      <c r="R55" s="121" t="s">
        <v>35</v>
      </c>
      <c r="S55" s="87" t="s">
        <v>53</v>
      </c>
      <c r="T55" s="87" t="s">
        <v>66</v>
      </c>
      <c r="U55" s="87" t="s">
        <v>906</v>
      </c>
      <c r="V55" s="87" t="s">
        <v>907</v>
      </c>
      <c r="W55" s="87" t="s">
        <v>909</v>
      </c>
      <c r="X55" s="87" t="s">
        <v>916</v>
      </c>
      <c r="Y55" s="87"/>
      <c r="Z55" s="87"/>
      <c r="AA55" s="87"/>
      <c r="AB55" s="87"/>
      <c r="AC55" s="87"/>
      <c r="AD55" s="87"/>
      <c r="AE55" s="87" t="s">
        <v>243</v>
      </c>
      <c r="AF55" s="87" t="s">
        <v>243</v>
      </c>
      <c r="AG55" s="87"/>
      <c r="AH55" s="87"/>
      <c r="AI55" s="87"/>
      <c r="AJ55" s="27" t="s">
        <v>102</v>
      </c>
      <c r="AK55" s="18"/>
      <c r="AL55" s="18"/>
      <c r="AM55" s="18"/>
      <c r="AN55" s="18"/>
    </row>
    <row r="56" spans="1:40" ht="14.25" customHeight="1" x14ac:dyDescent="0.35">
      <c r="A56" s="26" t="s">
        <v>925</v>
      </c>
      <c r="B56" s="100" t="s">
        <v>924</v>
      </c>
      <c r="C56" s="110" t="s">
        <v>240</v>
      </c>
      <c r="D56" s="116" t="s">
        <v>244</v>
      </c>
      <c r="E56" s="86" t="s">
        <v>245</v>
      </c>
      <c r="F56" s="86" t="s">
        <v>105</v>
      </c>
      <c r="G56" s="86" t="s">
        <v>901</v>
      </c>
      <c r="H56" s="86"/>
      <c r="I56" s="86" t="s">
        <v>5</v>
      </c>
      <c r="J56" s="86" t="s">
        <v>98</v>
      </c>
      <c r="K56" s="86">
        <v>18</v>
      </c>
      <c r="L56" s="86">
        <v>4</v>
      </c>
      <c r="M56" s="87">
        <v>1987</v>
      </c>
      <c r="N56" s="88">
        <f t="shared" si="1"/>
        <v>31885</v>
      </c>
      <c r="O56" s="25" t="e">
        <f>IF(L56&gt;#REF!,#REF!-M56-1,#REF!-M56)</f>
        <v>#REF!</v>
      </c>
      <c r="P56" s="25" t="e">
        <f t="shared" si="0"/>
        <v>#REF!</v>
      </c>
      <c r="Q56" s="87" t="s">
        <v>40</v>
      </c>
      <c r="R56" s="121" t="s">
        <v>35</v>
      </c>
      <c r="S56" s="87" t="s">
        <v>54</v>
      </c>
      <c r="T56" s="87" t="s">
        <v>66</v>
      </c>
      <c r="U56" s="87" t="s">
        <v>906</v>
      </c>
      <c r="V56" s="87" t="s">
        <v>907</v>
      </c>
      <c r="W56" s="87" t="s">
        <v>909</v>
      </c>
      <c r="X56" s="87" t="s">
        <v>916</v>
      </c>
      <c r="Y56" s="87"/>
      <c r="Z56" s="87"/>
      <c r="AA56" s="87"/>
      <c r="AB56" s="87"/>
      <c r="AC56" s="87"/>
      <c r="AD56" s="87"/>
      <c r="AE56" s="87" t="s">
        <v>243</v>
      </c>
      <c r="AF56" s="87" t="s">
        <v>243</v>
      </c>
      <c r="AG56" s="87"/>
      <c r="AH56" s="87"/>
      <c r="AI56" s="87"/>
      <c r="AJ56" s="27" t="s">
        <v>102</v>
      </c>
      <c r="AK56" s="18"/>
      <c r="AL56" s="18"/>
      <c r="AM56" s="18"/>
      <c r="AN56" s="18"/>
    </row>
    <row r="57" spans="1:40" ht="14.25" customHeight="1" x14ac:dyDescent="0.35">
      <c r="A57" s="26" t="s">
        <v>925</v>
      </c>
      <c r="B57" s="100" t="s">
        <v>924</v>
      </c>
      <c r="C57" s="110" t="s">
        <v>246</v>
      </c>
      <c r="D57" s="116" t="s">
        <v>247</v>
      </c>
      <c r="E57" s="86" t="s">
        <v>248</v>
      </c>
      <c r="F57" s="86" t="s">
        <v>97</v>
      </c>
      <c r="G57" s="86" t="s">
        <v>901</v>
      </c>
      <c r="H57" s="86"/>
      <c r="I57" s="86" t="s">
        <v>4</v>
      </c>
      <c r="J57" s="86" t="s">
        <v>233</v>
      </c>
      <c r="K57" s="86">
        <v>1</v>
      </c>
      <c r="L57" s="86">
        <v>6</v>
      </c>
      <c r="M57" s="87">
        <v>1972</v>
      </c>
      <c r="N57" s="88">
        <f t="shared" si="1"/>
        <v>26451</v>
      </c>
      <c r="O57" s="25" t="e">
        <f>IF(L57&gt;#REF!,#REF!-M57-1,#REF!-M57)</f>
        <v>#REF!</v>
      </c>
      <c r="P57" s="25" t="e">
        <f t="shared" si="0"/>
        <v>#REF!</v>
      </c>
      <c r="Q57" s="87" t="s">
        <v>40</v>
      </c>
      <c r="R57" s="121" t="s">
        <v>35</v>
      </c>
      <c r="S57" s="87" t="s">
        <v>62</v>
      </c>
      <c r="T57" s="87" t="s">
        <v>67</v>
      </c>
      <c r="U57" s="87" t="s">
        <v>906</v>
      </c>
      <c r="V57" s="87" t="s">
        <v>907</v>
      </c>
      <c r="W57" s="87" t="s">
        <v>909</v>
      </c>
      <c r="X57" s="87" t="s">
        <v>916</v>
      </c>
      <c r="Y57" s="87"/>
      <c r="Z57" s="87"/>
      <c r="AA57" s="87"/>
      <c r="AB57" s="87"/>
      <c r="AC57" s="87"/>
      <c r="AD57" s="87"/>
      <c r="AE57" s="87" t="s">
        <v>243</v>
      </c>
      <c r="AF57" s="87" t="s">
        <v>243</v>
      </c>
      <c r="AG57" s="87"/>
      <c r="AH57" s="87"/>
      <c r="AI57" s="87"/>
      <c r="AJ57" s="27" t="s">
        <v>102</v>
      </c>
      <c r="AK57" s="18"/>
      <c r="AL57" s="18"/>
      <c r="AM57" s="18"/>
      <c r="AN57" s="18"/>
    </row>
    <row r="58" spans="1:40" ht="14.25" customHeight="1" x14ac:dyDescent="0.35">
      <c r="A58" s="26" t="s">
        <v>925</v>
      </c>
      <c r="B58" s="100" t="s">
        <v>924</v>
      </c>
      <c r="C58" s="110" t="s">
        <v>246</v>
      </c>
      <c r="D58" s="116" t="s">
        <v>249</v>
      </c>
      <c r="E58" s="86" t="s">
        <v>250</v>
      </c>
      <c r="F58" s="86" t="s">
        <v>105</v>
      </c>
      <c r="G58" s="86" t="s">
        <v>901</v>
      </c>
      <c r="H58" s="86"/>
      <c r="I58" s="86" t="s">
        <v>5</v>
      </c>
      <c r="J58" s="86" t="s">
        <v>233</v>
      </c>
      <c r="K58" s="86">
        <v>18</v>
      </c>
      <c r="L58" s="86">
        <v>10</v>
      </c>
      <c r="M58" s="87">
        <v>1975</v>
      </c>
      <c r="N58" s="88">
        <f t="shared" si="1"/>
        <v>27685</v>
      </c>
      <c r="O58" s="25" t="e">
        <f>IF(L58&gt;#REF!,#REF!-M58-1,#REF!-M58)</f>
        <v>#REF!</v>
      </c>
      <c r="P58" s="25" t="e">
        <f t="shared" si="0"/>
        <v>#REF!</v>
      </c>
      <c r="Q58" s="87" t="s">
        <v>40</v>
      </c>
      <c r="R58" s="121" t="s">
        <v>32</v>
      </c>
      <c r="S58" s="87" t="s">
        <v>56</v>
      </c>
      <c r="T58" s="87" t="s">
        <v>67</v>
      </c>
      <c r="U58" s="87" t="s">
        <v>906</v>
      </c>
      <c r="V58" s="87" t="s">
        <v>907</v>
      </c>
      <c r="W58" s="87" t="s">
        <v>909</v>
      </c>
      <c r="X58" s="87" t="s">
        <v>916</v>
      </c>
      <c r="Y58" s="87"/>
      <c r="Z58" s="87"/>
      <c r="AA58" s="87"/>
      <c r="AB58" s="87"/>
      <c r="AC58" s="87"/>
      <c r="AD58" s="87"/>
      <c r="AE58" s="87" t="s">
        <v>243</v>
      </c>
      <c r="AF58" s="87" t="s">
        <v>243</v>
      </c>
      <c r="AG58" s="87"/>
      <c r="AH58" s="87"/>
      <c r="AI58" s="87"/>
      <c r="AJ58" s="27" t="s">
        <v>102</v>
      </c>
      <c r="AK58" s="18"/>
      <c r="AL58" s="18"/>
      <c r="AM58" s="18"/>
      <c r="AN58" s="18"/>
    </row>
    <row r="59" spans="1:40" ht="14.25" customHeight="1" x14ac:dyDescent="0.35">
      <c r="A59" s="26" t="s">
        <v>925</v>
      </c>
      <c r="B59" s="100" t="s">
        <v>924</v>
      </c>
      <c r="C59" s="110" t="s">
        <v>246</v>
      </c>
      <c r="D59" s="116" t="s">
        <v>251</v>
      </c>
      <c r="E59" s="86" t="s">
        <v>252</v>
      </c>
      <c r="F59" s="86" t="s">
        <v>108</v>
      </c>
      <c r="G59" s="86" t="s">
        <v>901</v>
      </c>
      <c r="H59" s="86"/>
      <c r="I59" s="86" t="s">
        <v>4</v>
      </c>
      <c r="J59" s="86" t="s">
        <v>98</v>
      </c>
      <c r="K59" s="86">
        <v>31</v>
      </c>
      <c r="L59" s="86">
        <v>12</v>
      </c>
      <c r="M59" s="87">
        <v>2001</v>
      </c>
      <c r="N59" s="88">
        <f t="shared" si="1"/>
        <v>37256</v>
      </c>
      <c r="O59" s="25" t="e">
        <f>IF(L59&gt;#REF!,#REF!-M59-1,#REF!-M59)</f>
        <v>#REF!</v>
      </c>
      <c r="P59" s="25" t="e">
        <f t="shared" si="0"/>
        <v>#REF!</v>
      </c>
      <c r="Q59" s="87" t="s">
        <v>40</v>
      </c>
      <c r="R59" s="121" t="s">
        <v>31</v>
      </c>
      <c r="S59" s="87" t="s">
        <v>57</v>
      </c>
      <c r="T59" s="87" t="s">
        <v>65</v>
      </c>
      <c r="U59" s="87" t="s">
        <v>906</v>
      </c>
      <c r="V59" s="87" t="s">
        <v>907</v>
      </c>
      <c r="W59" s="87" t="s">
        <v>909</v>
      </c>
      <c r="X59" s="87" t="s">
        <v>916</v>
      </c>
      <c r="Y59" s="87"/>
      <c r="Z59" s="87"/>
      <c r="AA59" s="87"/>
      <c r="AB59" s="87"/>
      <c r="AC59" s="87"/>
      <c r="AD59" s="87"/>
      <c r="AE59" s="87" t="s">
        <v>243</v>
      </c>
      <c r="AF59" s="87" t="s">
        <v>243</v>
      </c>
      <c r="AG59" s="87"/>
      <c r="AH59" s="87"/>
      <c r="AI59" s="87"/>
      <c r="AJ59" s="27" t="s">
        <v>102</v>
      </c>
      <c r="AK59" s="18"/>
      <c r="AL59" s="18"/>
      <c r="AM59" s="18"/>
      <c r="AN59" s="18"/>
    </row>
    <row r="60" spans="1:40" ht="14.25" customHeight="1" x14ac:dyDescent="0.35">
      <c r="A60" s="26" t="s">
        <v>925</v>
      </c>
      <c r="B60" s="100" t="s">
        <v>924</v>
      </c>
      <c r="C60" s="110" t="s">
        <v>246</v>
      </c>
      <c r="D60" s="116" t="s">
        <v>253</v>
      </c>
      <c r="E60" s="86" t="s">
        <v>254</v>
      </c>
      <c r="F60" s="86" t="s">
        <v>108</v>
      </c>
      <c r="G60" s="86" t="s">
        <v>901</v>
      </c>
      <c r="H60" s="86"/>
      <c r="I60" s="86" t="s">
        <v>5</v>
      </c>
      <c r="J60" s="86" t="s">
        <v>98</v>
      </c>
      <c r="K60" s="86">
        <v>4</v>
      </c>
      <c r="L60" s="86">
        <v>3</v>
      </c>
      <c r="M60" s="87">
        <v>2006</v>
      </c>
      <c r="N60" s="88">
        <f t="shared" si="1"/>
        <v>38780</v>
      </c>
      <c r="O60" s="25" t="e">
        <f>IF(L60&gt;#REF!,#REF!-M60-1,#REF!-M60)</f>
        <v>#REF!</v>
      </c>
      <c r="P60" s="25" t="e">
        <f t="shared" si="0"/>
        <v>#REF!</v>
      </c>
      <c r="Q60" s="87" t="s">
        <v>40</v>
      </c>
      <c r="R60" s="121" t="s">
        <v>30</v>
      </c>
      <c r="S60" s="87" t="s">
        <v>57</v>
      </c>
      <c r="T60" s="87" t="s">
        <v>65</v>
      </c>
      <c r="U60" s="87" t="s">
        <v>906</v>
      </c>
      <c r="V60" s="87" t="s">
        <v>907</v>
      </c>
      <c r="W60" s="87" t="s">
        <v>909</v>
      </c>
      <c r="X60" s="87" t="s">
        <v>916</v>
      </c>
      <c r="Y60" s="87"/>
      <c r="Z60" s="87"/>
      <c r="AA60" s="87"/>
      <c r="AB60" s="87"/>
      <c r="AC60" s="87"/>
      <c r="AD60" s="87"/>
      <c r="AE60" s="87" t="s">
        <v>243</v>
      </c>
      <c r="AF60" s="87" t="s">
        <v>243</v>
      </c>
      <c r="AG60" s="87"/>
      <c r="AH60" s="87"/>
      <c r="AI60" s="87"/>
      <c r="AJ60" s="27" t="s">
        <v>102</v>
      </c>
      <c r="AK60" s="18"/>
      <c r="AL60" s="18"/>
      <c r="AM60" s="18"/>
      <c r="AN60" s="18"/>
    </row>
    <row r="61" spans="1:40" ht="14.25" customHeight="1" x14ac:dyDescent="0.35">
      <c r="A61" s="26" t="s">
        <v>925</v>
      </c>
      <c r="B61" s="100" t="s">
        <v>924</v>
      </c>
      <c r="C61" s="110" t="s">
        <v>246</v>
      </c>
      <c r="D61" s="116" t="s">
        <v>255</v>
      </c>
      <c r="E61" s="86" t="s">
        <v>256</v>
      </c>
      <c r="F61" s="86" t="s">
        <v>108</v>
      </c>
      <c r="G61" s="86" t="s">
        <v>901</v>
      </c>
      <c r="H61" s="86"/>
      <c r="I61" s="86" t="s">
        <v>4</v>
      </c>
      <c r="J61" s="86" t="s">
        <v>98</v>
      </c>
      <c r="K61" s="86">
        <v>6</v>
      </c>
      <c r="L61" s="86">
        <v>10</v>
      </c>
      <c r="M61" s="87">
        <v>2010</v>
      </c>
      <c r="N61" s="88">
        <f t="shared" si="1"/>
        <v>40457</v>
      </c>
      <c r="O61" s="25" t="e">
        <f>IF(L61&gt;#REF!,#REF!-M61-1,#REF!-M61)</f>
        <v>#REF!</v>
      </c>
      <c r="P61" s="25" t="e">
        <f t="shared" si="0"/>
        <v>#REF!</v>
      </c>
      <c r="Q61" s="87" t="s">
        <v>40</v>
      </c>
      <c r="R61" s="121" t="s">
        <v>28</v>
      </c>
      <c r="S61" s="87" t="s">
        <v>48</v>
      </c>
      <c r="T61" s="87" t="s">
        <v>65</v>
      </c>
      <c r="U61" s="87" t="s">
        <v>906</v>
      </c>
      <c r="V61" s="87" t="s">
        <v>907</v>
      </c>
      <c r="W61" s="87" t="s">
        <v>909</v>
      </c>
      <c r="X61" s="87" t="s">
        <v>916</v>
      </c>
      <c r="Y61" s="87"/>
      <c r="Z61" s="87"/>
      <c r="AA61" s="87"/>
      <c r="AB61" s="87"/>
      <c r="AC61" s="87"/>
      <c r="AD61" s="87"/>
      <c r="AE61" s="87" t="s">
        <v>243</v>
      </c>
      <c r="AF61" s="87" t="s">
        <v>243</v>
      </c>
      <c r="AG61" s="87"/>
      <c r="AH61" s="87"/>
      <c r="AI61" s="87"/>
      <c r="AJ61" s="27" t="s">
        <v>102</v>
      </c>
      <c r="AK61" s="18"/>
      <c r="AL61" s="18"/>
      <c r="AM61" s="18"/>
      <c r="AN61" s="18"/>
    </row>
    <row r="62" spans="1:40" ht="14.25" customHeight="1" x14ac:dyDescent="0.35">
      <c r="A62" s="26" t="s">
        <v>925</v>
      </c>
      <c r="B62" s="100" t="s">
        <v>924</v>
      </c>
      <c r="C62" s="110" t="s">
        <v>246</v>
      </c>
      <c r="D62" s="116" t="s">
        <v>257</v>
      </c>
      <c r="E62" s="86" t="s">
        <v>258</v>
      </c>
      <c r="F62" s="86" t="s">
        <v>108</v>
      </c>
      <c r="G62" s="86" t="s">
        <v>901</v>
      </c>
      <c r="H62" s="86"/>
      <c r="I62" s="86" t="s">
        <v>4</v>
      </c>
      <c r="J62" s="86" t="s">
        <v>98</v>
      </c>
      <c r="K62" s="86">
        <v>18</v>
      </c>
      <c r="L62" s="86">
        <v>6</v>
      </c>
      <c r="M62" s="87">
        <v>2016</v>
      </c>
      <c r="N62" s="88">
        <f t="shared" si="1"/>
        <v>42539</v>
      </c>
      <c r="O62" s="25" t="e">
        <f>IF(L62&gt;#REF!,#REF!-M62-1,#REF!-M62)</f>
        <v>#REF!</v>
      </c>
      <c r="P62" s="25" t="e">
        <f t="shared" si="0"/>
        <v>#REF!</v>
      </c>
      <c r="Q62" s="87" t="s">
        <v>40</v>
      </c>
      <c r="R62" s="121" t="s">
        <v>28</v>
      </c>
      <c r="S62" s="87" t="s">
        <v>48</v>
      </c>
      <c r="T62" s="87" t="s">
        <v>65</v>
      </c>
      <c r="U62" s="87" t="s">
        <v>906</v>
      </c>
      <c r="V62" s="87" t="s">
        <v>907</v>
      </c>
      <c r="W62" s="87" t="s">
        <v>909</v>
      </c>
      <c r="X62" s="87" t="s">
        <v>916</v>
      </c>
      <c r="Y62" s="87"/>
      <c r="Z62" s="87"/>
      <c r="AA62" s="87"/>
      <c r="AB62" s="87"/>
      <c r="AC62" s="87"/>
      <c r="AD62" s="87"/>
      <c r="AE62" s="87" t="s">
        <v>243</v>
      </c>
      <c r="AF62" s="87" t="s">
        <v>243</v>
      </c>
      <c r="AG62" s="87"/>
      <c r="AH62" s="87"/>
      <c r="AI62" s="87"/>
      <c r="AJ62" s="27" t="s">
        <v>102</v>
      </c>
      <c r="AK62" s="18"/>
      <c r="AL62" s="18"/>
      <c r="AM62" s="18"/>
      <c r="AN62" s="18"/>
    </row>
    <row r="63" spans="1:40" ht="14.25" customHeight="1" x14ac:dyDescent="0.35">
      <c r="A63" s="26" t="s">
        <v>925</v>
      </c>
      <c r="B63" s="100" t="s">
        <v>924</v>
      </c>
      <c r="C63" s="110" t="s">
        <v>246</v>
      </c>
      <c r="D63" s="116" t="s">
        <v>259</v>
      </c>
      <c r="E63" s="86" t="s">
        <v>260</v>
      </c>
      <c r="F63" s="86" t="s">
        <v>108</v>
      </c>
      <c r="G63" s="86" t="s">
        <v>901</v>
      </c>
      <c r="H63" s="86"/>
      <c r="I63" s="86" t="s">
        <v>5</v>
      </c>
      <c r="J63" s="86" t="s">
        <v>98</v>
      </c>
      <c r="K63" s="86">
        <v>8</v>
      </c>
      <c r="L63" s="86">
        <v>3</v>
      </c>
      <c r="M63" s="87">
        <v>1945</v>
      </c>
      <c r="N63" s="88">
        <f t="shared" si="1"/>
        <v>16504</v>
      </c>
      <c r="O63" s="25" t="e">
        <f>IF(L63&gt;#REF!,#REF!-M63-1,#REF!-M63)</f>
        <v>#REF!</v>
      </c>
      <c r="P63" s="25" t="e">
        <f t="shared" si="0"/>
        <v>#REF!</v>
      </c>
      <c r="Q63" s="87" t="s">
        <v>40</v>
      </c>
      <c r="R63" s="121" t="s">
        <v>30</v>
      </c>
      <c r="S63" s="87" t="s">
        <v>54</v>
      </c>
      <c r="T63" s="87" t="s">
        <v>67</v>
      </c>
      <c r="U63" s="87" t="s">
        <v>906</v>
      </c>
      <c r="V63" s="87" t="s">
        <v>907</v>
      </c>
      <c r="W63" s="87" t="s">
        <v>909</v>
      </c>
      <c r="X63" s="87" t="s">
        <v>916</v>
      </c>
      <c r="Y63" s="87"/>
      <c r="Z63" s="87"/>
      <c r="AA63" s="87"/>
      <c r="AB63" s="87"/>
      <c r="AC63" s="87"/>
      <c r="AD63" s="87"/>
      <c r="AE63" s="87" t="s">
        <v>243</v>
      </c>
      <c r="AF63" s="87" t="s">
        <v>243</v>
      </c>
      <c r="AG63" s="87"/>
      <c r="AH63" s="87"/>
      <c r="AI63" s="87"/>
      <c r="AJ63" s="27" t="s">
        <v>102</v>
      </c>
      <c r="AK63" s="18"/>
      <c r="AL63" s="18"/>
      <c r="AM63" s="18"/>
      <c r="AN63" s="18"/>
    </row>
    <row r="64" spans="1:40" ht="14.25" customHeight="1" x14ac:dyDescent="0.35">
      <c r="A64" s="26" t="s">
        <v>925</v>
      </c>
      <c r="B64" s="100" t="s">
        <v>924</v>
      </c>
      <c r="C64" s="110" t="s">
        <v>246</v>
      </c>
      <c r="D64" s="116" t="s">
        <v>261</v>
      </c>
      <c r="E64" s="86" t="s">
        <v>262</v>
      </c>
      <c r="F64" s="86" t="s">
        <v>108</v>
      </c>
      <c r="G64" s="86" t="s">
        <v>901</v>
      </c>
      <c r="H64" s="86"/>
      <c r="I64" s="86" t="s">
        <v>4</v>
      </c>
      <c r="J64" s="86" t="s">
        <v>98</v>
      </c>
      <c r="K64" s="86">
        <v>25</v>
      </c>
      <c r="L64" s="86">
        <v>7</v>
      </c>
      <c r="M64" s="87">
        <v>1991</v>
      </c>
      <c r="N64" s="88">
        <f t="shared" si="1"/>
        <v>33444</v>
      </c>
      <c r="O64" s="25" t="e">
        <f>IF(L64&gt;#REF!,#REF!-M64-1,#REF!-M64)</f>
        <v>#REF!</v>
      </c>
      <c r="P64" s="25" t="e">
        <f t="shared" si="0"/>
        <v>#REF!</v>
      </c>
      <c r="Q64" s="87" t="s">
        <v>40</v>
      </c>
      <c r="R64" s="121" t="s">
        <v>30</v>
      </c>
      <c r="S64" s="87" t="s">
        <v>62</v>
      </c>
      <c r="T64" s="87" t="s">
        <v>65</v>
      </c>
      <c r="U64" s="87" t="s">
        <v>906</v>
      </c>
      <c r="V64" s="87" t="s">
        <v>907</v>
      </c>
      <c r="W64" s="87" t="s">
        <v>909</v>
      </c>
      <c r="X64" s="87" t="s">
        <v>916</v>
      </c>
      <c r="Y64" s="87"/>
      <c r="Z64" s="87"/>
      <c r="AA64" s="87"/>
      <c r="AB64" s="87"/>
      <c r="AC64" s="87"/>
      <c r="AD64" s="87"/>
      <c r="AE64" s="87" t="s">
        <v>243</v>
      </c>
      <c r="AF64" s="87" t="s">
        <v>243</v>
      </c>
      <c r="AG64" s="87"/>
      <c r="AH64" s="87"/>
      <c r="AI64" s="87"/>
      <c r="AJ64" s="27" t="s">
        <v>102</v>
      </c>
      <c r="AK64" s="18"/>
      <c r="AL64" s="18"/>
      <c r="AM64" s="18"/>
      <c r="AN64" s="18"/>
    </row>
    <row r="65" spans="1:40" ht="14.25" customHeight="1" x14ac:dyDescent="0.35">
      <c r="A65" s="26" t="s">
        <v>925</v>
      </c>
      <c r="B65" s="100" t="s">
        <v>924</v>
      </c>
      <c r="C65" s="110" t="s">
        <v>263</v>
      </c>
      <c r="D65" s="116" t="s">
        <v>264</v>
      </c>
      <c r="E65" s="86" t="s">
        <v>265</v>
      </c>
      <c r="F65" s="86" t="s">
        <v>97</v>
      </c>
      <c r="G65" s="86" t="s">
        <v>901</v>
      </c>
      <c r="H65" s="86"/>
      <c r="I65" s="86" t="s">
        <v>4</v>
      </c>
      <c r="J65" s="86" t="s">
        <v>266</v>
      </c>
      <c r="K65" s="86">
        <v>8</v>
      </c>
      <c r="L65" s="86">
        <v>7</v>
      </c>
      <c r="M65" s="87">
        <v>1958</v>
      </c>
      <c r="N65" s="88">
        <f t="shared" si="1"/>
        <v>21374</v>
      </c>
      <c r="O65" s="25" t="e">
        <f>IF(L65&gt;#REF!,#REF!-M65-1,#REF!-M65)</f>
        <v>#REF!</v>
      </c>
      <c r="P65" s="25" t="e">
        <f t="shared" si="0"/>
        <v>#REF!</v>
      </c>
      <c r="Q65" s="87" t="s">
        <v>40</v>
      </c>
      <c r="R65" s="121" t="s">
        <v>31</v>
      </c>
      <c r="S65" s="87" t="s">
        <v>61</v>
      </c>
      <c r="T65" s="87" t="s">
        <v>67</v>
      </c>
      <c r="U65" s="87" t="s">
        <v>906</v>
      </c>
      <c r="V65" s="87" t="s">
        <v>907</v>
      </c>
      <c r="W65" s="87" t="s">
        <v>909</v>
      </c>
      <c r="X65" s="87" t="s">
        <v>916</v>
      </c>
      <c r="Y65" s="87"/>
      <c r="Z65" s="87"/>
      <c r="AA65" s="87"/>
      <c r="AB65" s="87"/>
      <c r="AC65" s="87"/>
      <c r="AD65" s="87"/>
      <c r="AE65" s="87" t="s">
        <v>117</v>
      </c>
      <c r="AF65" s="87" t="s">
        <v>117</v>
      </c>
      <c r="AG65" s="87"/>
      <c r="AH65" s="87"/>
      <c r="AI65" s="87"/>
      <c r="AJ65" s="27" t="s">
        <v>102</v>
      </c>
      <c r="AK65" s="18"/>
      <c r="AL65" s="18"/>
      <c r="AM65" s="18"/>
      <c r="AN65" s="18"/>
    </row>
    <row r="66" spans="1:40" ht="14.25" customHeight="1" x14ac:dyDescent="0.35">
      <c r="A66" s="26" t="s">
        <v>925</v>
      </c>
      <c r="B66" s="100" t="s">
        <v>924</v>
      </c>
      <c r="C66" s="110" t="s">
        <v>263</v>
      </c>
      <c r="D66" s="116" t="s">
        <v>267</v>
      </c>
      <c r="E66" s="86" t="s">
        <v>268</v>
      </c>
      <c r="F66" s="86" t="s">
        <v>105</v>
      </c>
      <c r="G66" s="86" t="s">
        <v>901</v>
      </c>
      <c r="H66" s="86"/>
      <c r="I66" s="86" t="s">
        <v>5</v>
      </c>
      <c r="J66" s="86" t="s">
        <v>98</v>
      </c>
      <c r="K66" s="86">
        <v>15</v>
      </c>
      <c r="L66" s="86">
        <v>2</v>
      </c>
      <c r="M66" s="87">
        <v>1967</v>
      </c>
      <c r="N66" s="88">
        <f t="shared" si="1"/>
        <v>24518</v>
      </c>
      <c r="O66" s="25" t="e">
        <f>IF(L66&gt;#REF!,#REF!-M66-1,#REF!-M66)</f>
        <v>#REF!</v>
      </c>
      <c r="P66" s="25" t="e">
        <f t="shared" si="0"/>
        <v>#REF!</v>
      </c>
      <c r="Q66" s="87" t="s">
        <v>40</v>
      </c>
      <c r="R66" s="121" t="s">
        <v>31</v>
      </c>
      <c r="S66" s="87" t="s">
        <v>62</v>
      </c>
      <c r="T66" s="87" t="s">
        <v>67</v>
      </c>
      <c r="U66" s="87" t="s">
        <v>906</v>
      </c>
      <c r="V66" s="87" t="s">
        <v>907</v>
      </c>
      <c r="W66" s="87" t="s">
        <v>909</v>
      </c>
      <c r="X66" s="87" t="s">
        <v>916</v>
      </c>
      <c r="Y66" s="87"/>
      <c r="Z66" s="87"/>
      <c r="AA66" s="87"/>
      <c r="AB66" s="87"/>
      <c r="AC66" s="87"/>
      <c r="AD66" s="87"/>
      <c r="AE66" s="87" t="s">
        <v>117</v>
      </c>
      <c r="AF66" s="87" t="s">
        <v>117</v>
      </c>
      <c r="AG66" s="87"/>
      <c r="AH66" s="87"/>
      <c r="AI66" s="87"/>
      <c r="AJ66" s="27" t="s">
        <v>102</v>
      </c>
      <c r="AK66" s="18"/>
      <c r="AL66" s="18"/>
      <c r="AM66" s="18"/>
      <c r="AN66" s="18"/>
    </row>
    <row r="67" spans="1:40" ht="14.25" customHeight="1" x14ac:dyDescent="0.35">
      <c r="A67" s="26" t="s">
        <v>925</v>
      </c>
      <c r="B67" s="100" t="s">
        <v>924</v>
      </c>
      <c r="C67" s="110" t="s">
        <v>263</v>
      </c>
      <c r="D67" s="116" t="s">
        <v>269</v>
      </c>
      <c r="E67" s="86" t="s">
        <v>270</v>
      </c>
      <c r="F67" s="86" t="s">
        <v>108</v>
      </c>
      <c r="G67" s="86" t="s">
        <v>901</v>
      </c>
      <c r="H67" s="86"/>
      <c r="I67" s="86" t="s">
        <v>4</v>
      </c>
      <c r="J67" s="86" t="s">
        <v>98</v>
      </c>
      <c r="K67" s="86">
        <v>13</v>
      </c>
      <c r="L67" s="86">
        <v>4</v>
      </c>
      <c r="M67" s="87">
        <v>1991</v>
      </c>
      <c r="N67" s="88">
        <f t="shared" ref="N67:N130" si="2">DATE(M67,L67,K67)</f>
        <v>33341</v>
      </c>
      <c r="O67" s="25" t="e">
        <f>IF(L67&gt;#REF!,#REF!-M67-1,#REF!-M67)</f>
        <v>#REF!</v>
      </c>
      <c r="P67" s="25" t="e">
        <f t="shared" si="0"/>
        <v>#REF!</v>
      </c>
      <c r="Q67" s="87" t="s">
        <v>40</v>
      </c>
      <c r="R67" s="121" t="s">
        <v>35</v>
      </c>
      <c r="S67" s="87" t="s">
        <v>48</v>
      </c>
      <c r="T67" s="87" t="s">
        <v>65</v>
      </c>
      <c r="U67" s="87" t="s">
        <v>906</v>
      </c>
      <c r="V67" s="87" t="s">
        <v>907</v>
      </c>
      <c r="W67" s="87" t="s">
        <v>909</v>
      </c>
      <c r="X67" s="87" t="s">
        <v>916</v>
      </c>
      <c r="Y67" s="87"/>
      <c r="Z67" s="87"/>
      <c r="AA67" s="87"/>
      <c r="AB67" s="87"/>
      <c r="AC67" s="87"/>
      <c r="AD67" s="87"/>
      <c r="AE67" s="87" t="s">
        <v>117</v>
      </c>
      <c r="AF67" s="87" t="s">
        <v>117</v>
      </c>
      <c r="AG67" s="87"/>
      <c r="AH67" s="87"/>
      <c r="AI67" s="87"/>
      <c r="AJ67" s="27" t="s">
        <v>102</v>
      </c>
      <c r="AK67" s="18"/>
      <c r="AL67" s="18"/>
      <c r="AM67" s="18"/>
      <c r="AN67" s="18"/>
    </row>
    <row r="68" spans="1:40" ht="14.25" customHeight="1" x14ac:dyDescent="0.35">
      <c r="A68" s="26" t="s">
        <v>925</v>
      </c>
      <c r="B68" s="100" t="s">
        <v>924</v>
      </c>
      <c r="C68" s="110" t="s">
        <v>263</v>
      </c>
      <c r="D68" s="116" t="s">
        <v>271</v>
      </c>
      <c r="E68" s="86" t="s">
        <v>272</v>
      </c>
      <c r="F68" s="86" t="s">
        <v>108</v>
      </c>
      <c r="G68" s="86" t="s">
        <v>901</v>
      </c>
      <c r="H68" s="86"/>
      <c r="I68" s="86" t="s">
        <v>4</v>
      </c>
      <c r="J68" s="86" t="s">
        <v>98</v>
      </c>
      <c r="K68" s="86">
        <v>5</v>
      </c>
      <c r="L68" s="86">
        <v>5</v>
      </c>
      <c r="M68" s="87">
        <v>1993</v>
      </c>
      <c r="N68" s="88">
        <f t="shared" si="2"/>
        <v>34094</v>
      </c>
      <c r="O68" s="25" t="e">
        <f>IF(L68&gt;#REF!,#REF!-M68-1,#REF!-M68)</f>
        <v>#REF!</v>
      </c>
      <c r="P68" s="25" t="e">
        <f t="shared" si="0"/>
        <v>#REF!</v>
      </c>
      <c r="Q68" s="87" t="s">
        <v>40</v>
      </c>
      <c r="R68" s="121" t="s">
        <v>33</v>
      </c>
      <c r="S68" s="87" t="s">
        <v>48</v>
      </c>
      <c r="T68" s="87" t="s">
        <v>65</v>
      </c>
      <c r="U68" s="87" t="s">
        <v>906</v>
      </c>
      <c r="V68" s="87" t="s">
        <v>907</v>
      </c>
      <c r="W68" s="87" t="s">
        <v>909</v>
      </c>
      <c r="X68" s="87" t="s">
        <v>916</v>
      </c>
      <c r="Y68" s="87"/>
      <c r="Z68" s="87"/>
      <c r="AA68" s="87"/>
      <c r="AB68" s="87"/>
      <c r="AC68" s="87"/>
      <c r="AD68" s="87"/>
      <c r="AE68" s="87" t="s">
        <v>117</v>
      </c>
      <c r="AF68" s="87" t="s">
        <v>117</v>
      </c>
      <c r="AG68" s="87"/>
      <c r="AH68" s="87"/>
      <c r="AI68" s="87"/>
      <c r="AJ68" s="27" t="s">
        <v>102</v>
      </c>
      <c r="AK68" s="18"/>
      <c r="AL68" s="18"/>
      <c r="AM68" s="18"/>
      <c r="AN68" s="18"/>
    </row>
    <row r="69" spans="1:40" ht="14.25" customHeight="1" x14ac:dyDescent="0.35">
      <c r="A69" s="26" t="s">
        <v>925</v>
      </c>
      <c r="B69" s="100" t="s">
        <v>924</v>
      </c>
      <c r="C69" s="110" t="s">
        <v>263</v>
      </c>
      <c r="D69" s="116" t="s">
        <v>273</v>
      </c>
      <c r="E69" s="86" t="s">
        <v>274</v>
      </c>
      <c r="F69" s="86" t="s">
        <v>108</v>
      </c>
      <c r="G69" s="86" t="s">
        <v>901</v>
      </c>
      <c r="H69" s="86"/>
      <c r="I69" s="86" t="s">
        <v>4</v>
      </c>
      <c r="J69" s="86" t="s">
        <v>98</v>
      </c>
      <c r="K69" s="86">
        <v>12</v>
      </c>
      <c r="L69" s="86">
        <v>5</v>
      </c>
      <c r="M69" s="87">
        <v>1998</v>
      </c>
      <c r="N69" s="88">
        <f t="shared" si="2"/>
        <v>35927</v>
      </c>
      <c r="O69" s="25" t="e">
        <f>IF(L69&gt;#REF!,#REF!-M69-1,#REF!-M69)</f>
        <v>#REF!</v>
      </c>
      <c r="P69" s="25" t="e">
        <f t="shared" si="0"/>
        <v>#REF!</v>
      </c>
      <c r="Q69" s="87" t="s">
        <v>40</v>
      </c>
      <c r="R69" s="121" t="s">
        <v>33</v>
      </c>
      <c r="S69" s="87" t="s">
        <v>57</v>
      </c>
      <c r="T69" s="87" t="s">
        <v>65</v>
      </c>
      <c r="U69" s="87" t="s">
        <v>906</v>
      </c>
      <c r="V69" s="87" t="s">
        <v>907</v>
      </c>
      <c r="W69" s="87" t="s">
        <v>909</v>
      </c>
      <c r="X69" s="87" t="s">
        <v>916</v>
      </c>
      <c r="Y69" s="87"/>
      <c r="Z69" s="87"/>
      <c r="AA69" s="87"/>
      <c r="AB69" s="87"/>
      <c r="AC69" s="87"/>
      <c r="AD69" s="87"/>
      <c r="AE69" s="87" t="s">
        <v>117</v>
      </c>
      <c r="AF69" s="87" t="s">
        <v>117</v>
      </c>
      <c r="AG69" s="87"/>
      <c r="AH69" s="87"/>
      <c r="AI69" s="87"/>
      <c r="AJ69" s="27" t="s">
        <v>102</v>
      </c>
      <c r="AK69" s="18"/>
      <c r="AL69" s="18"/>
      <c r="AM69" s="18"/>
      <c r="AN69" s="18"/>
    </row>
    <row r="70" spans="1:40" ht="14.25" customHeight="1" x14ac:dyDescent="0.35">
      <c r="A70" s="26" t="s">
        <v>925</v>
      </c>
      <c r="B70" s="100" t="s">
        <v>924</v>
      </c>
      <c r="C70" s="110" t="s">
        <v>275</v>
      </c>
      <c r="D70" s="116" t="s">
        <v>276</v>
      </c>
      <c r="E70" s="86" t="s">
        <v>277</v>
      </c>
      <c r="F70" s="86" t="s">
        <v>97</v>
      </c>
      <c r="G70" s="86" t="s">
        <v>901</v>
      </c>
      <c r="H70" s="86"/>
      <c r="I70" s="86" t="s">
        <v>4</v>
      </c>
      <c r="J70" s="86" t="s">
        <v>98</v>
      </c>
      <c r="K70" s="86">
        <v>7</v>
      </c>
      <c r="L70" s="86">
        <v>1</v>
      </c>
      <c r="M70" s="87">
        <v>1979</v>
      </c>
      <c r="N70" s="88">
        <f t="shared" si="2"/>
        <v>28862</v>
      </c>
      <c r="O70" s="25" t="e">
        <f>IF(L70&gt;#REF!,#REF!-M70-1,#REF!-M70)</f>
        <v>#REF!</v>
      </c>
      <c r="P70" s="25" t="e">
        <f t="shared" si="0"/>
        <v>#REF!</v>
      </c>
      <c r="Q70" s="87" t="s">
        <v>40</v>
      </c>
      <c r="R70" s="121" t="s">
        <v>33</v>
      </c>
      <c r="S70" s="87" t="s">
        <v>62</v>
      </c>
      <c r="T70" s="87" t="s">
        <v>67</v>
      </c>
      <c r="U70" s="87" t="s">
        <v>906</v>
      </c>
      <c r="V70" s="87" t="s">
        <v>907</v>
      </c>
      <c r="W70" s="87" t="s">
        <v>909</v>
      </c>
      <c r="X70" s="87" t="s">
        <v>916</v>
      </c>
      <c r="Y70" s="87"/>
      <c r="Z70" s="87"/>
      <c r="AA70" s="87"/>
      <c r="AB70" s="87"/>
      <c r="AC70" s="87"/>
      <c r="AD70" s="87"/>
      <c r="AE70" s="87" t="s">
        <v>100</v>
      </c>
      <c r="AF70" s="87" t="s">
        <v>100</v>
      </c>
      <c r="AG70" s="87"/>
      <c r="AH70" s="87"/>
      <c r="AI70" s="87"/>
      <c r="AJ70" s="27" t="s">
        <v>102</v>
      </c>
      <c r="AK70" s="18"/>
      <c r="AL70" s="18"/>
      <c r="AM70" s="18"/>
      <c r="AN70" s="18"/>
    </row>
    <row r="71" spans="1:40" ht="14.25" customHeight="1" x14ac:dyDescent="0.35">
      <c r="A71" s="26" t="s">
        <v>925</v>
      </c>
      <c r="B71" s="100" t="s">
        <v>924</v>
      </c>
      <c r="C71" s="110" t="s">
        <v>275</v>
      </c>
      <c r="D71" s="116" t="s">
        <v>278</v>
      </c>
      <c r="E71" s="86" t="s">
        <v>279</v>
      </c>
      <c r="F71" s="86" t="s">
        <v>105</v>
      </c>
      <c r="G71" s="86" t="s">
        <v>901</v>
      </c>
      <c r="H71" s="86"/>
      <c r="I71" s="86" t="s">
        <v>5</v>
      </c>
      <c r="J71" s="86" t="s">
        <v>98</v>
      </c>
      <c r="K71" s="86">
        <v>21</v>
      </c>
      <c r="L71" s="86">
        <v>12</v>
      </c>
      <c r="M71" s="87">
        <v>1983</v>
      </c>
      <c r="N71" s="88">
        <f t="shared" si="2"/>
        <v>30671</v>
      </c>
      <c r="O71" s="25" t="e">
        <f>IF(L71&gt;#REF!,#REF!-M71-1,#REF!-M71)</f>
        <v>#REF!</v>
      </c>
      <c r="P71" s="25" t="e">
        <f t="shared" si="0"/>
        <v>#REF!</v>
      </c>
      <c r="Q71" s="87" t="s">
        <v>40</v>
      </c>
      <c r="R71" s="121" t="s">
        <v>35</v>
      </c>
      <c r="S71" s="87" t="s">
        <v>54</v>
      </c>
      <c r="T71" s="87" t="s">
        <v>67</v>
      </c>
      <c r="U71" s="87" t="s">
        <v>906</v>
      </c>
      <c r="V71" s="87" t="s">
        <v>907</v>
      </c>
      <c r="W71" s="87" t="s">
        <v>909</v>
      </c>
      <c r="X71" s="87" t="s">
        <v>916</v>
      </c>
      <c r="Y71" s="87"/>
      <c r="Z71" s="87"/>
      <c r="AA71" s="87"/>
      <c r="AB71" s="87"/>
      <c r="AC71" s="87"/>
      <c r="AD71" s="87"/>
      <c r="AE71" s="87" t="s">
        <v>100</v>
      </c>
      <c r="AF71" s="87" t="s">
        <v>100</v>
      </c>
      <c r="AG71" s="87"/>
      <c r="AH71" s="87"/>
      <c r="AI71" s="87"/>
      <c r="AJ71" s="27" t="s">
        <v>102</v>
      </c>
      <c r="AK71" s="18"/>
      <c r="AL71" s="18"/>
      <c r="AM71" s="18"/>
      <c r="AN71" s="18"/>
    </row>
    <row r="72" spans="1:40" ht="14.25" customHeight="1" x14ac:dyDescent="0.35">
      <c r="A72" s="26" t="s">
        <v>925</v>
      </c>
      <c r="B72" s="100" t="s">
        <v>924</v>
      </c>
      <c r="C72" s="110" t="s">
        <v>275</v>
      </c>
      <c r="D72" s="116" t="s">
        <v>280</v>
      </c>
      <c r="E72" s="86" t="s">
        <v>281</v>
      </c>
      <c r="F72" s="86" t="s">
        <v>108</v>
      </c>
      <c r="G72" s="86" t="s">
        <v>901</v>
      </c>
      <c r="H72" s="86"/>
      <c r="I72" s="86" t="s">
        <v>5</v>
      </c>
      <c r="J72" s="86" t="s">
        <v>98</v>
      </c>
      <c r="K72" s="86">
        <v>23</v>
      </c>
      <c r="L72" s="86">
        <v>5</v>
      </c>
      <c r="M72" s="87">
        <v>2010</v>
      </c>
      <c r="N72" s="88">
        <f t="shared" si="2"/>
        <v>40321</v>
      </c>
      <c r="O72" s="25" t="e">
        <f>IF(L72&gt;#REF!,#REF!-M72-1,#REF!-M72)</f>
        <v>#REF!</v>
      </c>
      <c r="P72" s="25" t="e">
        <f t="shared" si="0"/>
        <v>#REF!</v>
      </c>
      <c r="Q72" s="87" t="s">
        <v>40</v>
      </c>
      <c r="R72" s="121" t="s">
        <v>28</v>
      </c>
      <c r="S72" s="87" t="s">
        <v>48</v>
      </c>
      <c r="T72" s="87" t="s">
        <v>65</v>
      </c>
      <c r="U72" s="87" t="s">
        <v>906</v>
      </c>
      <c r="V72" s="87" t="s">
        <v>907</v>
      </c>
      <c r="W72" s="87" t="s">
        <v>909</v>
      </c>
      <c r="X72" s="87" t="s">
        <v>916</v>
      </c>
      <c r="Y72" s="87"/>
      <c r="Z72" s="87"/>
      <c r="AA72" s="87"/>
      <c r="AB72" s="87"/>
      <c r="AC72" s="87"/>
      <c r="AD72" s="87"/>
      <c r="AE72" s="87" t="s">
        <v>100</v>
      </c>
      <c r="AF72" s="87" t="s">
        <v>100</v>
      </c>
      <c r="AG72" s="87"/>
      <c r="AH72" s="87"/>
      <c r="AI72" s="87"/>
      <c r="AJ72" s="27" t="s">
        <v>102</v>
      </c>
      <c r="AK72" s="18"/>
      <c r="AL72" s="18"/>
      <c r="AM72" s="18"/>
      <c r="AN72" s="18"/>
    </row>
    <row r="73" spans="1:40" ht="14.25" customHeight="1" x14ac:dyDescent="0.35">
      <c r="A73" s="26" t="s">
        <v>925</v>
      </c>
      <c r="B73" s="100" t="s">
        <v>924</v>
      </c>
      <c r="C73" s="110" t="s">
        <v>282</v>
      </c>
      <c r="D73" s="116" t="s">
        <v>283</v>
      </c>
      <c r="E73" s="86" t="s">
        <v>284</v>
      </c>
      <c r="F73" s="86" t="s">
        <v>97</v>
      </c>
      <c r="G73" s="86" t="s">
        <v>901</v>
      </c>
      <c r="H73" s="86"/>
      <c r="I73" s="86" t="s">
        <v>4</v>
      </c>
      <c r="J73" s="86" t="s">
        <v>98</v>
      </c>
      <c r="K73" s="86">
        <v>7</v>
      </c>
      <c r="L73" s="86">
        <v>7</v>
      </c>
      <c r="M73" s="87">
        <v>1976</v>
      </c>
      <c r="N73" s="88">
        <f t="shared" si="2"/>
        <v>27948</v>
      </c>
      <c r="O73" s="25" t="e">
        <f>IF(L73&gt;#REF!,#REF!-M73-1,#REF!-M73)</f>
        <v>#REF!</v>
      </c>
      <c r="P73" s="25" t="e">
        <f t="shared" si="0"/>
        <v>#REF!</v>
      </c>
      <c r="Q73" s="87" t="s">
        <v>40</v>
      </c>
      <c r="R73" s="121" t="s">
        <v>33</v>
      </c>
      <c r="S73" s="87" t="s">
        <v>60</v>
      </c>
      <c r="T73" s="87" t="s">
        <v>67</v>
      </c>
      <c r="U73" s="87" t="s">
        <v>906</v>
      </c>
      <c r="V73" s="87" t="s">
        <v>907</v>
      </c>
      <c r="W73" s="87" t="s">
        <v>909</v>
      </c>
      <c r="X73" s="87" t="s">
        <v>916</v>
      </c>
      <c r="Y73" s="87"/>
      <c r="Z73" s="87"/>
      <c r="AA73" s="87"/>
      <c r="AB73" s="87"/>
      <c r="AC73" s="87"/>
      <c r="AD73" s="87"/>
      <c r="AE73" s="87" t="s">
        <v>100</v>
      </c>
      <c r="AF73" s="87" t="s">
        <v>100</v>
      </c>
      <c r="AG73" s="87"/>
      <c r="AH73" s="87"/>
      <c r="AI73" s="87"/>
      <c r="AJ73" s="27" t="s">
        <v>102</v>
      </c>
      <c r="AK73" s="18"/>
      <c r="AL73" s="18"/>
      <c r="AM73" s="18"/>
      <c r="AN73" s="18"/>
    </row>
    <row r="74" spans="1:40" ht="14.25" customHeight="1" x14ac:dyDescent="0.35">
      <c r="A74" s="26" t="s">
        <v>925</v>
      </c>
      <c r="B74" s="100" t="s">
        <v>924</v>
      </c>
      <c r="C74" s="110" t="s">
        <v>282</v>
      </c>
      <c r="D74" s="116" t="s">
        <v>285</v>
      </c>
      <c r="E74" s="86" t="s">
        <v>286</v>
      </c>
      <c r="F74" s="86" t="s">
        <v>105</v>
      </c>
      <c r="G74" s="86" t="s">
        <v>901</v>
      </c>
      <c r="H74" s="86"/>
      <c r="I74" s="86" t="s">
        <v>5</v>
      </c>
      <c r="J74" s="86" t="s">
        <v>98</v>
      </c>
      <c r="K74" s="86">
        <v>17</v>
      </c>
      <c r="L74" s="86">
        <v>5</v>
      </c>
      <c r="M74" s="87">
        <v>1977</v>
      </c>
      <c r="N74" s="88">
        <f t="shared" si="2"/>
        <v>28262</v>
      </c>
      <c r="O74" s="25" t="e">
        <f>IF(L74&gt;#REF!,#REF!-M74-1,#REF!-M74)</f>
        <v>#REF!</v>
      </c>
      <c r="P74" s="25" t="e">
        <f t="shared" si="0"/>
        <v>#REF!</v>
      </c>
      <c r="Q74" s="87" t="s">
        <v>40</v>
      </c>
      <c r="R74" s="121" t="s">
        <v>33</v>
      </c>
      <c r="S74" s="87" t="s">
        <v>54</v>
      </c>
      <c r="T74" s="87" t="s">
        <v>67</v>
      </c>
      <c r="U74" s="87" t="s">
        <v>906</v>
      </c>
      <c r="V74" s="87" t="s">
        <v>907</v>
      </c>
      <c r="W74" s="87" t="s">
        <v>909</v>
      </c>
      <c r="X74" s="87" t="s">
        <v>916</v>
      </c>
      <c r="Y74" s="87"/>
      <c r="Z74" s="87"/>
      <c r="AA74" s="87"/>
      <c r="AB74" s="87"/>
      <c r="AC74" s="87"/>
      <c r="AD74" s="87"/>
      <c r="AE74" s="87" t="s">
        <v>100</v>
      </c>
      <c r="AF74" s="87" t="s">
        <v>100</v>
      </c>
      <c r="AG74" s="87"/>
      <c r="AH74" s="87"/>
      <c r="AI74" s="87"/>
      <c r="AJ74" s="27" t="s">
        <v>102</v>
      </c>
      <c r="AK74" s="18"/>
      <c r="AL74" s="18"/>
      <c r="AM74" s="18"/>
      <c r="AN74" s="18"/>
    </row>
    <row r="75" spans="1:40" ht="14.25" customHeight="1" x14ac:dyDescent="0.35">
      <c r="A75" s="26" t="s">
        <v>925</v>
      </c>
      <c r="B75" s="100" t="s">
        <v>924</v>
      </c>
      <c r="C75" s="110" t="s">
        <v>282</v>
      </c>
      <c r="D75" s="116" t="s">
        <v>287</v>
      </c>
      <c r="E75" s="86" t="s">
        <v>288</v>
      </c>
      <c r="F75" s="86" t="s">
        <v>108</v>
      </c>
      <c r="G75" s="86" t="s">
        <v>901</v>
      </c>
      <c r="H75" s="86"/>
      <c r="I75" s="86" t="s">
        <v>4</v>
      </c>
      <c r="J75" s="86" t="s">
        <v>98</v>
      </c>
      <c r="K75" s="86">
        <v>21</v>
      </c>
      <c r="L75" s="86">
        <v>7</v>
      </c>
      <c r="M75" s="87">
        <v>1997</v>
      </c>
      <c r="N75" s="88">
        <f t="shared" si="2"/>
        <v>35632</v>
      </c>
      <c r="O75" s="25" t="e">
        <f>IF(L75&gt;#REF!,#REF!-M75-1,#REF!-M75)</f>
        <v>#REF!</v>
      </c>
      <c r="P75" s="25" t="e">
        <f t="shared" si="0"/>
        <v>#REF!</v>
      </c>
      <c r="Q75" s="87" t="s">
        <v>40</v>
      </c>
      <c r="R75" s="121" t="s">
        <v>31</v>
      </c>
      <c r="S75" s="87" t="s">
        <v>48</v>
      </c>
      <c r="T75" s="87" t="s">
        <v>65</v>
      </c>
      <c r="U75" s="87" t="s">
        <v>906</v>
      </c>
      <c r="V75" s="87" t="s">
        <v>907</v>
      </c>
      <c r="W75" s="87" t="s">
        <v>909</v>
      </c>
      <c r="X75" s="87" t="s">
        <v>916</v>
      </c>
      <c r="Y75" s="87"/>
      <c r="Z75" s="87"/>
      <c r="AA75" s="87"/>
      <c r="AB75" s="87"/>
      <c r="AC75" s="87"/>
      <c r="AD75" s="87"/>
      <c r="AE75" s="87" t="s">
        <v>100</v>
      </c>
      <c r="AF75" s="87" t="s">
        <v>100</v>
      </c>
      <c r="AG75" s="87"/>
      <c r="AH75" s="87"/>
      <c r="AI75" s="87"/>
      <c r="AJ75" s="27" t="s">
        <v>102</v>
      </c>
      <c r="AK75" s="18"/>
      <c r="AL75" s="18"/>
      <c r="AM75" s="18"/>
      <c r="AN75" s="18"/>
    </row>
    <row r="76" spans="1:40" ht="14.25" customHeight="1" x14ac:dyDescent="0.35">
      <c r="A76" s="26" t="s">
        <v>925</v>
      </c>
      <c r="B76" s="100" t="s">
        <v>924</v>
      </c>
      <c r="C76" s="110" t="s">
        <v>282</v>
      </c>
      <c r="D76" s="116" t="s">
        <v>289</v>
      </c>
      <c r="E76" s="86" t="s">
        <v>290</v>
      </c>
      <c r="F76" s="86" t="s">
        <v>108</v>
      </c>
      <c r="G76" s="86" t="s">
        <v>901</v>
      </c>
      <c r="H76" s="86"/>
      <c r="I76" s="86" t="s">
        <v>4</v>
      </c>
      <c r="J76" s="86" t="s">
        <v>98</v>
      </c>
      <c r="K76" s="86">
        <v>5</v>
      </c>
      <c r="L76" s="86">
        <v>10</v>
      </c>
      <c r="M76" s="87">
        <v>2001</v>
      </c>
      <c r="N76" s="88">
        <f t="shared" si="2"/>
        <v>37169</v>
      </c>
      <c r="O76" s="25" t="e">
        <f>IF(L76&gt;#REF!,#REF!-M76-1,#REF!-M76)</f>
        <v>#REF!</v>
      </c>
      <c r="P76" s="25" t="e">
        <f t="shared" si="0"/>
        <v>#REF!</v>
      </c>
      <c r="Q76" s="87" t="s">
        <v>40</v>
      </c>
      <c r="R76" s="121" t="s">
        <v>28</v>
      </c>
      <c r="S76" s="87" t="s">
        <v>48</v>
      </c>
      <c r="T76" s="87" t="s">
        <v>65</v>
      </c>
      <c r="U76" s="87" t="s">
        <v>906</v>
      </c>
      <c r="V76" s="87" t="s">
        <v>907</v>
      </c>
      <c r="W76" s="87" t="s">
        <v>909</v>
      </c>
      <c r="X76" s="87" t="s">
        <v>916</v>
      </c>
      <c r="Y76" s="87"/>
      <c r="Z76" s="87"/>
      <c r="AA76" s="87"/>
      <c r="AB76" s="87"/>
      <c r="AC76" s="87"/>
      <c r="AD76" s="87"/>
      <c r="AE76" s="87" t="s">
        <v>100</v>
      </c>
      <c r="AF76" s="87" t="s">
        <v>100</v>
      </c>
      <c r="AG76" s="87"/>
      <c r="AH76" s="87"/>
      <c r="AI76" s="87"/>
      <c r="AJ76" s="27" t="s">
        <v>102</v>
      </c>
      <c r="AK76" s="18"/>
      <c r="AL76" s="18"/>
      <c r="AM76" s="18"/>
      <c r="AN76" s="18"/>
    </row>
    <row r="77" spans="1:40" ht="14.25" customHeight="1" x14ac:dyDescent="0.35">
      <c r="A77" s="26" t="s">
        <v>925</v>
      </c>
      <c r="B77" s="100" t="s">
        <v>924</v>
      </c>
      <c r="C77" s="110" t="s">
        <v>282</v>
      </c>
      <c r="D77" s="116" t="s">
        <v>291</v>
      </c>
      <c r="E77" s="86" t="s">
        <v>292</v>
      </c>
      <c r="F77" s="86" t="s">
        <v>108</v>
      </c>
      <c r="G77" s="86" t="s">
        <v>901</v>
      </c>
      <c r="H77" s="86"/>
      <c r="I77" s="86" t="s">
        <v>4</v>
      </c>
      <c r="J77" s="86" t="s">
        <v>98</v>
      </c>
      <c r="K77" s="86">
        <v>11</v>
      </c>
      <c r="L77" s="86">
        <v>4</v>
      </c>
      <c r="M77" s="87">
        <v>2005</v>
      </c>
      <c r="N77" s="88">
        <f t="shared" si="2"/>
        <v>38453</v>
      </c>
      <c r="O77" s="25" t="e">
        <f>IF(L77&gt;#REF!,#REF!-M77-1,#REF!-M77)</f>
        <v>#REF!</v>
      </c>
      <c r="P77" s="25" t="e">
        <f t="shared" si="0"/>
        <v>#REF!</v>
      </c>
      <c r="Q77" s="87" t="s">
        <v>40</v>
      </c>
      <c r="R77" s="121" t="s">
        <v>28</v>
      </c>
      <c r="S77" s="87" t="s">
        <v>48</v>
      </c>
      <c r="T77" s="87" t="s">
        <v>65</v>
      </c>
      <c r="U77" s="87" t="s">
        <v>906</v>
      </c>
      <c r="V77" s="87" t="s">
        <v>907</v>
      </c>
      <c r="W77" s="87" t="s">
        <v>909</v>
      </c>
      <c r="X77" s="87" t="s">
        <v>916</v>
      </c>
      <c r="Y77" s="87"/>
      <c r="Z77" s="87"/>
      <c r="AA77" s="87"/>
      <c r="AB77" s="87"/>
      <c r="AC77" s="87"/>
      <c r="AD77" s="87"/>
      <c r="AE77" s="87" t="s">
        <v>100</v>
      </c>
      <c r="AF77" s="87" t="s">
        <v>100</v>
      </c>
      <c r="AG77" s="87"/>
      <c r="AH77" s="87"/>
      <c r="AI77" s="87"/>
      <c r="AJ77" s="27" t="s">
        <v>102</v>
      </c>
      <c r="AK77" s="18"/>
      <c r="AL77" s="18"/>
      <c r="AM77" s="18"/>
      <c r="AN77" s="18"/>
    </row>
    <row r="78" spans="1:40" ht="14.25" customHeight="1" x14ac:dyDescent="0.35">
      <c r="A78" s="26" t="s">
        <v>925</v>
      </c>
      <c r="B78" s="100" t="s">
        <v>924</v>
      </c>
      <c r="C78" s="110" t="s">
        <v>282</v>
      </c>
      <c r="D78" s="116" t="s">
        <v>293</v>
      </c>
      <c r="E78" s="86" t="s">
        <v>294</v>
      </c>
      <c r="F78" s="86" t="s">
        <v>108</v>
      </c>
      <c r="G78" s="86" t="s">
        <v>901</v>
      </c>
      <c r="H78" s="86"/>
      <c r="I78" s="86" t="s">
        <v>4</v>
      </c>
      <c r="J78" s="86" t="s">
        <v>98</v>
      </c>
      <c r="K78" s="86">
        <v>3</v>
      </c>
      <c r="L78" s="86">
        <v>11</v>
      </c>
      <c r="M78" s="87">
        <v>2011</v>
      </c>
      <c r="N78" s="88">
        <f t="shared" si="2"/>
        <v>40850</v>
      </c>
      <c r="O78" s="25" t="e">
        <f>IF(L78&gt;#REF!,#REF!-M78-1,#REF!-M78)</f>
        <v>#REF!</v>
      </c>
      <c r="P78" s="25" t="e">
        <f t="shared" si="0"/>
        <v>#REF!</v>
      </c>
      <c r="Q78" s="87" t="s">
        <v>40</v>
      </c>
      <c r="R78" s="121" t="s">
        <v>28</v>
      </c>
      <c r="S78" s="87" t="s">
        <v>48</v>
      </c>
      <c r="T78" s="87" t="s">
        <v>65</v>
      </c>
      <c r="U78" s="87" t="s">
        <v>906</v>
      </c>
      <c r="V78" s="87" t="s">
        <v>907</v>
      </c>
      <c r="W78" s="87" t="s">
        <v>909</v>
      </c>
      <c r="X78" s="87" t="s">
        <v>916</v>
      </c>
      <c r="Y78" s="87"/>
      <c r="Z78" s="87"/>
      <c r="AA78" s="87"/>
      <c r="AB78" s="87"/>
      <c r="AC78" s="87"/>
      <c r="AD78" s="87"/>
      <c r="AE78" s="87" t="s">
        <v>100</v>
      </c>
      <c r="AF78" s="87" t="s">
        <v>100</v>
      </c>
      <c r="AG78" s="87"/>
      <c r="AH78" s="87"/>
      <c r="AI78" s="87"/>
      <c r="AJ78" s="27" t="s">
        <v>102</v>
      </c>
      <c r="AK78" s="18"/>
      <c r="AL78" s="18"/>
      <c r="AM78" s="18"/>
      <c r="AN78" s="18"/>
    </row>
    <row r="79" spans="1:40" ht="14.25" customHeight="1" x14ac:dyDescent="0.35">
      <c r="A79" s="26" t="s">
        <v>925</v>
      </c>
      <c r="B79" s="100" t="s">
        <v>924</v>
      </c>
      <c r="C79" s="110" t="s">
        <v>295</v>
      </c>
      <c r="D79" s="116" t="s">
        <v>296</v>
      </c>
      <c r="E79" s="86" t="s">
        <v>297</v>
      </c>
      <c r="F79" s="86" t="s">
        <v>97</v>
      </c>
      <c r="G79" s="86" t="s">
        <v>901</v>
      </c>
      <c r="H79" s="86"/>
      <c r="I79" s="86" t="s">
        <v>4</v>
      </c>
      <c r="J79" s="86" t="s">
        <v>98</v>
      </c>
      <c r="K79" s="86">
        <v>12</v>
      </c>
      <c r="L79" s="86">
        <v>3</v>
      </c>
      <c r="M79" s="87">
        <v>1965</v>
      </c>
      <c r="N79" s="88">
        <f t="shared" si="2"/>
        <v>23813</v>
      </c>
      <c r="O79" s="25" t="e">
        <f>IF(L79&gt;#REF!,#REF!-M79-1,#REF!-M79)</f>
        <v>#REF!</v>
      </c>
      <c r="P79" s="25" t="e">
        <f t="shared" si="0"/>
        <v>#REF!</v>
      </c>
      <c r="Q79" s="87" t="s">
        <v>40</v>
      </c>
      <c r="R79" s="121" t="s">
        <v>35</v>
      </c>
      <c r="S79" s="87" t="s">
        <v>62</v>
      </c>
      <c r="T79" s="87" t="s">
        <v>67</v>
      </c>
      <c r="U79" s="87" t="s">
        <v>906</v>
      </c>
      <c r="V79" s="87" t="s">
        <v>907</v>
      </c>
      <c r="W79" s="87" t="s">
        <v>909</v>
      </c>
      <c r="X79" s="87" t="s">
        <v>916</v>
      </c>
      <c r="Y79" s="87"/>
      <c r="Z79" s="87"/>
      <c r="AA79" s="87"/>
      <c r="AB79" s="87"/>
      <c r="AC79" s="87"/>
      <c r="AD79" s="87"/>
      <c r="AE79" s="87" t="s">
        <v>100</v>
      </c>
      <c r="AF79" s="87" t="s">
        <v>100</v>
      </c>
      <c r="AG79" s="87"/>
      <c r="AH79" s="87"/>
      <c r="AI79" s="87"/>
      <c r="AJ79" s="27" t="s">
        <v>102</v>
      </c>
      <c r="AK79" s="18"/>
      <c r="AL79" s="18"/>
      <c r="AM79" s="18"/>
      <c r="AN79" s="18"/>
    </row>
    <row r="80" spans="1:40" ht="14.25" customHeight="1" x14ac:dyDescent="0.35">
      <c r="A80" s="26" t="s">
        <v>925</v>
      </c>
      <c r="B80" s="100" t="s">
        <v>924</v>
      </c>
      <c r="C80" s="110" t="s">
        <v>295</v>
      </c>
      <c r="D80" s="116" t="s">
        <v>298</v>
      </c>
      <c r="E80" s="86" t="s">
        <v>299</v>
      </c>
      <c r="F80" s="86" t="s">
        <v>105</v>
      </c>
      <c r="G80" s="86" t="s">
        <v>901</v>
      </c>
      <c r="H80" s="86"/>
      <c r="I80" s="86" t="s">
        <v>5</v>
      </c>
      <c r="J80" s="86" t="s">
        <v>98</v>
      </c>
      <c r="K80" s="86">
        <v>1</v>
      </c>
      <c r="L80" s="86">
        <v>3</v>
      </c>
      <c r="M80" s="87">
        <v>1966</v>
      </c>
      <c r="N80" s="88">
        <f t="shared" si="2"/>
        <v>24167</v>
      </c>
      <c r="O80" s="25" t="e">
        <f>IF(L80&gt;#REF!,#REF!-M80-1,#REF!-M80)</f>
        <v>#REF!</v>
      </c>
      <c r="P80" s="25" t="e">
        <f t="shared" si="0"/>
        <v>#REF!</v>
      </c>
      <c r="Q80" s="87" t="s">
        <v>40</v>
      </c>
      <c r="R80" s="121" t="s">
        <v>35</v>
      </c>
      <c r="S80" s="87" t="s">
        <v>54</v>
      </c>
      <c r="T80" s="87" t="s">
        <v>67</v>
      </c>
      <c r="U80" s="87" t="s">
        <v>906</v>
      </c>
      <c r="V80" s="87" t="s">
        <v>907</v>
      </c>
      <c r="W80" s="87" t="s">
        <v>909</v>
      </c>
      <c r="X80" s="87" t="s">
        <v>916</v>
      </c>
      <c r="Y80" s="87"/>
      <c r="Z80" s="87"/>
      <c r="AA80" s="87"/>
      <c r="AB80" s="87"/>
      <c r="AC80" s="87"/>
      <c r="AD80" s="87"/>
      <c r="AE80" s="87" t="s">
        <v>100</v>
      </c>
      <c r="AF80" s="87" t="s">
        <v>100</v>
      </c>
      <c r="AG80" s="87"/>
      <c r="AH80" s="87"/>
      <c r="AI80" s="87"/>
      <c r="AJ80" s="27" t="s">
        <v>102</v>
      </c>
      <c r="AK80" s="18"/>
      <c r="AL80" s="18"/>
      <c r="AM80" s="18"/>
      <c r="AN80" s="18"/>
    </row>
    <row r="81" spans="1:40" ht="14.25" customHeight="1" x14ac:dyDescent="0.35">
      <c r="A81" s="26" t="s">
        <v>925</v>
      </c>
      <c r="B81" s="100" t="s">
        <v>924</v>
      </c>
      <c r="C81" s="110" t="s">
        <v>295</v>
      </c>
      <c r="D81" s="116" t="s">
        <v>300</v>
      </c>
      <c r="E81" s="86" t="s">
        <v>301</v>
      </c>
      <c r="F81" s="86" t="s">
        <v>108</v>
      </c>
      <c r="G81" s="86" t="s">
        <v>901</v>
      </c>
      <c r="H81" s="86"/>
      <c r="I81" s="86" t="s">
        <v>4</v>
      </c>
      <c r="J81" s="86" t="s">
        <v>98</v>
      </c>
      <c r="K81" s="86">
        <v>8</v>
      </c>
      <c r="L81" s="86">
        <v>8</v>
      </c>
      <c r="M81" s="87">
        <v>1997</v>
      </c>
      <c r="N81" s="88">
        <f t="shared" si="2"/>
        <v>35650</v>
      </c>
      <c r="O81" s="25" t="e">
        <f>IF(L81&gt;#REF!,#REF!-M81-1,#REF!-M81)</f>
        <v>#REF!</v>
      </c>
      <c r="P81" s="25" t="e">
        <f t="shared" si="0"/>
        <v>#REF!</v>
      </c>
      <c r="Q81" s="87" t="s">
        <v>40</v>
      </c>
      <c r="R81" s="121" t="s">
        <v>31</v>
      </c>
      <c r="S81" s="87" t="s">
        <v>48</v>
      </c>
      <c r="T81" s="87" t="s">
        <v>65</v>
      </c>
      <c r="U81" s="87" t="s">
        <v>906</v>
      </c>
      <c r="V81" s="87" t="s">
        <v>907</v>
      </c>
      <c r="W81" s="87" t="s">
        <v>909</v>
      </c>
      <c r="X81" s="87" t="s">
        <v>916</v>
      </c>
      <c r="Y81" s="87"/>
      <c r="Z81" s="87"/>
      <c r="AA81" s="87"/>
      <c r="AB81" s="87"/>
      <c r="AC81" s="87"/>
      <c r="AD81" s="87"/>
      <c r="AE81" s="87" t="s">
        <v>100</v>
      </c>
      <c r="AF81" s="87" t="s">
        <v>100</v>
      </c>
      <c r="AG81" s="87"/>
      <c r="AH81" s="87"/>
      <c r="AI81" s="87"/>
      <c r="AJ81" s="27" t="s">
        <v>102</v>
      </c>
      <c r="AK81" s="18"/>
      <c r="AL81" s="18"/>
      <c r="AM81" s="18"/>
      <c r="AN81" s="18"/>
    </row>
    <row r="82" spans="1:40" ht="14.25" customHeight="1" x14ac:dyDescent="0.35">
      <c r="A82" s="26" t="s">
        <v>925</v>
      </c>
      <c r="B82" s="100" t="s">
        <v>924</v>
      </c>
      <c r="C82" s="110" t="s">
        <v>302</v>
      </c>
      <c r="D82" s="116" t="s">
        <v>302</v>
      </c>
      <c r="E82" s="86" t="s">
        <v>303</v>
      </c>
      <c r="F82" s="86" t="s">
        <v>97</v>
      </c>
      <c r="G82" s="86" t="s">
        <v>901</v>
      </c>
      <c r="H82" s="86"/>
      <c r="I82" s="86" t="s">
        <v>5</v>
      </c>
      <c r="J82" s="86" t="s">
        <v>98</v>
      </c>
      <c r="K82" s="86">
        <v>27</v>
      </c>
      <c r="L82" s="86">
        <v>4</v>
      </c>
      <c r="M82" s="87">
        <v>1975</v>
      </c>
      <c r="N82" s="88">
        <f t="shared" si="2"/>
        <v>27511</v>
      </c>
      <c r="O82" s="25" t="e">
        <f>IF(L82&gt;#REF!,#REF!-M82-1,#REF!-M82)</f>
        <v>#REF!</v>
      </c>
      <c r="P82" s="25" t="e">
        <f t="shared" si="0"/>
        <v>#REF!</v>
      </c>
      <c r="Q82" s="87" t="s">
        <v>40</v>
      </c>
      <c r="R82" s="121" t="s">
        <v>34</v>
      </c>
      <c r="S82" s="87" t="s">
        <v>62</v>
      </c>
      <c r="T82" s="87" t="s">
        <v>65</v>
      </c>
      <c r="U82" s="87" t="s">
        <v>906</v>
      </c>
      <c r="V82" s="87" t="s">
        <v>907</v>
      </c>
      <c r="W82" s="87" t="s">
        <v>909</v>
      </c>
      <c r="X82" s="87" t="s">
        <v>916</v>
      </c>
      <c r="Y82" s="87"/>
      <c r="Z82" s="87"/>
      <c r="AA82" s="87"/>
      <c r="AB82" s="87"/>
      <c r="AC82" s="87"/>
      <c r="AD82" s="87"/>
      <c r="AE82" s="87" t="s">
        <v>304</v>
      </c>
      <c r="AF82" s="87" t="s">
        <v>304</v>
      </c>
      <c r="AG82" s="87"/>
      <c r="AH82" s="87"/>
      <c r="AI82" s="87"/>
      <c r="AJ82" s="27" t="s">
        <v>102</v>
      </c>
      <c r="AK82" s="18"/>
      <c r="AL82" s="18"/>
      <c r="AM82" s="18"/>
      <c r="AN82" s="18"/>
    </row>
    <row r="83" spans="1:40" ht="14.25" customHeight="1" x14ac:dyDescent="0.35">
      <c r="A83" s="26" t="s">
        <v>925</v>
      </c>
      <c r="B83" s="100" t="s">
        <v>924</v>
      </c>
      <c r="C83" s="110" t="s">
        <v>302</v>
      </c>
      <c r="D83" s="116" t="s">
        <v>305</v>
      </c>
      <c r="E83" s="86" t="s">
        <v>306</v>
      </c>
      <c r="F83" s="86" t="s">
        <v>105</v>
      </c>
      <c r="G83" s="86" t="s">
        <v>901</v>
      </c>
      <c r="H83" s="86"/>
      <c r="I83" s="86" t="s">
        <v>5</v>
      </c>
      <c r="J83" s="86" t="s">
        <v>98</v>
      </c>
      <c r="K83" s="86">
        <v>22</v>
      </c>
      <c r="L83" s="86">
        <v>1</v>
      </c>
      <c r="M83" s="87">
        <v>1993</v>
      </c>
      <c r="N83" s="88">
        <f t="shared" si="2"/>
        <v>33991</v>
      </c>
      <c r="O83" s="25" t="e">
        <f>IF(L83&gt;#REF!,#REF!-M83-1,#REF!-M83)</f>
        <v>#REF!</v>
      </c>
      <c r="P83" s="25" t="e">
        <f t="shared" si="0"/>
        <v>#REF!</v>
      </c>
      <c r="Q83" s="87" t="s">
        <v>40</v>
      </c>
      <c r="R83" s="121" t="s">
        <v>34</v>
      </c>
      <c r="S83" s="87" t="s">
        <v>57</v>
      </c>
      <c r="T83" s="87" t="s">
        <v>65</v>
      </c>
      <c r="U83" s="87" t="s">
        <v>906</v>
      </c>
      <c r="V83" s="87" t="s">
        <v>907</v>
      </c>
      <c r="W83" s="87" t="s">
        <v>909</v>
      </c>
      <c r="X83" s="87" t="s">
        <v>916</v>
      </c>
      <c r="Y83" s="87"/>
      <c r="Z83" s="87"/>
      <c r="AA83" s="87"/>
      <c r="AB83" s="87"/>
      <c r="AC83" s="87"/>
      <c r="AD83" s="87"/>
      <c r="AE83" s="87" t="s">
        <v>307</v>
      </c>
      <c r="AF83" s="87" t="s">
        <v>307</v>
      </c>
      <c r="AG83" s="87"/>
      <c r="AH83" s="87"/>
      <c r="AI83" s="87"/>
      <c r="AJ83" s="27" t="s">
        <v>102</v>
      </c>
      <c r="AK83" s="18"/>
      <c r="AL83" s="18"/>
      <c r="AM83" s="18"/>
      <c r="AN83" s="18"/>
    </row>
    <row r="84" spans="1:40" ht="14.25" customHeight="1" x14ac:dyDescent="0.35">
      <c r="A84" s="26" t="s">
        <v>925</v>
      </c>
      <c r="B84" s="100" t="s">
        <v>924</v>
      </c>
      <c r="C84" s="110" t="s">
        <v>302</v>
      </c>
      <c r="D84" s="116" t="s">
        <v>308</v>
      </c>
      <c r="E84" s="86" t="s">
        <v>309</v>
      </c>
      <c r="F84" s="86" t="s">
        <v>108</v>
      </c>
      <c r="G84" s="86" t="s">
        <v>901</v>
      </c>
      <c r="H84" s="86"/>
      <c r="I84" s="86" t="s">
        <v>4</v>
      </c>
      <c r="J84" s="86" t="s">
        <v>98</v>
      </c>
      <c r="K84" s="86">
        <v>13</v>
      </c>
      <c r="L84" s="86">
        <v>10</v>
      </c>
      <c r="M84" s="87">
        <v>2007</v>
      </c>
      <c r="N84" s="88">
        <f t="shared" si="2"/>
        <v>39368</v>
      </c>
      <c r="O84" s="25" t="e">
        <f>IF(L84&gt;#REF!,#REF!-M84-1,#REF!-M84)</f>
        <v>#REF!</v>
      </c>
      <c r="P84" s="25" t="e">
        <f t="shared" si="0"/>
        <v>#REF!</v>
      </c>
      <c r="Q84" s="87" t="s">
        <v>40</v>
      </c>
      <c r="R84" s="121" t="s">
        <v>31</v>
      </c>
      <c r="S84" s="87" t="s">
        <v>53</v>
      </c>
      <c r="T84" s="87" t="s">
        <v>65</v>
      </c>
      <c r="U84" s="87" t="s">
        <v>906</v>
      </c>
      <c r="V84" s="87" t="s">
        <v>907</v>
      </c>
      <c r="W84" s="87" t="s">
        <v>909</v>
      </c>
      <c r="X84" s="87" t="s">
        <v>916</v>
      </c>
      <c r="Y84" s="87"/>
      <c r="Z84" s="87"/>
      <c r="AA84" s="87"/>
      <c r="AB84" s="87"/>
      <c r="AC84" s="87"/>
      <c r="AD84" s="87"/>
      <c r="AE84" s="87" t="s">
        <v>310</v>
      </c>
      <c r="AF84" s="87" t="s">
        <v>310</v>
      </c>
      <c r="AG84" s="87"/>
      <c r="AH84" s="87"/>
      <c r="AI84" s="87"/>
      <c r="AJ84" s="27" t="s">
        <v>102</v>
      </c>
      <c r="AK84" s="18"/>
      <c r="AL84" s="18"/>
      <c r="AM84" s="18"/>
      <c r="AN84" s="18"/>
    </row>
    <row r="85" spans="1:40" ht="14.25" customHeight="1" x14ac:dyDescent="0.35">
      <c r="A85" s="26" t="s">
        <v>925</v>
      </c>
      <c r="B85" s="100" t="s">
        <v>924</v>
      </c>
      <c r="C85" s="110" t="s">
        <v>311</v>
      </c>
      <c r="D85" s="116" t="s">
        <v>312</v>
      </c>
      <c r="E85" s="86" t="s">
        <v>313</v>
      </c>
      <c r="F85" s="86" t="s">
        <v>97</v>
      </c>
      <c r="G85" s="86" t="s">
        <v>901</v>
      </c>
      <c r="H85" s="86"/>
      <c r="I85" s="86" t="s">
        <v>4</v>
      </c>
      <c r="J85" s="86" t="s">
        <v>155</v>
      </c>
      <c r="K85" s="86">
        <v>17</v>
      </c>
      <c r="L85" s="86">
        <v>8</v>
      </c>
      <c r="M85" s="87">
        <v>1975</v>
      </c>
      <c r="N85" s="88">
        <f t="shared" si="2"/>
        <v>27623</v>
      </c>
      <c r="O85" s="25" t="e">
        <f>IF(L85&gt;#REF!,#REF!-M85-1,#REF!-M85)</f>
        <v>#REF!</v>
      </c>
      <c r="P85" s="25" t="e">
        <f t="shared" si="0"/>
        <v>#REF!</v>
      </c>
      <c r="Q85" s="87" t="s">
        <v>40</v>
      </c>
      <c r="R85" s="121" t="s">
        <v>31</v>
      </c>
      <c r="S85" s="87" t="s">
        <v>62</v>
      </c>
      <c r="T85" s="87" t="s">
        <v>67</v>
      </c>
      <c r="U85" s="87" t="s">
        <v>906</v>
      </c>
      <c r="V85" s="87" t="s">
        <v>907</v>
      </c>
      <c r="W85" s="87" t="s">
        <v>909</v>
      </c>
      <c r="X85" s="87" t="s">
        <v>916</v>
      </c>
      <c r="Y85" s="87"/>
      <c r="Z85" s="87"/>
      <c r="AA85" s="87"/>
      <c r="AB85" s="87"/>
      <c r="AC85" s="87"/>
      <c r="AD85" s="87"/>
      <c r="AE85" s="87" t="s">
        <v>100</v>
      </c>
      <c r="AF85" s="87" t="s">
        <v>100</v>
      </c>
      <c r="AG85" s="87"/>
      <c r="AH85" s="87"/>
      <c r="AI85" s="87"/>
      <c r="AJ85" s="27" t="s">
        <v>102</v>
      </c>
      <c r="AK85" s="18"/>
      <c r="AL85" s="18"/>
      <c r="AM85" s="18"/>
      <c r="AN85" s="18"/>
    </row>
    <row r="86" spans="1:40" ht="14.25" customHeight="1" x14ac:dyDescent="0.35">
      <c r="A86" s="26" t="s">
        <v>925</v>
      </c>
      <c r="B86" s="100" t="s">
        <v>924</v>
      </c>
      <c r="C86" s="110" t="s">
        <v>311</v>
      </c>
      <c r="D86" s="116" t="s">
        <v>314</v>
      </c>
      <c r="E86" s="86" t="s">
        <v>315</v>
      </c>
      <c r="F86" s="86" t="s">
        <v>105</v>
      </c>
      <c r="G86" s="86" t="s">
        <v>901</v>
      </c>
      <c r="H86" s="86"/>
      <c r="I86" s="86" t="s">
        <v>5</v>
      </c>
      <c r="J86" s="86" t="s">
        <v>155</v>
      </c>
      <c r="K86" s="86">
        <v>28</v>
      </c>
      <c r="L86" s="86">
        <v>10</v>
      </c>
      <c r="M86" s="87">
        <v>1984</v>
      </c>
      <c r="N86" s="88">
        <f t="shared" si="2"/>
        <v>30983</v>
      </c>
      <c r="O86" s="25" t="e">
        <f>IF(L86&gt;#REF!,#REF!-M86-1,#REF!-M86)</f>
        <v>#REF!</v>
      </c>
      <c r="P86" s="25" t="e">
        <f t="shared" si="0"/>
        <v>#REF!</v>
      </c>
      <c r="Q86" s="87" t="s">
        <v>40</v>
      </c>
      <c r="R86" s="121" t="s">
        <v>30</v>
      </c>
      <c r="S86" s="87" t="s">
        <v>54</v>
      </c>
      <c r="T86" s="87" t="s">
        <v>67</v>
      </c>
      <c r="U86" s="87" t="s">
        <v>906</v>
      </c>
      <c r="V86" s="87" t="s">
        <v>907</v>
      </c>
      <c r="W86" s="87" t="s">
        <v>909</v>
      </c>
      <c r="X86" s="87" t="s">
        <v>916</v>
      </c>
      <c r="Y86" s="87"/>
      <c r="Z86" s="87"/>
      <c r="AA86" s="87"/>
      <c r="AB86" s="87"/>
      <c r="AC86" s="87"/>
      <c r="AD86" s="87"/>
      <c r="AE86" s="87" t="s">
        <v>100</v>
      </c>
      <c r="AF86" s="87" t="s">
        <v>100</v>
      </c>
      <c r="AG86" s="87"/>
      <c r="AH86" s="87"/>
      <c r="AI86" s="87"/>
      <c r="AJ86" s="27" t="s">
        <v>102</v>
      </c>
      <c r="AK86" s="18"/>
      <c r="AL86" s="18"/>
      <c r="AM86" s="18"/>
      <c r="AN86" s="18"/>
    </row>
    <row r="87" spans="1:40" ht="14.25" customHeight="1" x14ac:dyDescent="0.35">
      <c r="A87" s="26" t="s">
        <v>925</v>
      </c>
      <c r="B87" s="100" t="s">
        <v>924</v>
      </c>
      <c r="C87" s="110" t="s">
        <v>311</v>
      </c>
      <c r="D87" s="116" t="s">
        <v>316</v>
      </c>
      <c r="E87" s="86" t="s">
        <v>317</v>
      </c>
      <c r="F87" s="86" t="s">
        <v>108</v>
      </c>
      <c r="G87" s="86" t="s">
        <v>901</v>
      </c>
      <c r="H87" s="86"/>
      <c r="I87" s="86" t="s">
        <v>4</v>
      </c>
      <c r="J87" s="86" t="s">
        <v>98</v>
      </c>
      <c r="K87" s="86">
        <v>11</v>
      </c>
      <c r="L87" s="86">
        <v>11</v>
      </c>
      <c r="M87" s="87">
        <v>2012</v>
      </c>
      <c r="N87" s="88">
        <f t="shared" si="2"/>
        <v>41224</v>
      </c>
      <c r="O87" s="25" t="e">
        <f>IF(L87&gt;#REF!,#REF!-M87-1,#REF!-M87)</f>
        <v>#REF!</v>
      </c>
      <c r="P87" s="25" t="e">
        <f t="shared" si="0"/>
        <v>#REF!</v>
      </c>
      <c r="Q87" s="87" t="s">
        <v>40</v>
      </c>
      <c r="R87" s="121" t="s">
        <v>28</v>
      </c>
      <c r="S87" s="87" t="s">
        <v>48</v>
      </c>
      <c r="T87" s="87" t="s">
        <v>65</v>
      </c>
      <c r="U87" s="87" t="s">
        <v>906</v>
      </c>
      <c r="V87" s="87" t="s">
        <v>907</v>
      </c>
      <c r="W87" s="87" t="s">
        <v>909</v>
      </c>
      <c r="X87" s="87" t="s">
        <v>916</v>
      </c>
      <c r="Y87" s="87"/>
      <c r="Z87" s="87"/>
      <c r="AA87" s="87"/>
      <c r="AB87" s="87"/>
      <c r="AC87" s="87"/>
      <c r="AD87" s="87"/>
      <c r="AE87" s="87" t="s">
        <v>100</v>
      </c>
      <c r="AF87" s="87" t="s">
        <v>100</v>
      </c>
      <c r="AG87" s="87"/>
      <c r="AH87" s="87"/>
      <c r="AI87" s="87"/>
      <c r="AJ87" s="27" t="s">
        <v>102</v>
      </c>
      <c r="AK87" s="18"/>
      <c r="AL87" s="18"/>
      <c r="AM87" s="18"/>
      <c r="AN87" s="18"/>
    </row>
    <row r="88" spans="1:40" ht="14.25" customHeight="1" x14ac:dyDescent="0.35">
      <c r="A88" s="26" t="s">
        <v>925</v>
      </c>
      <c r="B88" s="100" t="s">
        <v>924</v>
      </c>
      <c r="C88" s="110" t="s">
        <v>311</v>
      </c>
      <c r="D88" s="116" t="s">
        <v>318</v>
      </c>
      <c r="E88" s="86" t="s">
        <v>319</v>
      </c>
      <c r="F88" s="86" t="s">
        <v>108</v>
      </c>
      <c r="G88" s="86" t="s">
        <v>901</v>
      </c>
      <c r="H88" s="86"/>
      <c r="I88" s="86" t="s">
        <v>4</v>
      </c>
      <c r="J88" s="86" t="s">
        <v>98</v>
      </c>
      <c r="K88" s="86">
        <v>11</v>
      </c>
      <c r="L88" s="86">
        <v>10</v>
      </c>
      <c r="M88" s="87">
        <v>2015</v>
      </c>
      <c r="N88" s="88">
        <f t="shared" si="2"/>
        <v>42288</v>
      </c>
      <c r="O88" s="25" t="e">
        <f>IF(L88&gt;#REF!,#REF!-M88-1,#REF!-M88)</f>
        <v>#REF!</v>
      </c>
      <c r="P88" s="25" t="e">
        <f t="shared" si="0"/>
        <v>#REF!</v>
      </c>
      <c r="Q88" s="87" t="s">
        <v>40</v>
      </c>
      <c r="R88" s="121" t="s">
        <v>28</v>
      </c>
      <c r="S88" s="87" t="s">
        <v>48</v>
      </c>
      <c r="T88" s="87" t="s">
        <v>65</v>
      </c>
      <c r="U88" s="87" t="s">
        <v>906</v>
      </c>
      <c r="V88" s="87" t="s">
        <v>907</v>
      </c>
      <c r="W88" s="87" t="s">
        <v>909</v>
      </c>
      <c r="X88" s="87" t="s">
        <v>916</v>
      </c>
      <c r="Y88" s="87"/>
      <c r="Z88" s="87"/>
      <c r="AA88" s="87"/>
      <c r="AB88" s="87"/>
      <c r="AC88" s="87"/>
      <c r="AD88" s="87"/>
      <c r="AE88" s="87" t="s">
        <v>100</v>
      </c>
      <c r="AF88" s="87" t="s">
        <v>100</v>
      </c>
      <c r="AG88" s="87"/>
      <c r="AH88" s="87"/>
      <c r="AI88" s="87"/>
      <c r="AJ88" s="27" t="s">
        <v>102</v>
      </c>
      <c r="AK88" s="18"/>
      <c r="AL88" s="18"/>
      <c r="AM88" s="18"/>
      <c r="AN88" s="18"/>
    </row>
    <row r="89" spans="1:40" ht="14.25" customHeight="1" x14ac:dyDescent="0.35">
      <c r="A89" s="26" t="s">
        <v>925</v>
      </c>
      <c r="B89" s="100" t="s">
        <v>924</v>
      </c>
      <c r="C89" s="110" t="s">
        <v>320</v>
      </c>
      <c r="D89" s="116" t="s">
        <v>321</v>
      </c>
      <c r="E89" s="86" t="s">
        <v>322</v>
      </c>
      <c r="F89" s="86" t="s">
        <v>97</v>
      </c>
      <c r="G89" s="86" t="s">
        <v>901</v>
      </c>
      <c r="H89" s="86"/>
      <c r="I89" s="86" t="s">
        <v>4</v>
      </c>
      <c r="J89" s="86" t="s">
        <v>98</v>
      </c>
      <c r="K89" s="86">
        <v>10</v>
      </c>
      <c r="L89" s="86">
        <v>6</v>
      </c>
      <c r="M89" s="87">
        <v>1980</v>
      </c>
      <c r="N89" s="88">
        <f t="shared" si="2"/>
        <v>29382</v>
      </c>
      <c r="O89" s="25" t="e">
        <f>IF(L89&gt;#REF!,#REF!-M89-1,#REF!-M89)</f>
        <v>#REF!</v>
      </c>
      <c r="P89" s="25" t="e">
        <f t="shared" si="0"/>
        <v>#REF!</v>
      </c>
      <c r="Q89" s="87" t="s">
        <v>40</v>
      </c>
      <c r="R89" s="121" t="s">
        <v>31</v>
      </c>
      <c r="S89" s="87" t="s">
        <v>55</v>
      </c>
      <c r="T89" s="87" t="s">
        <v>66</v>
      </c>
      <c r="U89" s="87" t="s">
        <v>906</v>
      </c>
      <c r="V89" s="87" t="s">
        <v>907</v>
      </c>
      <c r="W89" s="87" t="s">
        <v>909</v>
      </c>
      <c r="X89" s="87" t="s">
        <v>916</v>
      </c>
      <c r="Y89" s="87"/>
      <c r="Z89" s="87"/>
      <c r="AA89" s="87"/>
      <c r="AB89" s="87"/>
      <c r="AC89" s="87"/>
      <c r="AD89" s="87"/>
      <c r="AE89" s="87" t="s">
        <v>323</v>
      </c>
      <c r="AF89" s="87" t="s">
        <v>323</v>
      </c>
      <c r="AG89" s="87"/>
      <c r="AH89" s="87"/>
      <c r="AI89" s="87"/>
      <c r="AJ89" s="27" t="s">
        <v>102</v>
      </c>
      <c r="AK89" s="18"/>
      <c r="AL89" s="18"/>
      <c r="AM89" s="18"/>
      <c r="AN89" s="18"/>
    </row>
    <row r="90" spans="1:40" ht="14.25" customHeight="1" x14ac:dyDescent="0.35">
      <c r="A90" s="26" t="s">
        <v>925</v>
      </c>
      <c r="B90" s="100" t="s">
        <v>924</v>
      </c>
      <c r="C90" s="110" t="s">
        <v>320</v>
      </c>
      <c r="D90" s="116" t="s">
        <v>324</v>
      </c>
      <c r="E90" s="86" t="s">
        <v>325</v>
      </c>
      <c r="F90" s="86" t="s">
        <v>105</v>
      </c>
      <c r="G90" s="86" t="s">
        <v>901</v>
      </c>
      <c r="H90" s="86"/>
      <c r="I90" s="86" t="s">
        <v>5</v>
      </c>
      <c r="J90" s="86" t="s">
        <v>326</v>
      </c>
      <c r="K90" s="86">
        <v>4</v>
      </c>
      <c r="L90" s="86">
        <v>10</v>
      </c>
      <c r="M90" s="87">
        <v>1979</v>
      </c>
      <c r="N90" s="88">
        <f t="shared" si="2"/>
        <v>29132</v>
      </c>
      <c r="O90" s="25" t="e">
        <f>IF(L90&gt;#REF!,#REF!-M90-1,#REF!-M90)</f>
        <v>#REF!</v>
      </c>
      <c r="P90" s="25" t="e">
        <f t="shared" si="0"/>
        <v>#REF!</v>
      </c>
      <c r="Q90" s="87" t="s">
        <v>40</v>
      </c>
      <c r="R90" s="121" t="s">
        <v>31</v>
      </c>
      <c r="S90" s="87" t="s">
        <v>54</v>
      </c>
      <c r="T90" s="87" t="s">
        <v>66</v>
      </c>
      <c r="U90" s="87" t="s">
        <v>906</v>
      </c>
      <c r="V90" s="87" t="s">
        <v>907</v>
      </c>
      <c r="W90" s="87" t="s">
        <v>909</v>
      </c>
      <c r="X90" s="87" t="s">
        <v>916</v>
      </c>
      <c r="Y90" s="87"/>
      <c r="Z90" s="87"/>
      <c r="AA90" s="87"/>
      <c r="AB90" s="87"/>
      <c r="AC90" s="87"/>
      <c r="AD90" s="87"/>
      <c r="AE90" s="87" t="s">
        <v>327</v>
      </c>
      <c r="AF90" s="87" t="s">
        <v>327</v>
      </c>
      <c r="AG90" s="87"/>
      <c r="AH90" s="87"/>
      <c r="AI90" s="87"/>
      <c r="AJ90" s="27" t="s">
        <v>102</v>
      </c>
      <c r="AK90" s="18"/>
      <c r="AL90" s="18"/>
      <c r="AM90" s="18"/>
      <c r="AN90" s="18"/>
    </row>
    <row r="91" spans="1:40" ht="14.25" customHeight="1" x14ac:dyDescent="0.35">
      <c r="A91" s="26" t="s">
        <v>925</v>
      </c>
      <c r="B91" s="100" t="s">
        <v>924</v>
      </c>
      <c r="C91" s="110" t="s">
        <v>320</v>
      </c>
      <c r="D91" s="116" t="s">
        <v>328</v>
      </c>
      <c r="E91" s="86" t="s">
        <v>329</v>
      </c>
      <c r="F91" s="86" t="s">
        <v>108</v>
      </c>
      <c r="G91" s="86" t="s">
        <v>901</v>
      </c>
      <c r="H91" s="86"/>
      <c r="I91" s="86" t="s">
        <v>5</v>
      </c>
      <c r="J91" s="86" t="s">
        <v>192</v>
      </c>
      <c r="K91" s="86">
        <v>21</v>
      </c>
      <c r="L91" s="86">
        <v>6</v>
      </c>
      <c r="M91" s="87">
        <v>2002</v>
      </c>
      <c r="N91" s="88">
        <f t="shared" si="2"/>
        <v>37428</v>
      </c>
      <c r="O91" s="25" t="e">
        <f>IF(L91&gt;#REF!,#REF!-M91-1,#REF!-M91)</f>
        <v>#REF!</v>
      </c>
      <c r="P91" s="25" t="e">
        <f t="shared" si="0"/>
        <v>#REF!</v>
      </c>
      <c r="Q91" s="87" t="s">
        <v>40</v>
      </c>
      <c r="R91" s="121" t="s">
        <v>33</v>
      </c>
      <c r="S91" s="87" t="s">
        <v>57</v>
      </c>
      <c r="T91" s="87" t="s">
        <v>65</v>
      </c>
      <c r="U91" s="87" t="s">
        <v>906</v>
      </c>
      <c r="V91" s="87" t="s">
        <v>907</v>
      </c>
      <c r="W91" s="87" t="s">
        <v>909</v>
      </c>
      <c r="X91" s="87" t="s">
        <v>916</v>
      </c>
      <c r="Y91" s="87"/>
      <c r="Z91" s="87"/>
      <c r="AA91" s="87"/>
      <c r="AB91" s="87"/>
      <c r="AC91" s="87"/>
      <c r="AD91" s="87"/>
      <c r="AE91" s="87" t="s">
        <v>330</v>
      </c>
      <c r="AF91" s="87" t="s">
        <v>330</v>
      </c>
      <c r="AG91" s="87"/>
      <c r="AH91" s="87"/>
      <c r="AI91" s="87"/>
      <c r="AJ91" s="27" t="s">
        <v>102</v>
      </c>
      <c r="AK91" s="18"/>
      <c r="AL91" s="18"/>
      <c r="AM91" s="18"/>
      <c r="AN91" s="18"/>
    </row>
    <row r="92" spans="1:40" ht="14.25" customHeight="1" x14ac:dyDescent="0.35">
      <c r="A92" s="26" t="s">
        <v>925</v>
      </c>
      <c r="B92" s="100" t="s">
        <v>924</v>
      </c>
      <c r="C92" s="110" t="s">
        <v>331</v>
      </c>
      <c r="D92" s="116" t="s">
        <v>332</v>
      </c>
      <c r="E92" s="86" t="s">
        <v>333</v>
      </c>
      <c r="F92" s="86" t="s">
        <v>97</v>
      </c>
      <c r="G92" s="86" t="s">
        <v>901</v>
      </c>
      <c r="H92" s="86"/>
      <c r="I92" s="86" t="s">
        <v>4</v>
      </c>
      <c r="J92" s="86" t="s">
        <v>98</v>
      </c>
      <c r="K92" s="86">
        <v>10</v>
      </c>
      <c r="L92" s="86">
        <v>6</v>
      </c>
      <c r="M92" s="87">
        <v>1962</v>
      </c>
      <c r="N92" s="88">
        <f t="shared" si="2"/>
        <v>22807</v>
      </c>
      <c r="O92" s="25" t="e">
        <f>IF(L92&gt;#REF!,#REF!-M92-1,#REF!-M92)</f>
        <v>#REF!</v>
      </c>
      <c r="P92" s="25" t="e">
        <f t="shared" si="0"/>
        <v>#REF!</v>
      </c>
      <c r="Q92" s="87" t="s">
        <v>40</v>
      </c>
      <c r="R92" s="121" t="s">
        <v>31</v>
      </c>
      <c r="S92" s="87" t="s">
        <v>62</v>
      </c>
      <c r="T92" s="87" t="s">
        <v>67</v>
      </c>
      <c r="U92" s="87" t="s">
        <v>906</v>
      </c>
      <c r="V92" s="87" t="s">
        <v>907</v>
      </c>
      <c r="W92" s="87" t="s">
        <v>909</v>
      </c>
      <c r="X92" s="87" t="s">
        <v>916</v>
      </c>
      <c r="Y92" s="87"/>
      <c r="Z92" s="87"/>
      <c r="AA92" s="87"/>
      <c r="AB92" s="87"/>
      <c r="AC92" s="87"/>
      <c r="AD92" s="87"/>
      <c r="AE92" s="87" t="s">
        <v>178</v>
      </c>
      <c r="AF92" s="87" t="s">
        <v>178</v>
      </c>
      <c r="AG92" s="87"/>
      <c r="AH92" s="87"/>
      <c r="AI92" s="87"/>
      <c r="AJ92" s="27" t="s">
        <v>102</v>
      </c>
      <c r="AK92" s="18"/>
      <c r="AL92" s="18"/>
      <c r="AM92" s="18"/>
      <c r="AN92" s="18"/>
    </row>
    <row r="93" spans="1:40" ht="14.25" customHeight="1" x14ac:dyDescent="0.35">
      <c r="A93" s="26" t="s">
        <v>925</v>
      </c>
      <c r="B93" s="100" t="s">
        <v>924</v>
      </c>
      <c r="C93" s="110" t="s">
        <v>331</v>
      </c>
      <c r="D93" s="116" t="s">
        <v>334</v>
      </c>
      <c r="E93" s="86" t="s">
        <v>335</v>
      </c>
      <c r="F93" s="86" t="s">
        <v>105</v>
      </c>
      <c r="G93" s="86" t="s">
        <v>901</v>
      </c>
      <c r="H93" s="86"/>
      <c r="I93" s="86" t="s">
        <v>5</v>
      </c>
      <c r="J93" s="86" t="s">
        <v>98</v>
      </c>
      <c r="K93" s="86">
        <v>28</v>
      </c>
      <c r="L93" s="86">
        <v>8</v>
      </c>
      <c r="M93" s="87">
        <v>1970</v>
      </c>
      <c r="N93" s="88">
        <f t="shared" si="2"/>
        <v>25808</v>
      </c>
      <c r="O93" s="25" t="e">
        <f>IF(L93&gt;#REF!,#REF!-M93-1,#REF!-M93)</f>
        <v>#REF!</v>
      </c>
      <c r="P93" s="25" t="e">
        <f t="shared" si="0"/>
        <v>#REF!</v>
      </c>
      <c r="Q93" s="87" t="s">
        <v>40</v>
      </c>
      <c r="R93" s="121" t="s">
        <v>33</v>
      </c>
      <c r="S93" s="87" t="s">
        <v>54</v>
      </c>
      <c r="T93" s="87" t="s">
        <v>67</v>
      </c>
      <c r="U93" s="87" t="s">
        <v>906</v>
      </c>
      <c r="V93" s="87" t="s">
        <v>907</v>
      </c>
      <c r="W93" s="87" t="s">
        <v>909</v>
      </c>
      <c r="X93" s="87" t="s">
        <v>916</v>
      </c>
      <c r="Y93" s="87"/>
      <c r="Z93" s="87"/>
      <c r="AA93" s="87"/>
      <c r="AB93" s="87"/>
      <c r="AC93" s="87"/>
      <c r="AD93" s="87"/>
      <c r="AE93" s="87" t="s">
        <v>178</v>
      </c>
      <c r="AF93" s="87" t="s">
        <v>178</v>
      </c>
      <c r="AG93" s="87"/>
      <c r="AH93" s="87"/>
      <c r="AI93" s="87"/>
      <c r="AJ93" s="27" t="s">
        <v>102</v>
      </c>
      <c r="AK93" s="18"/>
      <c r="AL93" s="18"/>
      <c r="AM93" s="18"/>
      <c r="AN93" s="18"/>
    </row>
    <row r="94" spans="1:40" ht="14.25" customHeight="1" x14ac:dyDescent="0.35">
      <c r="A94" s="26" t="s">
        <v>925</v>
      </c>
      <c r="B94" s="100" t="s">
        <v>924</v>
      </c>
      <c r="C94" s="110" t="s">
        <v>331</v>
      </c>
      <c r="D94" s="116" t="s">
        <v>336</v>
      </c>
      <c r="E94" s="86" t="s">
        <v>337</v>
      </c>
      <c r="F94" s="86" t="s">
        <v>108</v>
      </c>
      <c r="G94" s="86" t="s">
        <v>901</v>
      </c>
      <c r="H94" s="86"/>
      <c r="I94" s="86" t="s">
        <v>4</v>
      </c>
      <c r="J94" s="86" t="s">
        <v>98</v>
      </c>
      <c r="K94" s="86">
        <v>27</v>
      </c>
      <c r="L94" s="86">
        <v>11</v>
      </c>
      <c r="M94" s="87">
        <v>1995</v>
      </c>
      <c r="N94" s="88">
        <f t="shared" si="2"/>
        <v>35030</v>
      </c>
      <c r="O94" s="25" t="e">
        <f>IF(L94&gt;#REF!,#REF!-M94-1,#REF!-M94)</f>
        <v>#REF!</v>
      </c>
      <c r="P94" s="25" t="e">
        <f t="shared" si="0"/>
        <v>#REF!</v>
      </c>
      <c r="Q94" s="87" t="s">
        <v>40</v>
      </c>
      <c r="R94" s="121" t="s">
        <v>33</v>
      </c>
      <c r="S94" s="87" t="s">
        <v>57</v>
      </c>
      <c r="T94" s="87" t="s">
        <v>65</v>
      </c>
      <c r="U94" s="87" t="s">
        <v>906</v>
      </c>
      <c r="V94" s="87" t="s">
        <v>907</v>
      </c>
      <c r="W94" s="87" t="s">
        <v>909</v>
      </c>
      <c r="X94" s="87" t="s">
        <v>916</v>
      </c>
      <c r="Y94" s="87"/>
      <c r="Z94" s="87"/>
      <c r="AA94" s="87"/>
      <c r="AB94" s="87"/>
      <c r="AC94" s="87"/>
      <c r="AD94" s="87"/>
      <c r="AE94" s="87" t="s">
        <v>178</v>
      </c>
      <c r="AF94" s="87" t="s">
        <v>178</v>
      </c>
      <c r="AG94" s="87"/>
      <c r="AH94" s="87"/>
      <c r="AI94" s="87"/>
      <c r="AJ94" s="27" t="s">
        <v>102</v>
      </c>
      <c r="AK94" s="18"/>
      <c r="AL94" s="18"/>
      <c r="AM94" s="18"/>
      <c r="AN94" s="18"/>
    </row>
    <row r="95" spans="1:40" ht="14.25" customHeight="1" x14ac:dyDescent="0.35">
      <c r="A95" s="26" t="s">
        <v>925</v>
      </c>
      <c r="B95" s="100" t="s">
        <v>924</v>
      </c>
      <c r="C95" s="110" t="s">
        <v>338</v>
      </c>
      <c r="D95" s="116" t="s">
        <v>339</v>
      </c>
      <c r="E95" s="86" t="s">
        <v>340</v>
      </c>
      <c r="F95" s="86" t="s">
        <v>97</v>
      </c>
      <c r="G95" s="86" t="s">
        <v>901</v>
      </c>
      <c r="H95" s="86"/>
      <c r="I95" s="86" t="s">
        <v>4</v>
      </c>
      <c r="J95" s="86" t="s">
        <v>98</v>
      </c>
      <c r="K95" s="86">
        <v>14</v>
      </c>
      <c r="L95" s="86">
        <v>9</v>
      </c>
      <c r="M95" s="87">
        <v>1996</v>
      </c>
      <c r="N95" s="88">
        <f t="shared" si="2"/>
        <v>35322</v>
      </c>
      <c r="O95" s="25" t="e">
        <f>IF(L95&gt;#REF!,#REF!-M95-1,#REF!-M95)</f>
        <v>#REF!</v>
      </c>
      <c r="P95" s="25" t="e">
        <f t="shared" si="0"/>
        <v>#REF!</v>
      </c>
      <c r="Q95" s="87" t="s">
        <v>40</v>
      </c>
      <c r="R95" s="121" t="s">
        <v>31</v>
      </c>
      <c r="S95" s="87" t="s">
        <v>48</v>
      </c>
      <c r="T95" s="87" t="s">
        <v>65</v>
      </c>
      <c r="U95" s="87" t="s">
        <v>906</v>
      </c>
      <c r="V95" s="87" t="s">
        <v>907</v>
      </c>
      <c r="W95" s="87" t="s">
        <v>909</v>
      </c>
      <c r="X95" s="87" t="s">
        <v>916</v>
      </c>
      <c r="Y95" s="87"/>
      <c r="Z95" s="87"/>
      <c r="AA95" s="87"/>
      <c r="AB95" s="87"/>
      <c r="AC95" s="87"/>
      <c r="AD95" s="87"/>
      <c r="AE95" s="87" t="s">
        <v>243</v>
      </c>
      <c r="AF95" s="87" t="s">
        <v>243</v>
      </c>
      <c r="AG95" s="87"/>
      <c r="AH95" s="87"/>
      <c r="AI95" s="87"/>
      <c r="AJ95" s="27" t="s">
        <v>102</v>
      </c>
      <c r="AK95" s="18"/>
      <c r="AL95" s="18"/>
      <c r="AM95" s="18"/>
      <c r="AN95" s="18"/>
    </row>
    <row r="96" spans="1:40" ht="14.25" customHeight="1" x14ac:dyDescent="0.35">
      <c r="A96" s="26" t="s">
        <v>925</v>
      </c>
      <c r="B96" s="100" t="s">
        <v>924</v>
      </c>
      <c r="C96" s="110" t="s">
        <v>338</v>
      </c>
      <c r="D96" s="116" t="s">
        <v>341</v>
      </c>
      <c r="E96" s="86" t="s">
        <v>342</v>
      </c>
      <c r="F96" s="86" t="s">
        <v>105</v>
      </c>
      <c r="G96" s="86" t="s">
        <v>901</v>
      </c>
      <c r="H96" s="86"/>
      <c r="I96" s="86" t="s">
        <v>5</v>
      </c>
      <c r="J96" s="86" t="s">
        <v>98</v>
      </c>
      <c r="K96" s="86">
        <v>11</v>
      </c>
      <c r="L96" s="86">
        <v>1</v>
      </c>
      <c r="M96" s="87">
        <v>2000</v>
      </c>
      <c r="N96" s="88">
        <f t="shared" si="2"/>
        <v>36536</v>
      </c>
      <c r="O96" s="25" t="e">
        <f>IF(L96&gt;#REF!,#REF!-M96-1,#REF!-M96)</f>
        <v>#REF!</v>
      </c>
      <c r="P96" s="25" t="e">
        <f t="shared" si="0"/>
        <v>#REF!</v>
      </c>
      <c r="Q96" s="87" t="s">
        <v>40</v>
      </c>
      <c r="R96" s="121" t="s">
        <v>31</v>
      </c>
      <c r="S96" s="87" t="s">
        <v>48</v>
      </c>
      <c r="T96" s="87" t="s">
        <v>65</v>
      </c>
      <c r="U96" s="87" t="s">
        <v>906</v>
      </c>
      <c r="V96" s="87" t="s">
        <v>907</v>
      </c>
      <c r="W96" s="87" t="s">
        <v>909</v>
      </c>
      <c r="X96" s="87" t="s">
        <v>916</v>
      </c>
      <c r="Y96" s="87"/>
      <c r="Z96" s="87"/>
      <c r="AA96" s="87"/>
      <c r="AB96" s="87"/>
      <c r="AC96" s="87"/>
      <c r="AD96" s="87"/>
      <c r="AE96" s="87" t="s">
        <v>243</v>
      </c>
      <c r="AF96" s="87" t="s">
        <v>243</v>
      </c>
      <c r="AG96" s="87"/>
      <c r="AH96" s="87"/>
      <c r="AI96" s="87"/>
      <c r="AJ96" s="27" t="s">
        <v>102</v>
      </c>
      <c r="AK96" s="18"/>
      <c r="AL96" s="18"/>
      <c r="AM96" s="18"/>
      <c r="AN96" s="18"/>
    </row>
    <row r="97" spans="1:40" ht="14.25" customHeight="1" x14ac:dyDescent="0.35">
      <c r="A97" s="26" t="s">
        <v>925</v>
      </c>
      <c r="B97" s="100" t="s">
        <v>924</v>
      </c>
      <c r="C97" s="110" t="s">
        <v>338</v>
      </c>
      <c r="D97" s="116" t="s">
        <v>343</v>
      </c>
      <c r="E97" s="86" t="s">
        <v>344</v>
      </c>
      <c r="F97" s="86" t="s">
        <v>108</v>
      </c>
      <c r="G97" s="86" t="s">
        <v>901</v>
      </c>
      <c r="H97" s="86"/>
      <c r="I97" s="86" t="s">
        <v>5</v>
      </c>
      <c r="J97" s="86" t="s">
        <v>98</v>
      </c>
      <c r="K97" s="86">
        <v>11</v>
      </c>
      <c r="L97" s="86">
        <v>5</v>
      </c>
      <c r="M97" s="87">
        <v>2002</v>
      </c>
      <c r="N97" s="88">
        <f t="shared" si="2"/>
        <v>37387</v>
      </c>
      <c r="O97" s="25" t="e">
        <f>IF(L97&gt;#REF!,#REF!-M97-1,#REF!-M97)</f>
        <v>#REF!</v>
      </c>
      <c r="P97" s="25" t="e">
        <f t="shared" si="0"/>
        <v>#REF!</v>
      </c>
      <c r="Q97" s="87" t="s">
        <v>40</v>
      </c>
      <c r="R97" s="121" t="s">
        <v>31</v>
      </c>
      <c r="S97" s="87" t="s">
        <v>57</v>
      </c>
      <c r="T97" s="87" t="s">
        <v>65</v>
      </c>
      <c r="U97" s="87" t="s">
        <v>906</v>
      </c>
      <c r="V97" s="87" t="s">
        <v>907</v>
      </c>
      <c r="W97" s="87" t="s">
        <v>909</v>
      </c>
      <c r="X97" s="87" t="s">
        <v>916</v>
      </c>
      <c r="Y97" s="87"/>
      <c r="Z97" s="87"/>
      <c r="AA97" s="87"/>
      <c r="AB97" s="87"/>
      <c r="AC97" s="87"/>
      <c r="AD97" s="87"/>
      <c r="AE97" s="87" t="s">
        <v>243</v>
      </c>
      <c r="AF97" s="87" t="s">
        <v>243</v>
      </c>
      <c r="AG97" s="87"/>
      <c r="AH97" s="87"/>
      <c r="AI97" s="87"/>
      <c r="AJ97" s="27" t="s">
        <v>102</v>
      </c>
      <c r="AK97" s="18"/>
      <c r="AL97" s="18"/>
      <c r="AM97" s="18"/>
      <c r="AN97" s="18"/>
    </row>
    <row r="98" spans="1:40" ht="14.25" customHeight="1" x14ac:dyDescent="0.35">
      <c r="A98" s="26" t="s">
        <v>925</v>
      </c>
      <c r="B98" s="100" t="s">
        <v>924</v>
      </c>
      <c r="C98" s="110" t="s">
        <v>345</v>
      </c>
      <c r="D98" s="116" t="s">
        <v>346</v>
      </c>
      <c r="E98" s="86" t="s">
        <v>347</v>
      </c>
      <c r="F98" s="86" t="s">
        <v>97</v>
      </c>
      <c r="G98" s="86" t="s">
        <v>901</v>
      </c>
      <c r="H98" s="86"/>
      <c r="I98" s="86" t="s">
        <v>5</v>
      </c>
      <c r="J98" s="86" t="s">
        <v>348</v>
      </c>
      <c r="K98" s="86">
        <v>27</v>
      </c>
      <c r="L98" s="86">
        <v>12</v>
      </c>
      <c r="M98" s="87">
        <v>1978</v>
      </c>
      <c r="N98" s="88">
        <f t="shared" si="2"/>
        <v>28851</v>
      </c>
      <c r="O98" s="25" t="e">
        <f>IF(L98&gt;#REF!,#REF!-M98-1,#REF!-M98)</f>
        <v>#REF!</v>
      </c>
      <c r="P98" s="25" t="e">
        <f t="shared" si="0"/>
        <v>#REF!</v>
      </c>
      <c r="Q98" s="87" t="s">
        <v>40</v>
      </c>
      <c r="R98" s="121" t="s">
        <v>33</v>
      </c>
      <c r="S98" s="87" t="s">
        <v>54</v>
      </c>
      <c r="T98" s="87" t="s">
        <v>68</v>
      </c>
      <c r="U98" s="87" t="s">
        <v>906</v>
      </c>
      <c r="V98" s="87" t="s">
        <v>907</v>
      </c>
      <c r="W98" s="87" t="s">
        <v>909</v>
      </c>
      <c r="X98" s="87" t="s">
        <v>916</v>
      </c>
      <c r="Y98" s="87"/>
      <c r="Z98" s="87"/>
      <c r="AA98" s="87"/>
      <c r="AB98" s="87"/>
      <c r="AC98" s="87"/>
      <c r="AD98" s="87"/>
      <c r="AE98" s="87" t="s">
        <v>100</v>
      </c>
      <c r="AF98" s="87" t="s">
        <v>100</v>
      </c>
      <c r="AG98" s="87"/>
      <c r="AH98" s="87"/>
      <c r="AI98" s="87"/>
      <c r="AJ98" s="27" t="s">
        <v>102</v>
      </c>
      <c r="AK98" s="18"/>
      <c r="AL98" s="18"/>
      <c r="AM98" s="18"/>
      <c r="AN98" s="18"/>
    </row>
    <row r="99" spans="1:40" ht="14.25" customHeight="1" x14ac:dyDescent="0.35">
      <c r="A99" s="26" t="s">
        <v>925</v>
      </c>
      <c r="B99" s="100" t="s">
        <v>924</v>
      </c>
      <c r="C99" s="110" t="s">
        <v>345</v>
      </c>
      <c r="D99" s="116" t="s">
        <v>349</v>
      </c>
      <c r="E99" s="86" t="s">
        <v>350</v>
      </c>
      <c r="F99" s="86" t="s">
        <v>105</v>
      </c>
      <c r="G99" s="86" t="s">
        <v>901</v>
      </c>
      <c r="H99" s="86"/>
      <c r="I99" s="86" t="s">
        <v>4</v>
      </c>
      <c r="J99" s="86" t="s">
        <v>98</v>
      </c>
      <c r="K99" s="86">
        <v>11</v>
      </c>
      <c r="L99" s="86">
        <v>11</v>
      </c>
      <c r="M99" s="87">
        <v>1998</v>
      </c>
      <c r="N99" s="88">
        <f t="shared" si="2"/>
        <v>36110</v>
      </c>
      <c r="O99" s="25" t="e">
        <f>IF(L99&gt;#REF!,#REF!-M99-1,#REF!-M99)</f>
        <v>#REF!</v>
      </c>
      <c r="P99" s="25" t="e">
        <f t="shared" si="0"/>
        <v>#REF!</v>
      </c>
      <c r="Q99" s="87" t="s">
        <v>40</v>
      </c>
      <c r="R99" s="121" t="s">
        <v>33</v>
      </c>
      <c r="S99" s="87" t="s">
        <v>48</v>
      </c>
      <c r="T99" s="87" t="s">
        <v>65</v>
      </c>
      <c r="U99" s="87" t="s">
        <v>906</v>
      </c>
      <c r="V99" s="87" t="s">
        <v>907</v>
      </c>
      <c r="W99" s="87" t="s">
        <v>909</v>
      </c>
      <c r="X99" s="87" t="s">
        <v>916</v>
      </c>
      <c r="Y99" s="87"/>
      <c r="Z99" s="87"/>
      <c r="AA99" s="87"/>
      <c r="AB99" s="87"/>
      <c r="AC99" s="87"/>
      <c r="AD99" s="87"/>
      <c r="AE99" s="87" t="s">
        <v>100</v>
      </c>
      <c r="AF99" s="87" t="s">
        <v>100</v>
      </c>
      <c r="AG99" s="87"/>
      <c r="AH99" s="87"/>
      <c r="AI99" s="87"/>
      <c r="AJ99" s="27" t="s">
        <v>102</v>
      </c>
      <c r="AK99" s="18"/>
      <c r="AL99" s="18"/>
      <c r="AM99" s="18"/>
      <c r="AN99" s="18"/>
    </row>
    <row r="100" spans="1:40" ht="14.25" customHeight="1" x14ac:dyDescent="0.35">
      <c r="A100" s="26" t="s">
        <v>925</v>
      </c>
      <c r="B100" s="100" t="s">
        <v>924</v>
      </c>
      <c r="C100" s="110" t="s">
        <v>345</v>
      </c>
      <c r="D100" s="116" t="s">
        <v>351</v>
      </c>
      <c r="E100" s="86" t="s">
        <v>352</v>
      </c>
      <c r="F100" s="86" t="s">
        <v>108</v>
      </c>
      <c r="G100" s="86" t="s">
        <v>901</v>
      </c>
      <c r="H100" s="86"/>
      <c r="I100" s="86" t="s">
        <v>4</v>
      </c>
      <c r="J100" s="86" t="s">
        <v>98</v>
      </c>
      <c r="K100" s="86">
        <v>8</v>
      </c>
      <c r="L100" s="86">
        <v>2</v>
      </c>
      <c r="M100" s="87">
        <v>2000</v>
      </c>
      <c r="N100" s="88">
        <f t="shared" si="2"/>
        <v>36564</v>
      </c>
      <c r="O100" s="25" t="e">
        <f>IF(L100&gt;#REF!,#REF!-M100-1,#REF!-M100)</f>
        <v>#REF!</v>
      </c>
      <c r="P100" s="25" t="e">
        <f t="shared" si="0"/>
        <v>#REF!</v>
      </c>
      <c r="Q100" s="87" t="s">
        <v>40</v>
      </c>
      <c r="R100" s="121" t="s">
        <v>33</v>
      </c>
      <c r="S100" s="87" t="s">
        <v>48</v>
      </c>
      <c r="T100" s="87" t="s">
        <v>65</v>
      </c>
      <c r="U100" s="87" t="s">
        <v>906</v>
      </c>
      <c r="V100" s="87" t="s">
        <v>907</v>
      </c>
      <c r="W100" s="87" t="s">
        <v>909</v>
      </c>
      <c r="X100" s="87" t="s">
        <v>916</v>
      </c>
      <c r="Y100" s="87"/>
      <c r="Z100" s="87"/>
      <c r="AA100" s="87"/>
      <c r="AB100" s="87"/>
      <c r="AC100" s="87"/>
      <c r="AD100" s="87"/>
      <c r="AE100" s="87" t="s">
        <v>100</v>
      </c>
      <c r="AF100" s="87" t="s">
        <v>100</v>
      </c>
      <c r="AG100" s="87"/>
      <c r="AH100" s="87"/>
      <c r="AI100" s="87"/>
      <c r="AJ100" s="27" t="s">
        <v>102</v>
      </c>
      <c r="AK100" s="18"/>
      <c r="AL100" s="18"/>
      <c r="AM100" s="18"/>
      <c r="AN100" s="18"/>
    </row>
    <row r="101" spans="1:40" ht="14.25" customHeight="1" x14ac:dyDescent="0.35">
      <c r="A101" s="26" t="s">
        <v>925</v>
      </c>
      <c r="B101" s="100" t="s">
        <v>924</v>
      </c>
      <c r="C101" s="110" t="s">
        <v>345</v>
      </c>
      <c r="D101" s="116" t="s">
        <v>353</v>
      </c>
      <c r="E101" s="86" t="s">
        <v>354</v>
      </c>
      <c r="F101" s="86" t="s">
        <v>108</v>
      </c>
      <c r="G101" s="86" t="s">
        <v>901</v>
      </c>
      <c r="H101" s="86"/>
      <c r="I101" s="86" t="s">
        <v>4</v>
      </c>
      <c r="J101" s="86" t="s">
        <v>98</v>
      </c>
      <c r="K101" s="86">
        <v>18</v>
      </c>
      <c r="L101" s="86">
        <v>4</v>
      </c>
      <c r="M101" s="87">
        <v>2010</v>
      </c>
      <c r="N101" s="88">
        <f t="shared" si="2"/>
        <v>40286</v>
      </c>
      <c r="O101" s="25" t="e">
        <f>IF(L101&gt;#REF!,#REF!-M101-1,#REF!-M101)</f>
        <v>#REF!</v>
      </c>
      <c r="P101" s="25" t="e">
        <f t="shared" si="0"/>
        <v>#REF!</v>
      </c>
      <c r="Q101" s="87" t="s">
        <v>40</v>
      </c>
      <c r="R101" s="121" t="s">
        <v>28</v>
      </c>
      <c r="S101" s="87" t="s">
        <v>48</v>
      </c>
      <c r="T101" s="87" t="s">
        <v>65</v>
      </c>
      <c r="U101" s="87" t="s">
        <v>906</v>
      </c>
      <c r="V101" s="87" t="s">
        <v>907</v>
      </c>
      <c r="W101" s="87" t="s">
        <v>909</v>
      </c>
      <c r="X101" s="87" t="s">
        <v>916</v>
      </c>
      <c r="Y101" s="87"/>
      <c r="Z101" s="87"/>
      <c r="AA101" s="87"/>
      <c r="AB101" s="87"/>
      <c r="AC101" s="87"/>
      <c r="AD101" s="87"/>
      <c r="AE101" s="87" t="s">
        <v>100</v>
      </c>
      <c r="AF101" s="87" t="s">
        <v>100</v>
      </c>
      <c r="AG101" s="87"/>
      <c r="AH101" s="87"/>
      <c r="AI101" s="87"/>
      <c r="AJ101" s="27" t="s">
        <v>102</v>
      </c>
      <c r="AK101" s="18"/>
      <c r="AL101" s="18"/>
      <c r="AM101" s="18"/>
      <c r="AN101" s="18"/>
    </row>
    <row r="102" spans="1:40" ht="14.25" customHeight="1" x14ac:dyDescent="0.35">
      <c r="A102" s="26" t="s">
        <v>925</v>
      </c>
      <c r="B102" s="100" t="s">
        <v>924</v>
      </c>
      <c r="C102" s="110" t="s">
        <v>345</v>
      </c>
      <c r="D102" s="116" t="s">
        <v>355</v>
      </c>
      <c r="E102" s="86" t="s">
        <v>356</v>
      </c>
      <c r="F102" s="86" t="s">
        <v>108</v>
      </c>
      <c r="G102" s="86" t="s">
        <v>901</v>
      </c>
      <c r="H102" s="86"/>
      <c r="I102" s="86" t="s">
        <v>4</v>
      </c>
      <c r="J102" s="86" t="s">
        <v>98</v>
      </c>
      <c r="K102" s="86">
        <v>20</v>
      </c>
      <c r="L102" s="86">
        <v>1</v>
      </c>
      <c r="M102" s="87">
        <v>1977</v>
      </c>
      <c r="N102" s="88">
        <f t="shared" si="2"/>
        <v>28145</v>
      </c>
      <c r="O102" s="25" t="e">
        <f>IF(L102&gt;#REF!,#REF!-M102-1,#REF!-M102)</f>
        <v>#REF!</v>
      </c>
      <c r="P102" s="25" t="e">
        <f t="shared" si="0"/>
        <v>#REF!</v>
      </c>
      <c r="Q102" s="87" t="s">
        <v>40</v>
      </c>
      <c r="R102" s="121" t="s">
        <v>33</v>
      </c>
      <c r="S102" s="87" t="s">
        <v>49</v>
      </c>
      <c r="T102" s="87" t="s">
        <v>68</v>
      </c>
      <c r="U102" s="87" t="s">
        <v>906</v>
      </c>
      <c r="V102" s="87" t="s">
        <v>907</v>
      </c>
      <c r="W102" s="87" t="s">
        <v>909</v>
      </c>
      <c r="X102" s="87" t="s">
        <v>916</v>
      </c>
      <c r="Y102" s="87"/>
      <c r="Z102" s="87"/>
      <c r="AA102" s="87"/>
      <c r="AB102" s="87"/>
      <c r="AC102" s="87"/>
      <c r="AD102" s="87"/>
      <c r="AE102" s="87" t="s">
        <v>100</v>
      </c>
      <c r="AF102" s="87" t="s">
        <v>100</v>
      </c>
      <c r="AG102" s="87"/>
      <c r="AH102" s="87"/>
      <c r="AI102" s="87"/>
      <c r="AJ102" s="27" t="s">
        <v>102</v>
      </c>
      <c r="AK102" s="18"/>
      <c r="AL102" s="18"/>
      <c r="AM102" s="18"/>
      <c r="AN102" s="18"/>
    </row>
    <row r="103" spans="1:40" ht="14.25" customHeight="1" x14ac:dyDescent="0.35">
      <c r="A103" s="26" t="s">
        <v>925</v>
      </c>
      <c r="B103" s="100" t="s">
        <v>924</v>
      </c>
      <c r="C103" s="110" t="s">
        <v>357</v>
      </c>
      <c r="D103" s="116" t="s">
        <v>358</v>
      </c>
      <c r="E103" s="86" t="s">
        <v>359</v>
      </c>
      <c r="F103" s="86" t="s">
        <v>108</v>
      </c>
      <c r="G103" s="86" t="s">
        <v>901</v>
      </c>
      <c r="H103" s="86"/>
      <c r="I103" s="86" t="s">
        <v>4</v>
      </c>
      <c r="J103" s="86" t="s">
        <v>98</v>
      </c>
      <c r="K103" s="86">
        <v>3</v>
      </c>
      <c r="L103" s="86">
        <v>6</v>
      </c>
      <c r="M103" s="87">
        <v>1982</v>
      </c>
      <c r="N103" s="88">
        <f t="shared" si="2"/>
        <v>30105</v>
      </c>
      <c r="O103" s="25" t="e">
        <f>IF(L103&gt;#REF!,#REF!-M103-1,#REF!-M103)</f>
        <v>#REF!</v>
      </c>
      <c r="P103" s="25" t="e">
        <f t="shared" si="0"/>
        <v>#REF!</v>
      </c>
      <c r="Q103" s="87" t="s">
        <v>40</v>
      </c>
      <c r="R103" s="121" t="s">
        <v>33</v>
      </c>
      <c r="S103" s="87" t="s">
        <v>55</v>
      </c>
      <c r="T103" s="87" t="s">
        <v>66</v>
      </c>
      <c r="U103" s="87" t="s">
        <v>906</v>
      </c>
      <c r="V103" s="87" t="s">
        <v>907</v>
      </c>
      <c r="W103" s="87" t="s">
        <v>909</v>
      </c>
      <c r="X103" s="87" t="s">
        <v>916</v>
      </c>
      <c r="Y103" s="87"/>
      <c r="Z103" s="87"/>
      <c r="AA103" s="87"/>
      <c r="AB103" s="87"/>
      <c r="AC103" s="87"/>
      <c r="AD103" s="87"/>
      <c r="AE103" s="87" t="s">
        <v>160</v>
      </c>
      <c r="AF103" s="87" t="s">
        <v>160</v>
      </c>
      <c r="AG103" s="87"/>
      <c r="AH103" s="87"/>
      <c r="AI103" s="87"/>
      <c r="AJ103" s="27" t="s">
        <v>102</v>
      </c>
      <c r="AK103" s="18"/>
      <c r="AL103" s="18"/>
      <c r="AM103" s="18"/>
      <c r="AN103" s="18"/>
    </row>
    <row r="104" spans="1:40" ht="14.25" customHeight="1" x14ac:dyDescent="0.35">
      <c r="A104" s="26" t="s">
        <v>925</v>
      </c>
      <c r="B104" s="100" t="s">
        <v>924</v>
      </c>
      <c r="C104" s="110" t="s">
        <v>357</v>
      </c>
      <c r="D104" s="116" t="s">
        <v>360</v>
      </c>
      <c r="E104" s="86" t="s">
        <v>361</v>
      </c>
      <c r="F104" s="86" t="s">
        <v>108</v>
      </c>
      <c r="G104" s="86" t="s">
        <v>901</v>
      </c>
      <c r="H104" s="86"/>
      <c r="I104" s="86" t="s">
        <v>5</v>
      </c>
      <c r="J104" s="86" t="s">
        <v>98</v>
      </c>
      <c r="K104" s="86">
        <v>2</v>
      </c>
      <c r="L104" s="86">
        <v>5</v>
      </c>
      <c r="M104" s="87">
        <v>1997</v>
      </c>
      <c r="N104" s="88">
        <f t="shared" si="2"/>
        <v>35552</v>
      </c>
      <c r="O104" s="25" t="e">
        <f>IF(L104&gt;#REF!,#REF!-M104-1,#REF!-M104)</f>
        <v>#REF!</v>
      </c>
      <c r="P104" s="25" t="e">
        <f t="shared" si="0"/>
        <v>#REF!</v>
      </c>
      <c r="Q104" s="87" t="s">
        <v>40</v>
      </c>
      <c r="R104" s="121" t="s">
        <v>33</v>
      </c>
      <c r="S104" s="87" t="s">
        <v>54</v>
      </c>
      <c r="T104" s="87" t="s">
        <v>66</v>
      </c>
      <c r="U104" s="87" t="s">
        <v>906</v>
      </c>
      <c r="V104" s="87" t="s">
        <v>907</v>
      </c>
      <c r="W104" s="87" t="s">
        <v>909</v>
      </c>
      <c r="X104" s="87" t="s">
        <v>916</v>
      </c>
      <c r="Y104" s="87"/>
      <c r="Z104" s="87"/>
      <c r="AA104" s="87"/>
      <c r="AB104" s="87"/>
      <c r="AC104" s="87"/>
      <c r="AD104" s="87"/>
      <c r="AE104" s="87" t="s">
        <v>163</v>
      </c>
      <c r="AF104" s="87" t="s">
        <v>163</v>
      </c>
      <c r="AG104" s="87"/>
      <c r="AH104" s="87"/>
      <c r="AI104" s="87"/>
      <c r="AJ104" s="27" t="s">
        <v>102</v>
      </c>
      <c r="AK104" s="18"/>
      <c r="AL104" s="18"/>
      <c r="AM104" s="18"/>
      <c r="AN104" s="18"/>
    </row>
    <row r="105" spans="1:40" ht="14.25" customHeight="1" x14ac:dyDescent="0.35">
      <c r="A105" s="26" t="s">
        <v>925</v>
      </c>
      <c r="B105" s="100" t="s">
        <v>924</v>
      </c>
      <c r="C105" s="110" t="s">
        <v>357</v>
      </c>
      <c r="D105" s="116" t="s">
        <v>362</v>
      </c>
      <c r="E105" s="86" t="s">
        <v>363</v>
      </c>
      <c r="F105" s="86" t="s">
        <v>108</v>
      </c>
      <c r="G105" s="86" t="s">
        <v>901</v>
      </c>
      <c r="H105" s="86"/>
      <c r="I105" s="86" t="s">
        <v>5</v>
      </c>
      <c r="J105" s="86" t="s">
        <v>98</v>
      </c>
      <c r="K105" s="86">
        <v>12</v>
      </c>
      <c r="L105" s="86">
        <v>9</v>
      </c>
      <c r="M105" s="87">
        <v>2018</v>
      </c>
      <c r="N105" s="88">
        <f t="shared" si="2"/>
        <v>43355</v>
      </c>
      <c r="O105" s="25" t="e">
        <f>IF(L105&gt;#REF!,#REF!-M105-1,#REF!-M105)</f>
        <v>#REF!</v>
      </c>
      <c r="P105" s="25" t="e">
        <f t="shared" si="0"/>
        <v>#REF!</v>
      </c>
      <c r="Q105" s="87" t="s">
        <v>40</v>
      </c>
      <c r="R105" s="121" t="s">
        <v>28</v>
      </c>
      <c r="S105" s="87" t="s">
        <v>48</v>
      </c>
      <c r="T105" s="87" t="s">
        <v>65</v>
      </c>
      <c r="U105" s="87" t="s">
        <v>906</v>
      </c>
      <c r="V105" s="87" t="s">
        <v>907</v>
      </c>
      <c r="W105" s="87" t="s">
        <v>909</v>
      </c>
      <c r="X105" s="87" t="s">
        <v>916</v>
      </c>
      <c r="Y105" s="87"/>
      <c r="Z105" s="87"/>
      <c r="AA105" s="87"/>
      <c r="AB105" s="87"/>
      <c r="AC105" s="87"/>
      <c r="AD105" s="87"/>
      <c r="AE105" s="87" t="s">
        <v>166</v>
      </c>
      <c r="AF105" s="87" t="s">
        <v>166</v>
      </c>
      <c r="AG105" s="87"/>
      <c r="AH105" s="87"/>
      <c r="AI105" s="87"/>
      <c r="AJ105" s="27" t="s">
        <v>102</v>
      </c>
      <c r="AK105" s="18"/>
      <c r="AL105" s="18"/>
      <c r="AM105" s="18"/>
      <c r="AN105" s="18"/>
    </row>
    <row r="106" spans="1:40" ht="14.25" customHeight="1" x14ac:dyDescent="0.35">
      <c r="A106" s="26" t="s">
        <v>925</v>
      </c>
      <c r="B106" s="101" t="s">
        <v>933</v>
      </c>
      <c r="C106" s="111" t="s">
        <v>364</v>
      </c>
      <c r="D106" s="117" t="s">
        <v>365</v>
      </c>
      <c r="E106" s="90" t="s">
        <v>366</v>
      </c>
      <c r="F106" s="90" t="s">
        <v>97</v>
      </c>
      <c r="G106" s="86" t="s">
        <v>901</v>
      </c>
      <c r="H106" s="90"/>
      <c r="I106" s="90" t="s">
        <v>4</v>
      </c>
      <c r="J106" s="90" t="s">
        <v>192</v>
      </c>
      <c r="K106" s="86">
        <v>15</v>
      </c>
      <c r="L106" s="86">
        <v>1</v>
      </c>
      <c r="M106" s="87">
        <v>1946</v>
      </c>
      <c r="N106" s="88">
        <f t="shared" si="2"/>
        <v>16817</v>
      </c>
      <c r="O106" s="25" t="e">
        <f>IF(L106&gt;#REF!,#REF!-M106-1,#REF!-M106)</f>
        <v>#REF!</v>
      </c>
      <c r="P106" s="25" t="e">
        <f t="shared" si="0"/>
        <v>#REF!</v>
      </c>
      <c r="Q106" s="87" t="s">
        <v>40</v>
      </c>
      <c r="R106" s="121" t="s">
        <v>31</v>
      </c>
      <c r="S106" s="87" t="s">
        <v>55</v>
      </c>
      <c r="T106" s="87" t="s">
        <v>67</v>
      </c>
      <c r="U106" s="87" t="s">
        <v>906</v>
      </c>
      <c r="V106" s="87" t="s">
        <v>907</v>
      </c>
      <c r="W106" s="87" t="s">
        <v>909</v>
      </c>
      <c r="X106" s="87" t="s">
        <v>916</v>
      </c>
      <c r="Y106" s="87"/>
      <c r="Z106" s="87"/>
      <c r="AA106" s="87"/>
      <c r="AB106" s="87"/>
      <c r="AC106" s="87"/>
      <c r="AD106" s="87"/>
      <c r="AE106" s="87" t="s">
        <v>367</v>
      </c>
      <c r="AF106" s="87" t="s">
        <v>367</v>
      </c>
      <c r="AG106" s="87"/>
      <c r="AH106" s="87"/>
      <c r="AI106" s="87"/>
      <c r="AJ106" s="27" t="s">
        <v>368</v>
      </c>
      <c r="AK106" s="18"/>
      <c r="AL106" s="18"/>
      <c r="AM106" s="18"/>
      <c r="AN106" s="18"/>
    </row>
    <row r="107" spans="1:40" ht="14.25" customHeight="1" x14ac:dyDescent="0.35">
      <c r="A107" s="26" t="s">
        <v>925</v>
      </c>
      <c r="B107" s="101" t="s">
        <v>933</v>
      </c>
      <c r="C107" s="111" t="s">
        <v>364</v>
      </c>
      <c r="D107" s="117" t="s">
        <v>369</v>
      </c>
      <c r="E107" s="90" t="s">
        <v>370</v>
      </c>
      <c r="F107" s="90" t="s">
        <v>105</v>
      </c>
      <c r="G107" s="86" t="s">
        <v>901</v>
      </c>
      <c r="H107" s="90"/>
      <c r="I107" s="90" t="s">
        <v>5</v>
      </c>
      <c r="J107" s="90" t="s">
        <v>371</v>
      </c>
      <c r="K107" s="86">
        <v>17</v>
      </c>
      <c r="L107" s="86">
        <v>5</v>
      </c>
      <c r="M107" s="87">
        <v>1948</v>
      </c>
      <c r="N107" s="88">
        <f t="shared" si="2"/>
        <v>17670</v>
      </c>
      <c r="O107" s="25" t="e">
        <f>IF(L107&gt;#REF!,#REF!-M107-1,#REF!-M107)</f>
        <v>#REF!</v>
      </c>
      <c r="P107" s="25" t="e">
        <f t="shared" si="0"/>
        <v>#REF!</v>
      </c>
      <c r="Q107" s="87" t="s">
        <v>40</v>
      </c>
      <c r="R107" s="121" t="s">
        <v>31</v>
      </c>
      <c r="S107" s="87" t="s">
        <v>55</v>
      </c>
      <c r="T107" s="87" t="s">
        <v>67</v>
      </c>
      <c r="U107" s="87" t="s">
        <v>906</v>
      </c>
      <c r="V107" s="87" t="s">
        <v>907</v>
      </c>
      <c r="W107" s="87" t="s">
        <v>909</v>
      </c>
      <c r="X107" s="87" t="s">
        <v>916</v>
      </c>
      <c r="Y107" s="87"/>
      <c r="Z107" s="87"/>
      <c r="AA107" s="87"/>
      <c r="AB107" s="87"/>
      <c r="AC107" s="87"/>
      <c r="AD107" s="87"/>
      <c r="AE107" s="87" t="s">
        <v>367</v>
      </c>
      <c r="AF107" s="87" t="s">
        <v>367</v>
      </c>
      <c r="AG107" s="87"/>
      <c r="AH107" s="87"/>
      <c r="AI107" s="87"/>
      <c r="AJ107" s="27" t="s">
        <v>368</v>
      </c>
      <c r="AK107" s="18"/>
      <c r="AL107" s="18"/>
      <c r="AM107" s="18"/>
      <c r="AN107" s="18"/>
    </row>
    <row r="108" spans="1:40" ht="14.25" customHeight="1" x14ac:dyDescent="0.35">
      <c r="A108" s="26" t="s">
        <v>925</v>
      </c>
      <c r="B108" s="102" t="s">
        <v>933</v>
      </c>
      <c r="C108" s="110" t="s">
        <v>364</v>
      </c>
      <c r="D108" s="116" t="s">
        <v>372</v>
      </c>
      <c r="E108" s="86" t="s">
        <v>373</v>
      </c>
      <c r="F108" s="86" t="s">
        <v>108</v>
      </c>
      <c r="G108" s="86" t="s">
        <v>901</v>
      </c>
      <c r="H108" s="86"/>
      <c r="I108" s="86" t="s">
        <v>5</v>
      </c>
      <c r="J108" s="86" t="s">
        <v>98</v>
      </c>
      <c r="K108" s="86">
        <v>14</v>
      </c>
      <c r="L108" s="86">
        <v>6</v>
      </c>
      <c r="M108" s="87">
        <v>1979</v>
      </c>
      <c r="N108" s="88">
        <f t="shared" si="2"/>
        <v>29020</v>
      </c>
      <c r="O108" s="25" t="e">
        <f>IF(L108&gt;#REF!,#REF!-M108-1,#REF!-M108)</f>
        <v>#REF!</v>
      </c>
      <c r="P108" s="25" t="e">
        <f t="shared" si="0"/>
        <v>#REF!</v>
      </c>
      <c r="Q108" s="87" t="s">
        <v>40</v>
      </c>
      <c r="R108" s="121" t="s">
        <v>33</v>
      </c>
      <c r="S108" s="87" t="s">
        <v>55</v>
      </c>
      <c r="T108" s="87" t="s">
        <v>65</v>
      </c>
      <c r="U108" s="87" t="s">
        <v>906</v>
      </c>
      <c r="V108" s="87" t="s">
        <v>907</v>
      </c>
      <c r="W108" s="87" t="s">
        <v>909</v>
      </c>
      <c r="X108" s="87" t="s">
        <v>916</v>
      </c>
      <c r="Y108" s="87"/>
      <c r="Z108" s="87"/>
      <c r="AA108" s="87"/>
      <c r="AB108" s="87"/>
      <c r="AC108" s="87"/>
      <c r="AD108" s="87"/>
      <c r="AE108" s="87" t="s">
        <v>367</v>
      </c>
      <c r="AF108" s="87" t="s">
        <v>367</v>
      </c>
      <c r="AG108" s="87"/>
      <c r="AH108" s="87"/>
      <c r="AI108" s="87"/>
      <c r="AJ108" s="27" t="s">
        <v>102</v>
      </c>
      <c r="AK108" s="18"/>
      <c r="AL108" s="18"/>
      <c r="AM108" s="18"/>
      <c r="AN108" s="18"/>
    </row>
    <row r="109" spans="1:40" ht="14.25" customHeight="1" x14ac:dyDescent="0.35">
      <c r="A109" s="26" t="s">
        <v>925</v>
      </c>
      <c r="B109" s="100" t="s">
        <v>931</v>
      </c>
      <c r="C109" s="110" t="s">
        <v>374</v>
      </c>
      <c r="D109" s="116" t="s">
        <v>375</v>
      </c>
      <c r="E109" s="86" t="s">
        <v>376</v>
      </c>
      <c r="F109" s="86" t="s">
        <v>97</v>
      </c>
      <c r="G109" s="86" t="s">
        <v>901</v>
      </c>
      <c r="H109" s="86"/>
      <c r="I109" s="86" t="s">
        <v>4</v>
      </c>
      <c r="J109" s="86" t="s">
        <v>98</v>
      </c>
      <c r="K109" s="86">
        <v>23</v>
      </c>
      <c r="L109" s="86">
        <v>6</v>
      </c>
      <c r="M109" s="87">
        <v>1970</v>
      </c>
      <c r="N109" s="88">
        <f t="shared" si="2"/>
        <v>25742</v>
      </c>
      <c r="O109" s="25" t="e">
        <f>IF(L109&gt;#REF!,#REF!-M109-1,#REF!-M109)</f>
        <v>#REF!</v>
      </c>
      <c r="P109" s="25" t="e">
        <f t="shared" si="0"/>
        <v>#REF!</v>
      </c>
      <c r="Q109" s="87" t="s">
        <v>40</v>
      </c>
      <c r="R109" s="121" t="s">
        <v>35</v>
      </c>
      <c r="S109" s="87" t="s">
        <v>53</v>
      </c>
      <c r="T109" s="87" t="s">
        <v>67</v>
      </c>
      <c r="U109" s="87" t="s">
        <v>906</v>
      </c>
      <c r="V109" s="87" t="s">
        <v>907</v>
      </c>
      <c r="W109" s="87" t="s">
        <v>909</v>
      </c>
      <c r="X109" s="87" t="s">
        <v>916</v>
      </c>
      <c r="Y109" s="87"/>
      <c r="Z109" s="87"/>
      <c r="AA109" s="87"/>
      <c r="AB109" s="87"/>
      <c r="AC109" s="87"/>
      <c r="AD109" s="87"/>
      <c r="AE109" s="87" t="s">
        <v>243</v>
      </c>
      <c r="AF109" s="87" t="s">
        <v>243</v>
      </c>
      <c r="AG109" s="87"/>
      <c r="AH109" s="87"/>
      <c r="AI109" s="87"/>
      <c r="AJ109" s="27" t="s">
        <v>102</v>
      </c>
      <c r="AK109" s="18"/>
      <c r="AL109" s="18"/>
      <c r="AM109" s="18"/>
      <c r="AN109" s="18"/>
    </row>
    <row r="110" spans="1:40" ht="14.25" customHeight="1" x14ac:dyDescent="0.35">
      <c r="A110" s="26" t="s">
        <v>925</v>
      </c>
      <c r="B110" s="100" t="s">
        <v>931</v>
      </c>
      <c r="C110" s="110" t="s">
        <v>374</v>
      </c>
      <c r="D110" s="116" t="s">
        <v>377</v>
      </c>
      <c r="E110" s="86" t="s">
        <v>378</v>
      </c>
      <c r="F110" s="86" t="s">
        <v>105</v>
      </c>
      <c r="G110" s="86" t="s">
        <v>901</v>
      </c>
      <c r="H110" s="86"/>
      <c r="I110" s="86" t="s">
        <v>5</v>
      </c>
      <c r="J110" s="86" t="s">
        <v>98</v>
      </c>
      <c r="K110" s="86">
        <v>24</v>
      </c>
      <c r="L110" s="86">
        <v>1</v>
      </c>
      <c r="M110" s="87">
        <v>1983</v>
      </c>
      <c r="N110" s="88">
        <f t="shared" si="2"/>
        <v>30340</v>
      </c>
      <c r="O110" s="25" t="e">
        <f>IF(L110&gt;#REF!,#REF!-M110-1,#REF!-M110)</f>
        <v>#REF!</v>
      </c>
      <c r="P110" s="25" t="e">
        <f t="shared" si="0"/>
        <v>#REF!</v>
      </c>
      <c r="Q110" s="87" t="s">
        <v>40</v>
      </c>
      <c r="R110" s="121" t="s">
        <v>35</v>
      </c>
      <c r="S110" s="87" t="s">
        <v>54</v>
      </c>
      <c r="T110" s="87" t="s">
        <v>67</v>
      </c>
      <c r="U110" s="87" t="s">
        <v>906</v>
      </c>
      <c r="V110" s="87" t="s">
        <v>907</v>
      </c>
      <c r="W110" s="87" t="s">
        <v>909</v>
      </c>
      <c r="X110" s="87" t="s">
        <v>916</v>
      </c>
      <c r="Y110" s="87"/>
      <c r="Z110" s="87"/>
      <c r="AA110" s="87"/>
      <c r="AB110" s="87"/>
      <c r="AC110" s="87"/>
      <c r="AD110" s="87"/>
      <c r="AE110" s="87" t="s">
        <v>243</v>
      </c>
      <c r="AF110" s="87" t="s">
        <v>243</v>
      </c>
      <c r="AG110" s="87"/>
      <c r="AH110" s="87"/>
      <c r="AI110" s="87"/>
      <c r="AJ110" s="27" t="s">
        <v>102</v>
      </c>
      <c r="AK110" s="18"/>
      <c r="AL110" s="18"/>
      <c r="AM110" s="18"/>
      <c r="AN110" s="18"/>
    </row>
    <row r="111" spans="1:40" ht="14.25" customHeight="1" x14ac:dyDescent="0.35">
      <c r="A111" s="26" t="s">
        <v>925</v>
      </c>
      <c r="B111" s="100" t="s">
        <v>931</v>
      </c>
      <c r="C111" s="110" t="s">
        <v>374</v>
      </c>
      <c r="D111" s="116" t="s">
        <v>379</v>
      </c>
      <c r="E111" s="86" t="s">
        <v>380</v>
      </c>
      <c r="F111" s="86" t="s">
        <v>108</v>
      </c>
      <c r="G111" s="86" t="s">
        <v>901</v>
      </c>
      <c r="H111" s="86"/>
      <c r="I111" s="86" t="s">
        <v>5</v>
      </c>
      <c r="J111" s="86" t="s">
        <v>98</v>
      </c>
      <c r="K111" s="86">
        <v>18</v>
      </c>
      <c r="L111" s="86">
        <v>12</v>
      </c>
      <c r="M111" s="87">
        <v>2005</v>
      </c>
      <c r="N111" s="88">
        <f t="shared" si="2"/>
        <v>38704</v>
      </c>
      <c r="O111" s="25" t="e">
        <f>IF(L111&gt;#REF!,#REF!-M111-1,#REF!-M111)</f>
        <v>#REF!</v>
      </c>
      <c r="P111" s="25" t="e">
        <f t="shared" si="0"/>
        <v>#REF!</v>
      </c>
      <c r="Q111" s="87" t="s">
        <v>40</v>
      </c>
      <c r="R111" s="121" t="s">
        <v>30</v>
      </c>
      <c r="S111" s="87" t="s">
        <v>57</v>
      </c>
      <c r="T111" s="87" t="s">
        <v>65</v>
      </c>
      <c r="U111" s="87" t="s">
        <v>906</v>
      </c>
      <c r="V111" s="87" t="s">
        <v>907</v>
      </c>
      <c r="W111" s="87" t="s">
        <v>909</v>
      </c>
      <c r="X111" s="87" t="s">
        <v>916</v>
      </c>
      <c r="Y111" s="87"/>
      <c r="Z111" s="87"/>
      <c r="AA111" s="87"/>
      <c r="AB111" s="87"/>
      <c r="AC111" s="87"/>
      <c r="AD111" s="87"/>
      <c r="AE111" s="87" t="s">
        <v>243</v>
      </c>
      <c r="AF111" s="87" t="s">
        <v>243</v>
      </c>
      <c r="AG111" s="87"/>
      <c r="AH111" s="87"/>
      <c r="AI111" s="87"/>
      <c r="AJ111" s="27" t="s">
        <v>102</v>
      </c>
      <c r="AK111" s="18"/>
      <c r="AL111" s="18"/>
      <c r="AM111" s="18"/>
      <c r="AN111" s="18"/>
    </row>
    <row r="112" spans="1:40" ht="14.25" customHeight="1" x14ac:dyDescent="0.35">
      <c r="A112" s="26" t="s">
        <v>925</v>
      </c>
      <c r="B112" s="100" t="s">
        <v>931</v>
      </c>
      <c r="C112" s="110" t="s">
        <v>374</v>
      </c>
      <c r="D112" s="116" t="s">
        <v>381</v>
      </c>
      <c r="E112" s="86" t="s">
        <v>382</v>
      </c>
      <c r="F112" s="86" t="s">
        <v>108</v>
      </c>
      <c r="G112" s="86" t="s">
        <v>901</v>
      </c>
      <c r="H112" s="86"/>
      <c r="I112" s="86" t="s">
        <v>5</v>
      </c>
      <c r="J112" s="86" t="s">
        <v>98</v>
      </c>
      <c r="K112" s="86">
        <v>7</v>
      </c>
      <c r="L112" s="86">
        <v>5</v>
      </c>
      <c r="M112" s="87">
        <v>2014</v>
      </c>
      <c r="N112" s="88">
        <f t="shared" si="2"/>
        <v>41766</v>
      </c>
      <c r="O112" s="25" t="e">
        <f>IF(L112&gt;#REF!,#REF!-M112-1,#REF!-M112)</f>
        <v>#REF!</v>
      </c>
      <c r="P112" s="25" t="e">
        <f t="shared" si="0"/>
        <v>#REF!</v>
      </c>
      <c r="Q112" s="87" t="s">
        <v>40</v>
      </c>
      <c r="R112" s="121" t="s">
        <v>28</v>
      </c>
      <c r="S112" s="87" t="s">
        <v>48</v>
      </c>
      <c r="T112" s="87" t="s">
        <v>65</v>
      </c>
      <c r="U112" s="87" t="s">
        <v>906</v>
      </c>
      <c r="V112" s="87" t="s">
        <v>907</v>
      </c>
      <c r="W112" s="87" t="s">
        <v>909</v>
      </c>
      <c r="X112" s="87" t="s">
        <v>916</v>
      </c>
      <c r="Y112" s="87"/>
      <c r="Z112" s="87"/>
      <c r="AA112" s="87"/>
      <c r="AB112" s="87"/>
      <c r="AC112" s="87"/>
      <c r="AD112" s="87"/>
      <c r="AE112" s="87" t="s">
        <v>243</v>
      </c>
      <c r="AF112" s="87" t="s">
        <v>243</v>
      </c>
      <c r="AG112" s="87"/>
      <c r="AH112" s="87"/>
      <c r="AI112" s="87"/>
      <c r="AJ112" s="27" t="s">
        <v>102</v>
      </c>
      <c r="AK112" s="18"/>
      <c r="AL112" s="18"/>
      <c r="AM112" s="18"/>
      <c r="AN112" s="18"/>
    </row>
    <row r="113" spans="1:40" ht="14.25" customHeight="1" x14ac:dyDescent="0.35">
      <c r="A113" s="26" t="s">
        <v>925</v>
      </c>
      <c r="B113" s="100" t="s">
        <v>931</v>
      </c>
      <c r="C113" s="110" t="s">
        <v>383</v>
      </c>
      <c r="D113" s="116" t="s">
        <v>384</v>
      </c>
      <c r="E113" s="86" t="s">
        <v>385</v>
      </c>
      <c r="F113" s="86" t="s">
        <v>97</v>
      </c>
      <c r="G113" s="86" t="s">
        <v>901</v>
      </c>
      <c r="H113" s="86"/>
      <c r="I113" s="86" t="s">
        <v>4</v>
      </c>
      <c r="J113" s="86" t="s">
        <v>386</v>
      </c>
      <c r="K113" s="86">
        <v>30</v>
      </c>
      <c r="L113" s="86">
        <v>12</v>
      </c>
      <c r="M113" s="87">
        <v>1975</v>
      </c>
      <c r="N113" s="88">
        <f t="shared" si="2"/>
        <v>27758</v>
      </c>
      <c r="O113" s="25" t="e">
        <f>IF(L113&gt;#REF!,#REF!-M113-1,#REF!-M113)</f>
        <v>#REF!</v>
      </c>
      <c r="P113" s="25" t="e">
        <f t="shared" si="0"/>
        <v>#REF!</v>
      </c>
      <c r="Q113" s="87" t="s">
        <v>40</v>
      </c>
      <c r="R113" s="121" t="s">
        <v>35</v>
      </c>
      <c r="S113" s="87" t="s">
        <v>62</v>
      </c>
      <c r="T113" s="87" t="s">
        <v>67</v>
      </c>
      <c r="U113" s="87" t="s">
        <v>906</v>
      </c>
      <c r="V113" s="87" t="s">
        <v>907</v>
      </c>
      <c r="W113" s="87" t="s">
        <v>909</v>
      </c>
      <c r="X113" s="87" t="s">
        <v>916</v>
      </c>
      <c r="Y113" s="87"/>
      <c r="Z113" s="87"/>
      <c r="AA113" s="87"/>
      <c r="AB113" s="87"/>
      <c r="AC113" s="87"/>
      <c r="AD113" s="87"/>
      <c r="AE113" s="87" t="s">
        <v>387</v>
      </c>
      <c r="AF113" s="87" t="s">
        <v>387</v>
      </c>
      <c r="AG113" s="87"/>
      <c r="AH113" s="87"/>
      <c r="AI113" s="87"/>
      <c r="AJ113" s="27" t="s">
        <v>102</v>
      </c>
      <c r="AK113" s="18"/>
      <c r="AL113" s="18"/>
      <c r="AM113" s="18"/>
      <c r="AN113" s="18"/>
    </row>
    <row r="114" spans="1:40" ht="14.25" customHeight="1" x14ac:dyDescent="0.35">
      <c r="A114" s="26" t="s">
        <v>925</v>
      </c>
      <c r="B114" s="100" t="s">
        <v>931</v>
      </c>
      <c r="C114" s="110" t="s">
        <v>383</v>
      </c>
      <c r="D114" s="116" t="s">
        <v>388</v>
      </c>
      <c r="E114" s="86" t="s">
        <v>389</v>
      </c>
      <c r="F114" s="86" t="s">
        <v>105</v>
      </c>
      <c r="G114" s="86" t="s">
        <v>901</v>
      </c>
      <c r="H114" s="86"/>
      <c r="I114" s="86" t="s">
        <v>5</v>
      </c>
      <c r="J114" s="86" t="s">
        <v>98</v>
      </c>
      <c r="K114" s="86">
        <v>13</v>
      </c>
      <c r="L114" s="86">
        <v>10</v>
      </c>
      <c r="M114" s="87">
        <v>1974</v>
      </c>
      <c r="N114" s="88">
        <f t="shared" si="2"/>
        <v>27315</v>
      </c>
      <c r="O114" s="25" t="e">
        <f>IF(L114&gt;#REF!,#REF!-M114-1,#REF!-M114)</f>
        <v>#REF!</v>
      </c>
      <c r="P114" s="25" t="e">
        <f t="shared" si="0"/>
        <v>#REF!</v>
      </c>
      <c r="Q114" s="87" t="s">
        <v>40</v>
      </c>
      <c r="R114" s="121" t="s">
        <v>35</v>
      </c>
      <c r="S114" s="87" t="s">
        <v>54</v>
      </c>
      <c r="T114" s="87" t="s">
        <v>67</v>
      </c>
      <c r="U114" s="87" t="s">
        <v>906</v>
      </c>
      <c r="V114" s="87" t="s">
        <v>907</v>
      </c>
      <c r="W114" s="87" t="s">
        <v>909</v>
      </c>
      <c r="X114" s="87" t="s">
        <v>916</v>
      </c>
      <c r="Y114" s="87"/>
      <c r="Z114" s="87"/>
      <c r="AA114" s="87"/>
      <c r="AB114" s="87"/>
      <c r="AC114" s="87"/>
      <c r="AD114" s="87"/>
      <c r="AE114" s="87" t="s">
        <v>387</v>
      </c>
      <c r="AF114" s="87" t="s">
        <v>387</v>
      </c>
      <c r="AG114" s="87"/>
      <c r="AH114" s="87"/>
      <c r="AI114" s="87"/>
      <c r="AJ114" s="27" t="s">
        <v>102</v>
      </c>
      <c r="AK114" s="18"/>
      <c r="AL114" s="18"/>
      <c r="AM114" s="18"/>
      <c r="AN114" s="18"/>
    </row>
    <row r="115" spans="1:40" ht="14.25" customHeight="1" x14ac:dyDescent="0.35">
      <c r="A115" s="26" t="s">
        <v>925</v>
      </c>
      <c r="B115" s="100" t="s">
        <v>931</v>
      </c>
      <c r="C115" s="110" t="s">
        <v>383</v>
      </c>
      <c r="D115" s="116" t="s">
        <v>390</v>
      </c>
      <c r="E115" s="86" t="s">
        <v>391</v>
      </c>
      <c r="F115" s="86" t="s">
        <v>108</v>
      </c>
      <c r="G115" s="86" t="s">
        <v>901</v>
      </c>
      <c r="H115" s="86"/>
      <c r="I115" s="86" t="s">
        <v>5</v>
      </c>
      <c r="J115" s="86" t="s">
        <v>98</v>
      </c>
      <c r="K115" s="86">
        <v>2</v>
      </c>
      <c r="L115" s="86">
        <v>7</v>
      </c>
      <c r="M115" s="87">
        <v>2001</v>
      </c>
      <c r="N115" s="88">
        <f t="shared" si="2"/>
        <v>37074</v>
      </c>
      <c r="O115" s="25" t="e">
        <f>IF(L115&gt;#REF!,#REF!-M115-1,#REF!-M115)</f>
        <v>#REF!</v>
      </c>
      <c r="P115" s="25" t="e">
        <f t="shared" si="0"/>
        <v>#REF!</v>
      </c>
      <c r="Q115" s="87" t="s">
        <v>40</v>
      </c>
      <c r="R115" s="121" t="s">
        <v>28</v>
      </c>
      <c r="S115" s="87" t="s">
        <v>48</v>
      </c>
      <c r="T115" s="87" t="s">
        <v>65</v>
      </c>
      <c r="U115" s="87" t="s">
        <v>906</v>
      </c>
      <c r="V115" s="87" t="s">
        <v>907</v>
      </c>
      <c r="W115" s="87" t="s">
        <v>909</v>
      </c>
      <c r="X115" s="87" t="s">
        <v>916</v>
      </c>
      <c r="Y115" s="87"/>
      <c r="Z115" s="87"/>
      <c r="AA115" s="87"/>
      <c r="AB115" s="87"/>
      <c r="AC115" s="87"/>
      <c r="AD115" s="87"/>
      <c r="AE115" s="87" t="s">
        <v>387</v>
      </c>
      <c r="AF115" s="87" t="s">
        <v>387</v>
      </c>
      <c r="AG115" s="87"/>
      <c r="AH115" s="87"/>
      <c r="AI115" s="87"/>
      <c r="AJ115" s="27" t="s">
        <v>102</v>
      </c>
      <c r="AK115" s="18"/>
      <c r="AL115" s="18"/>
      <c r="AM115" s="18"/>
      <c r="AN115" s="18"/>
    </row>
    <row r="116" spans="1:40" ht="14.25" customHeight="1" x14ac:dyDescent="0.35">
      <c r="A116" s="26" t="s">
        <v>925</v>
      </c>
      <c r="B116" s="100" t="s">
        <v>931</v>
      </c>
      <c r="C116" s="110" t="s">
        <v>383</v>
      </c>
      <c r="D116" s="116" t="s">
        <v>392</v>
      </c>
      <c r="E116" s="86" t="s">
        <v>393</v>
      </c>
      <c r="F116" s="86" t="s">
        <v>108</v>
      </c>
      <c r="G116" s="86" t="s">
        <v>901</v>
      </c>
      <c r="H116" s="86"/>
      <c r="I116" s="86" t="s">
        <v>5</v>
      </c>
      <c r="J116" s="86" t="s">
        <v>98</v>
      </c>
      <c r="K116" s="86">
        <v>23</v>
      </c>
      <c r="L116" s="86">
        <v>10</v>
      </c>
      <c r="M116" s="87">
        <v>2008</v>
      </c>
      <c r="N116" s="88">
        <f t="shared" si="2"/>
        <v>39744</v>
      </c>
      <c r="O116" s="25" t="e">
        <f>IF(L116&gt;#REF!,#REF!-M116-1,#REF!-M116)</f>
        <v>#REF!</v>
      </c>
      <c r="P116" s="25" t="e">
        <f t="shared" si="0"/>
        <v>#REF!</v>
      </c>
      <c r="Q116" s="87" t="s">
        <v>40</v>
      </c>
      <c r="R116" s="121" t="s">
        <v>28</v>
      </c>
      <c r="S116" s="87" t="s">
        <v>48</v>
      </c>
      <c r="T116" s="87" t="s">
        <v>65</v>
      </c>
      <c r="U116" s="87" t="s">
        <v>906</v>
      </c>
      <c r="V116" s="87" t="s">
        <v>907</v>
      </c>
      <c r="W116" s="87" t="s">
        <v>909</v>
      </c>
      <c r="X116" s="87" t="s">
        <v>916</v>
      </c>
      <c r="Y116" s="87"/>
      <c r="Z116" s="87"/>
      <c r="AA116" s="87"/>
      <c r="AB116" s="87"/>
      <c r="AC116" s="87"/>
      <c r="AD116" s="87"/>
      <c r="AE116" s="87" t="s">
        <v>387</v>
      </c>
      <c r="AF116" s="87" t="s">
        <v>387</v>
      </c>
      <c r="AG116" s="87"/>
      <c r="AH116" s="87"/>
      <c r="AI116" s="87"/>
      <c r="AJ116" s="27" t="s">
        <v>102</v>
      </c>
      <c r="AK116" s="18"/>
      <c r="AL116" s="18"/>
      <c r="AM116" s="18"/>
      <c r="AN116" s="18"/>
    </row>
    <row r="117" spans="1:40" ht="14.25" customHeight="1" x14ac:dyDescent="0.35">
      <c r="A117" s="26" t="s">
        <v>925</v>
      </c>
      <c r="B117" s="100" t="s">
        <v>931</v>
      </c>
      <c r="C117" s="110" t="s">
        <v>394</v>
      </c>
      <c r="D117" s="116" t="s">
        <v>395</v>
      </c>
      <c r="E117" s="86" t="s">
        <v>396</v>
      </c>
      <c r="F117" s="86" t="s">
        <v>97</v>
      </c>
      <c r="G117" s="86" t="s">
        <v>901</v>
      </c>
      <c r="H117" s="86"/>
      <c r="I117" s="86" t="s">
        <v>5</v>
      </c>
      <c r="J117" s="86" t="s">
        <v>98</v>
      </c>
      <c r="K117" s="86">
        <v>9</v>
      </c>
      <c r="L117" s="86">
        <v>12</v>
      </c>
      <c r="M117" s="87">
        <v>1957</v>
      </c>
      <c r="N117" s="88">
        <f t="shared" si="2"/>
        <v>21163</v>
      </c>
      <c r="O117" s="25" t="e">
        <f>IF(L117&gt;#REF!,#REF!-M117-1,#REF!-M117)</f>
        <v>#REF!</v>
      </c>
      <c r="P117" s="25" t="e">
        <f t="shared" si="0"/>
        <v>#REF!</v>
      </c>
      <c r="Q117" s="87" t="s">
        <v>40</v>
      </c>
      <c r="R117" s="121" t="s">
        <v>30</v>
      </c>
      <c r="S117" s="87" t="s">
        <v>62</v>
      </c>
      <c r="T117" s="87" t="s">
        <v>70</v>
      </c>
      <c r="U117" s="87" t="s">
        <v>906</v>
      </c>
      <c r="V117" s="87" t="s">
        <v>907</v>
      </c>
      <c r="W117" s="87" t="s">
        <v>909</v>
      </c>
      <c r="X117" s="87" t="s">
        <v>916</v>
      </c>
      <c r="Y117" s="87"/>
      <c r="Z117" s="87"/>
      <c r="AA117" s="87"/>
      <c r="AB117" s="87"/>
      <c r="AC117" s="87"/>
      <c r="AD117" s="87"/>
      <c r="AE117" s="87" t="s">
        <v>387</v>
      </c>
      <c r="AF117" s="87" t="s">
        <v>387</v>
      </c>
      <c r="AG117" s="87"/>
      <c r="AH117" s="87"/>
      <c r="AI117" s="87"/>
      <c r="AJ117" s="27" t="s">
        <v>102</v>
      </c>
      <c r="AK117" s="18"/>
      <c r="AL117" s="18"/>
      <c r="AM117" s="18"/>
      <c r="AN117" s="18"/>
    </row>
    <row r="118" spans="1:40" ht="14.25" customHeight="1" x14ac:dyDescent="0.35">
      <c r="A118" s="26" t="s">
        <v>925</v>
      </c>
      <c r="B118" s="100" t="s">
        <v>931</v>
      </c>
      <c r="C118" s="110" t="s">
        <v>397</v>
      </c>
      <c r="D118" s="116" t="s">
        <v>398</v>
      </c>
      <c r="E118" s="86" t="s">
        <v>399</v>
      </c>
      <c r="F118" s="86" t="s">
        <v>97</v>
      </c>
      <c r="G118" s="86" t="s">
        <v>901</v>
      </c>
      <c r="H118" s="86"/>
      <c r="I118" s="86" t="s">
        <v>4</v>
      </c>
      <c r="J118" s="86" t="s">
        <v>129</v>
      </c>
      <c r="K118" s="86">
        <v>11</v>
      </c>
      <c r="L118" s="86">
        <v>10</v>
      </c>
      <c r="M118" s="87">
        <v>1997</v>
      </c>
      <c r="N118" s="88">
        <f t="shared" si="2"/>
        <v>35714</v>
      </c>
      <c r="O118" s="25" t="e">
        <f>IF(L118&gt;#REF!,#REF!-M118-1,#REF!-M118)</f>
        <v>#REF!</v>
      </c>
      <c r="P118" s="25" t="e">
        <f t="shared" si="0"/>
        <v>#REF!</v>
      </c>
      <c r="Q118" s="87" t="s">
        <v>40</v>
      </c>
      <c r="R118" s="121" t="s">
        <v>28</v>
      </c>
      <c r="S118" s="87" t="s">
        <v>62</v>
      </c>
      <c r="T118" s="87" t="s">
        <v>66</v>
      </c>
      <c r="U118" s="87" t="s">
        <v>906</v>
      </c>
      <c r="V118" s="87" t="s">
        <v>907</v>
      </c>
      <c r="W118" s="87" t="s">
        <v>909</v>
      </c>
      <c r="X118" s="87" t="s">
        <v>916</v>
      </c>
      <c r="Y118" s="87"/>
      <c r="Z118" s="87"/>
      <c r="AA118" s="87"/>
      <c r="AB118" s="87"/>
      <c r="AC118" s="87"/>
      <c r="AD118" s="87"/>
      <c r="AE118" s="87" t="s">
        <v>400</v>
      </c>
      <c r="AF118" s="87" t="s">
        <v>400</v>
      </c>
      <c r="AG118" s="87"/>
      <c r="AH118" s="87"/>
      <c r="AI118" s="87"/>
      <c r="AJ118" s="27" t="s">
        <v>102</v>
      </c>
      <c r="AK118" s="18"/>
      <c r="AL118" s="18"/>
      <c r="AM118" s="18"/>
      <c r="AN118" s="18"/>
    </row>
    <row r="119" spans="1:40" ht="14.25" customHeight="1" x14ac:dyDescent="0.35">
      <c r="A119" s="26" t="s">
        <v>925</v>
      </c>
      <c r="B119" s="100" t="s">
        <v>931</v>
      </c>
      <c r="C119" s="110" t="s">
        <v>397</v>
      </c>
      <c r="D119" s="116" t="s">
        <v>401</v>
      </c>
      <c r="E119" s="86" t="s">
        <v>402</v>
      </c>
      <c r="F119" s="86" t="s">
        <v>108</v>
      </c>
      <c r="G119" s="86" t="s">
        <v>901</v>
      </c>
      <c r="H119" s="86"/>
      <c r="I119" s="86" t="s">
        <v>5</v>
      </c>
      <c r="J119" s="86" t="s">
        <v>98</v>
      </c>
      <c r="K119" s="86">
        <v>4</v>
      </c>
      <c r="L119" s="86">
        <v>6</v>
      </c>
      <c r="M119" s="87">
        <v>2004</v>
      </c>
      <c r="N119" s="88">
        <f t="shared" si="2"/>
        <v>38142</v>
      </c>
      <c r="O119" s="25" t="e">
        <f>IF(L119&gt;#REF!,#REF!-M119-1,#REF!-M119)</f>
        <v>#REF!</v>
      </c>
      <c r="P119" s="25" t="e">
        <f t="shared" si="0"/>
        <v>#REF!</v>
      </c>
      <c r="Q119" s="87" t="s">
        <v>40</v>
      </c>
      <c r="R119" s="121" t="s">
        <v>33</v>
      </c>
      <c r="S119" s="87" t="s">
        <v>54</v>
      </c>
      <c r="T119" s="87" t="s">
        <v>66</v>
      </c>
      <c r="U119" s="87" t="s">
        <v>906</v>
      </c>
      <c r="V119" s="87" t="s">
        <v>907</v>
      </c>
      <c r="W119" s="87" t="s">
        <v>909</v>
      </c>
      <c r="X119" s="87" t="s">
        <v>916</v>
      </c>
      <c r="Y119" s="87"/>
      <c r="Z119" s="87"/>
      <c r="AA119" s="87"/>
      <c r="AB119" s="87"/>
      <c r="AC119" s="87"/>
      <c r="AD119" s="87"/>
      <c r="AE119" s="87" t="s">
        <v>400</v>
      </c>
      <c r="AF119" s="87" t="s">
        <v>400</v>
      </c>
      <c r="AG119" s="87"/>
      <c r="AH119" s="87"/>
      <c r="AI119" s="87"/>
      <c r="AJ119" s="27" t="s">
        <v>102</v>
      </c>
      <c r="AK119" s="18"/>
      <c r="AL119" s="18"/>
      <c r="AM119" s="18"/>
      <c r="AN119" s="18"/>
    </row>
    <row r="120" spans="1:40" ht="14.25" customHeight="1" x14ac:dyDescent="0.35">
      <c r="A120" s="26" t="s">
        <v>925</v>
      </c>
      <c r="B120" s="100" t="s">
        <v>931</v>
      </c>
      <c r="C120" s="110" t="s">
        <v>403</v>
      </c>
      <c r="D120" s="116" t="s">
        <v>404</v>
      </c>
      <c r="E120" s="86" t="s">
        <v>405</v>
      </c>
      <c r="F120" s="86" t="s">
        <v>97</v>
      </c>
      <c r="G120" s="86" t="s">
        <v>901</v>
      </c>
      <c r="H120" s="86"/>
      <c r="I120" s="86" t="s">
        <v>5</v>
      </c>
      <c r="J120" s="86" t="s">
        <v>98</v>
      </c>
      <c r="K120" s="86">
        <v>1</v>
      </c>
      <c r="L120" s="86">
        <v>7</v>
      </c>
      <c r="M120" s="87">
        <v>1951</v>
      </c>
      <c r="N120" s="88">
        <f t="shared" si="2"/>
        <v>18810</v>
      </c>
      <c r="O120" s="25" t="e">
        <f>IF(L120&gt;#REF!,#REF!-M120-1,#REF!-M120)</f>
        <v>#REF!</v>
      </c>
      <c r="P120" s="25" t="e">
        <f t="shared" si="0"/>
        <v>#REF!</v>
      </c>
      <c r="Q120" s="87" t="s">
        <v>40</v>
      </c>
      <c r="R120" s="121" t="s">
        <v>31</v>
      </c>
      <c r="S120" s="87" t="s">
        <v>54</v>
      </c>
      <c r="T120" s="87" t="s">
        <v>70</v>
      </c>
      <c r="U120" s="87" t="s">
        <v>906</v>
      </c>
      <c r="V120" s="87" t="s">
        <v>907</v>
      </c>
      <c r="W120" s="87" t="s">
        <v>909</v>
      </c>
      <c r="X120" s="87" t="s">
        <v>916</v>
      </c>
      <c r="Y120" s="87"/>
      <c r="Z120" s="87"/>
      <c r="AA120" s="87"/>
      <c r="AB120" s="87"/>
      <c r="AC120" s="87"/>
      <c r="AD120" s="87"/>
      <c r="AE120" s="87" t="s">
        <v>400</v>
      </c>
      <c r="AF120" s="87" t="s">
        <v>400</v>
      </c>
      <c r="AG120" s="87"/>
      <c r="AH120" s="87"/>
      <c r="AI120" s="87"/>
      <c r="AJ120" s="27" t="s">
        <v>102</v>
      </c>
      <c r="AK120" s="18"/>
      <c r="AL120" s="18"/>
      <c r="AM120" s="18"/>
      <c r="AN120" s="18"/>
    </row>
    <row r="121" spans="1:40" ht="14.25" customHeight="1" x14ac:dyDescent="0.35">
      <c r="A121" s="26" t="s">
        <v>925</v>
      </c>
      <c r="B121" s="100" t="s">
        <v>931</v>
      </c>
      <c r="C121" s="110" t="s">
        <v>403</v>
      </c>
      <c r="D121" s="116" t="s">
        <v>406</v>
      </c>
      <c r="E121" s="86" t="s">
        <v>376</v>
      </c>
      <c r="F121" s="86" t="s">
        <v>108</v>
      </c>
      <c r="G121" s="86" t="s">
        <v>901</v>
      </c>
      <c r="H121" s="86"/>
      <c r="I121" s="86" t="s">
        <v>4</v>
      </c>
      <c r="J121" s="86" t="s">
        <v>98</v>
      </c>
      <c r="K121" s="86">
        <v>20</v>
      </c>
      <c r="L121" s="86">
        <v>8</v>
      </c>
      <c r="M121" s="87">
        <v>1984</v>
      </c>
      <c r="N121" s="88">
        <f t="shared" si="2"/>
        <v>30914</v>
      </c>
      <c r="O121" s="25" t="e">
        <f>IF(L121&gt;#REF!,#REF!-M121-1,#REF!-M121)</f>
        <v>#REF!</v>
      </c>
      <c r="P121" s="25" t="e">
        <f t="shared" si="0"/>
        <v>#REF!</v>
      </c>
      <c r="Q121" s="87" t="s">
        <v>40</v>
      </c>
      <c r="R121" s="121" t="s">
        <v>33</v>
      </c>
      <c r="S121" s="87" t="s">
        <v>62</v>
      </c>
      <c r="T121" s="87" t="s">
        <v>65</v>
      </c>
      <c r="U121" s="87" t="s">
        <v>906</v>
      </c>
      <c r="V121" s="87" t="s">
        <v>907</v>
      </c>
      <c r="W121" s="87" t="s">
        <v>909</v>
      </c>
      <c r="X121" s="87" t="s">
        <v>916</v>
      </c>
      <c r="Y121" s="87"/>
      <c r="Z121" s="87"/>
      <c r="AA121" s="87"/>
      <c r="AB121" s="87"/>
      <c r="AC121" s="87"/>
      <c r="AD121" s="87"/>
      <c r="AE121" s="87" t="s">
        <v>400</v>
      </c>
      <c r="AF121" s="87" t="s">
        <v>400</v>
      </c>
      <c r="AG121" s="87"/>
      <c r="AH121" s="87"/>
      <c r="AI121" s="87"/>
      <c r="AJ121" s="27" t="s">
        <v>102</v>
      </c>
      <c r="AK121" s="18"/>
      <c r="AL121" s="18"/>
      <c r="AM121" s="18"/>
      <c r="AN121" s="18"/>
    </row>
    <row r="122" spans="1:40" ht="14.25" customHeight="1" x14ac:dyDescent="0.35">
      <c r="A122" s="26" t="s">
        <v>925</v>
      </c>
      <c r="B122" s="100" t="s">
        <v>931</v>
      </c>
      <c r="C122" s="110" t="s">
        <v>407</v>
      </c>
      <c r="D122" s="116" t="s">
        <v>408</v>
      </c>
      <c r="E122" s="86" t="s">
        <v>409</v>
      </c>
      <c r="F122" s="86" t="s">
        <v>97</v>
      </c>
      <c r="G122" s="86" t="s">
        <v>901</v>
      </c>
      <c r="H122" s="86"/>
      <c r="I122" s="86" t="s">
        <v>4</v>
      </c>
      <c r="J122" s="86" t="s">
        <v>410</v>
      </c>
      <c r="K122" s="86">
        <v>15</v>
      </c>
      <c r="L122" s="86">
        <v>3</v>
      </c>
      <c r="M122" s="87">
        <v>1982</v>
      </c>
      <c r="N122" s="88">
        <f t="shared" si="2"/>
        <v>30025</v>
      </c>
      <c r="O122" s="25" t="e">
        <f>IF(L122&gt;#REF!,#REF!-M122-1,#REF!-M122)</f>
        <v>#REF!</v>
      </c>
      <c r="P122" s="25" t="e">
        <f t="shared" si="0"/>
        <v>#REF!</v>
      </c>
      <c r="Q122" s="87" t="s">
        <v>40</v>
      </c>
      <c r="R122" s="121" t="s">
        <v>35</v>
      </c>
      <c r="S122" s="87" t="s">
        <v>53</v>
      </c>
      <c r="T122" s="87" t="s">
        <v>67</v>
      </c>
      <c r="U122" s="87" t="s">
        <v>906</v>
      </c>
      <c r="V122" s="87" t="s">
        <v>907</v>
      </c>
      <c r="W122" s="87" t="s">
        <v>909</v>
      </c>
      <c r="X122" s="87" t="s">
        <v>916</v>
      </c>
      <c r="Y122" s="87"/>
      <c r="Z122" s="87"/>
      <c r="AA122" s="87"/>
      <c r="AB122" s="87"/>
      <c r="AC122" s="87"/>
      <c r="AD122" s="87"/>
      <c r="AE122" s="87" t="s">
        <v>411</v>
      </c>
      <c r="AF122" s="87" t="s">
        <v>411</v>
      </c>
      <c r="AG122" s="87"/>
      <c r="AH122" s="87"/>
      <c r="AI122" s="87"/>
      <c r="AJ122" s="27" t="s">
        <v>102</v>
      </c>
      <c r="AK122" s="18"/>
      <c r="AL122" s="18"/>
      <c r="AM122" s="18"/>
      <c r="AN122" s="18"/>
    </row>
    <row r="123" spans="1:40" ht="14.25" customHeight="1" x14ac:dyDescent="0.35">
      <c r="A123" s="26" t="s">
        <v>925</v>
      </c>
      <c r="B123" s="100" t="s">
        <v>931</v>
      </c>
      <c r="C123" s="110" t="s">
        <v>407</v>
      </c>
      <c r="D123" s="116" t="s">
        <v>412</v>
      </c>
      <c r="E123" s="86" t="s">
        <v>413</v>
      </c>
      <c r="F123" s="86" t="s">
        <v>105</v>
      </c>
      <c r="G123" s="86" t="s">
        <v>901</v>
      </c>
      <c r="H123" s="86"/>
      <c r="I123" s="86" t="s">
        <v>5</v>
      </c>
      <c r="J123" s="86" t="s">
        <v>98</v>
      </c>
      <c r="K123" s="86">
        <v>23</v>
      </c>
      <c r="L123" s="86">
        <v>1</v>
      </c>
      <c r="M123" s="87">
        <v>1982</v>
      </c>
      <c r="N123" s="88">
        <f t="shared" si="2"/>
        <v>29974</v>
      </c>
      <c r="O123" s="25" t="e">
        <f>IF(L123&gt;#REF!,#REF!-M123-1,#REF!-M123)</f>
        <v>#REF!</v>
      </c>
      <c r="P123" s="25" t="e">
        <f t="shared" si="0"/>
        <v>#REF!</v>
      </c>
      <c r="Q123" s="87" t="s">
        <v>40</v>
      </c>
      <c r="R123" s="121" t="s">
        <v>35</v>
      </c>
      <c r="S123" s="87" t="s">
        <v>53</v>
      </c>
      <c r="T123" s="87" t="s">
        <v>67</v>
      </c>
      <c r="U123" s="87" t="s">
        <v>906</v>
      </c>
      <c r="V123" s="87" t="s">
        <v>907</v>
      </c>
      <c r="W123" s="87" t="s">
        <v>909</v>
      </c>
      <c r="X123" s="87" t="s">
        <v>916</v>
      </c>
      <c r="Y123" s="87"/>
      <c r="Z123" s="87"/>
      <c r="AA123" s="87"/>
      <c r="AB123" s="87"/>
      <c r="AC123" s="87"/>
      <c r="AD123" s="87"/>
      <c r="AE123" s="87" t="s">
        <v>411</v>
      </c>
      <c r="AF123" s="87" t="s">
        <v>411</v>
      </c>
      <c r="AG123" s="87"/>
      <c r="AH123" s="87"/>
      <c r="AI123" s="87"/>
      <c r="AJ123" s="27" t="s">
        <v>102</v>
      </c>
      <c r="AK123" s="18"/>
      <c r="AL123" s="18"/>
      <c r="AM123" s="18"/>
      <c r="AN123" s="18"/>
    </row>
    <row r="124" spans="1:40" ht="14.25" customHeight="1" x14ac:dyDescent="0.35">
      <c r="A124" s="26" t="s">
        <v>925</v>
      </c>
      <c r="B124" s="100" t="s">
        <v>931</v>
      </c>
      <c r="C124" s="110" t="s">
        <v>407</v>
      </c>
      <c r="D124" s="116" t="s">
        <v>414</v>
      </c>
      <c r="E124" s="86" t="s">
        <v>415</v>
      </c>
      <c r="F124" s="86" t="s">
        <v>108</v>
      </c>
      <c r="G124" s="86" t="s">
        <v>901</v>
      </c>
      <c r="H124" s="86"/>
      <c r="I124" s="86" t="s">
        <v>5</v>
      </c>
      <c r="J124" s="86" t="s">
        <v>98</v>
      </c>
      <c r="K124" s="86">
        <v>30</v>
      </c>
      <c r="L124" s="86">
        <v>8</v>
      </c>
      <c r="M124" s="87">
        <v>2010</v>
      </c>
      <c r="N124" s="88">
        <f t="shared" si="2"/>
        <v>40420</v>
      </c>
      <c r="O124" s="25" t="e">
        <f>IF(L124&gt;#REF!,#REF!-M124-1,#REF!-M124)</f>
        <v>#REF!</v>
      </c>
      <c r="P124" s="25" t="e">
        <f t="shared" si="0"/>
        <v>#REF!</v>
      </c>
      <c r="Q124" s="87" t="s">
        <v>40</v>
      </c>
      <c r="R124" s="121" t="s">
        <v>28</v>
      </c>
      <c r="S124" s="87" t="s">
        <v>48</v>
      </c>
      <c r="T124" s="87" t="s">
        <v>65</v>
      </c>
      <c r="U124" s="87" t="s">
        <v>906</v>
      </c>
      <c r="V124" s="87" t="s">
        <v>907</v>
      </c>
      <c r="W124" s="87" t="s">
        <v>909</v>
      </c>
      <c r="X124" s="87" t="s">
        <v>916</v>
      </c>
      <c r="Y124" s="87"/>
      <c r="Z124" s="87"/>
      <c r="AA124" s="87"/>
      <c r="AB124" s="87"/>
      <c r="AC124" s="87"/>
      <c r="AD124" s="87"/>
      <c r="AE124" s="87" t="s">
        <v>411</v>
      </c>
      <c r="AF124" s="87" t="s">
        <v>411</v>
      </c>
      <c r="AG124" s="87"/>
      <c r="AH124" s="87"/>
      <c r="AI124" s="87"/>
      <c r="AJ124" s="27" t="s">
        <v>102</v>
      </c>
      <c r="AK124" s="18"/>
      <c r="AL124" s="18"/>
      <c r="AM124" s="18"/>
      <c r="AN124" s="18"/>
    </row>
    <row r="125" spans="1:40" ht="14.25" customHeight="1" x14ac:dyDescent="0.35">
      <c r="A125" s="26" t="s">
        <v>925</v>
      </c>
      <c r="B125" s="100" t="s">
        <v>931</v>
      </c>
      <c r="C125" s="110" t="s">
        <v>416</v>
      </c>
      <c r="D125" s="116" t="s">
        <v>417</v>
      </c>
      <c r="E125" s="86" t="s">
        <v>418</v>
      </c>
      <c r="F125" s="86" t="s">
        <v>97</v>
      </c>
      <c r="G125" s="86" t="s">
        <v>901</v>
      </c>
      <c r="H125" s="86"/>
      <c r="I125" s="86" t="s">
        <v>4</v>
      </c>
      <c r="J125" s="86" t="s">
        <v>419</v>
      </c>
      <c r="K125" s="86">
        <v>20</v>
      </c>
      <c r="L125" s="86">
        <v>12</v>
      </c>
      <c r="M125" s="87">
        <v>1976</v>
      </c>
      <c r="N125" s="88">
        <f t="shared" si="2"/>
        <v>28114</v>
      </c>
      <c r="O125" s="25" t="e">
        <f>IF(L125&gt;#REF!,#REF!-M125-1,#REF!-M125)</f>
        <v>#REF!</v>
      </c>
      <c r="P125" s="25" t="e">
        <f t="shared" si="0"/>
        <v>#REF!</v>
      </c>
      <c r="Q125" s="87" t="s">
        <v>40</v>
      </c>
      <c r="R125" s="121" t="s">
        <v>31</v>
      </c>
      <c r="S125" s="87" t="s">
        <v>55</v>
      </c>
      <c r="T125" s="87" t="s">
        <v>67</v>
      </c>
      <c r="U125" s="87" t="s">
        <v>906</v>
      </c>
      <c r="V125" s="87" t="s">
        <v>907</v>
      </c>
      <c r="W125" s="87" t="s">
        <v>909</v>
      </c>
      <c r="X125" s="87" t="s">
        <v>916</v>
      </c>
      <c r="Y125" s="87"/>
      <c r="Z125" s="87"/>
      <c r="AA125" s="87"/>
      <c r="AB125" s="87"/>
      <c r="AC125" s="87"/>
      <c r="AD125" s="87"/>
      <c r="AE125" s="87" t="s">
        <v>387</v>
      </c>
      <c r="AF125" s="87" t="s">
        <v>387</v>
      </c>
      <c r="AG125" s="87"/>
      <c r="AH125" s="87"/>
      <c r="AI125" s="87"/>
      <c r="AJ125" s="27" t="s">
        <v>102</v>
      </c>
      <c r="AK125" s="18"/>
      <c r="AL125" s="18"/>
      <c r="AM125" s="18"/>
      <c r="AN125" s="18"/>
    </row>
    <row r="126" spans="1:40" ht="14.25" customHeight="1" x14ac:dyDescent="0.35">
      <c r="A126" s="26" t="s">
        <v>925</v>
      </c>
      <c r="B126" s="100" t="s">
        <v>931</v>
      </c>
      <c r="C126" s="110" t="s">
        <v>416</v>
      </c>
      <c r="D126" s="116" t="s">
        <v>420</v>
      </c>
      <c r="E126" s="86" t="s">
        <v>421</v>
      </c>
      <c r="F126" s="86" t="s">
        <v>105</v>
      </c>
      <c r="G126" s="86" t="s">
        <v>901</v>
      </c>
      <c r="H126" s="86"/>
      <c r="I126" s="86" t="s">
        <v>5</v>
      </c>
      <c r="J126" s="86" t="s">
        <v>98</v>
      </c>
      <c r="K126" s="86">
        <v>11</v>
      </c>
      <c r="L126" s="86">
        <v>3</v>
      </c>
      <c r="M126" s="87">
        <v>1977</v>
      </c>
      <c r="N126" s="88">
        <f t="shared" si="2"/>
        <v>28195</v>
      </c>
      <c r="O126" s="25" t="e">
        <f>IF(L126&gt;#REF!,#REF!-M126-1,#REF!-M126)</f>
        <v>#REF!</v>
      </c>
      <c r="P126" s="25" t="e">
        <f t="shared" si="0"/>
        <v>#REF!</v>
      </c>
      <c r="Q126" s="87" t="s">
        <v>40</v>
      </c>
      <c r="R126" s="121" t="s">
        <v>35</v>
      </c>
      <c r="S126" s="87" t="s">
        <v>54</v>
      </c>
      <c r="T126" s="87" t="s">
        <v>67</v>
      </c>
      <c r="U126" s="87" t="s">
        <v>906</v>
      </c>
      <c r="V126" s="87" t="s">
        <v>907</v>
      </c>
      <c r="W126" s="87" t="s">
        <v>909</v>
      </c>
      <c r="X126" s="87" t="s">
        <v>916</v>
      </c>
      <c r="Y126" s="87"/>
      <c r="Z126" s="87"/>
      <c r="AA126" s="87"/>
      <c r="AB126" s="87"/>
      <c r="AC126" s="87"/>
      <c r="AD126" s="87"/>
      <c r="AE126" s="87" t="s">
        <v>387</v>
      </c>
      <c r="AF126" s="87" t="s">
        <v>387</v>
      </c>
      <c r="AG126" s="87"/>
      <c r="AH126" s="87"/>
      <c r="AI126" s="87"/>
      <c r="AJ126" s="27" t="s">
        <v>102</v>
      </c>
      <c r="AK126" s="18"/>
      <c r="AL126" s="18"/>
      <c r="AM126" s="18"/>
      <c r="AN126" s="18"/>
    </row>
    <row r="127" spans="1:40" ht="14.25" customHeight="1" x14ac:dyDescent="0.35">
      <c r="A127" s="26" t="s">
        <v>925</v>
      </c>
      <c r="B127" s="100" t="s">
        <v>931</v>
      </c>
      <c r="C127" s="110" t="s">
        <v>416</v>
      </c>
      <c r="D127" s="116" t="s">
        <v>422</v>
      </c>
      <c r="E127" s="86" t="s">
        <v>423</v>
      </c>
      <c r="F127" s="86" t="s">
        <v>108</v>
      </c>
      <c r="G127" s="86" t="s">
        <v>901</v>
      </c>
      <c r="H127" s="86"/>
      <c r="I127" s="86" t="s">
        <v>4</v>
      </c>
      <c r="J127" s="86" t="s">
        <v>98</v>
      </c>
      <c r="K127" s="86">
        <v>3</v>
      </c>
      <c r="L127" s="86">
        <v>9</v>
      </c>
      <c r="M127" s="87">
        <v>1999</v>
      </c>
      <c r="N127" s="88">
        <f t="shared" si="2"/>
        <v>36406</v>
      </c>
      <c r="O127" s="25" t="e">
        <f>IF(L127&gt;#REF!,#REF!-M127-1,#REF!-M127)</f>
        <v>#REF!</v>
      </c>
      <c r="P127" s="25" t="e">
        <f t="shared" si="0"/>
        <v>#REF!</v>
      </c>
      <c r="Q127" s="87" t="s">
        <v>40</v>
      </c>
      <c r="R127" s="121" t="s">
        <v>30</v>
      </c>
      <c r="S127" s="87" t="s">
        <v>48</v>
      </c>
      <c r="T127" s="87" t="s">
        <v>65</v>
      </c>
      <c r="U127" s="87" t="s">
        <v>906</v>
      </c>
      <c r="V127" s="87" t="s">
        <v>907</v>
      </c>
      <c r="W127" s="87" t="s">
        <v>909</v>
      </c>
      <c r="X127" s="87" t="s">
        <v>916</v>
      </c>
      <c r="Y127" s="87"/>
      <c r="Z127" s="87"/>
      <c r="AA127" s="87"/>
      <c r="AB127" s="87"/>
      <c r="AC127" s="87"/>
      <c r="AD127" s="87"/>
      <c r="AE127" s="87" t="s">
        <v>387</v>
      </c>
      <c r="AF127" s="87" t="s">
        <v>387</v>
      </c>
      <c r="AG127" s="87"/>
      <c r="AH127" s="87"/>
      <c r="AI127" s="87"/>
      <c r="AJ127" s="27" t="s">
        <v>102</v>
      </c>
      <c r="AK127" s="18"/>
      <c r="AL127" s="18"/>
      <c r="AM127" s="18"/>
      <c r="AN127" s="18"/>
    </row>
    <row r="128" spans="1:40" ht="14.25" customHeight="1" x14ac:dyDescent="0.35">
      <c r="A128" s="26" t="s">
        <v>925</v>
      </c>
      <c r="B128" s="100" t="s">
        <v>931</v>
      </c>
      <c r="C128" s="110" t="s">
        <v>416</v>
      </c>
      <c r="D128" s="116" t="s">
        <v>424</v>
      </c>
      <c r="E128" s="86" t="s">
        <v>425</v>
      </c>
      <c r="F128" s="86" t="s">
        <v>108</v>
      </c>
      <c r="G128" s="86" t="s">
        <v>901</v>
      </c>
      <c r="H128" s="86"/>
      <c r="I128" s="86" t="s">
        <v>5</v>
      </c>
      <c r="J128" s="86" t="s">
        <v>98</v>
      </c>
      <c r="K128" s="86">
        <v>9</v>
      </c>
      <c r="L128" s="86">
        <v>6</v>
      </c>
      <c r="M128" s="87">
        <v>2007</v>
      </c>
      <c r="N128" s="88">
        <f t="shared" si="2"/>
        <v>39242</v>
      </c>
      <c r="O128" s="25" t="e">
        <f>IF(L128&gt;#REF!,#REF!-M128-1,#REF!-M128)</f>
        <v>#REF!</v>
      </c>
      <c r="P128" s="25" t="e">
        <f t="shared" si="0"/>
        <v>#REF!</v>
      </c>
      <c r="Q128" s="87" t="s">
        <v>40</v>
      </c>
      <c r="R128" s="121" t="s">
        <v>28</v>
      </c>
      <c r="S128" s="87" t="s">
        <v>48</v>
      </c>
      <c r="T128" s="87" t="s">
        <v>65</v>
      </c>
      <c r="U128" s="87" t="s">
        <v>906</v>
      </c>
      <c r="V128" s="87" t="s">
        <v>907</v>
      </c>
      <c r="W128" s="87" t="s">
        <v>909</v>
      </c>
      <c r="X128" s="87" t="s">
        <v>916</v>
      </c>
      <c r="Y128" s="87"/>
      <c r="Z128" s="87"/>
      <c r="AA128" s="87"/>
      <c r="AB128" s="87"/>
      <c r="AC128" s="87"/>
      <c r="AD128" s="87"/>
      <c r="AE128" s="87" t="s">
        <v>387</v>
      </c>
      <c r="AF128" s="87" t="s">
        <v>387</v>
      </c>
      <c r="AG128" s="87"/>
      <c r="AH128" s="87"/>
      <c r="AI128" s="87"/>
      <c r="AJ128" s="27" t="s">
        <v>102</v>
      </c>
      <c r="AK128" s="18"/>
      <c r="AL128" s="18"/>
      <c r="AM128" s="18"/>
      <c r="AN128" s="18"/>
    </row>
    <row r="129" spans="1:40" ht="14.25" customHeight="1" x14ac:dyDescent="0.35">
      <c r="A129" s="26" t="s">
        <v>925</v>
      </c>
      <c r="B129" s="100" t="s">
        <v>931</v>
      </c>
      <c r="C129" s="110" t="s">
        <v>426</v>
      </c>
      <c r="D129" s="116" t="s">
        <v>427</v>
      </c>
      <c r="E129" s="86" t="s">
        <v>428</v>
      </c>
      <c r="F129" s="86" t="s">
        <v>97</v>
      </c>
      <c r="G129" s="86" t="s">
        <v>901</v>
      </c>
      <c r="H129" s="86"/>
      <c r="I129" s="86" t="s">
        <v>4</v>
      </c>
      <c r="J129" s="86" t="s">
        <v>98</v>
      </c>
      <c r="K129" s="86">
        <v>7</v>
      </c>
      <c r="L129" s="86">
        <v>7</v>
      </c>
      <c r="M129" s="87">
        <v>1978</v>
      </c>
      <c r="N129" s="88">
        <f t="shared" si="2"/>
        <v>28678</v>
      </c>
      <c r="O129" s="25" t="e">
        <f>IF(L129&gt;#REF!,#REF!-M129-1,#REF!-M129)</f>
        <v>#REF!</v>
      </c>
      <c r="P129" s="25" t="e">
        <f t="shared" si="0"/>
        <v>#REF!</v>
      </c>
      <c r="Q129" s="87" t="s">
        <v>40</v>
      </c>
      <c r="R129" s="121" t="s">
        <v>33</v>
      </c>
      <c r="S129" s="87" t="s">
        <v>62</v>
      </c>
      <c r="T129" s="87" t="s">
        <v>66</v>
      </c>
      <c r="U129" s="87" t="s">
        <v>906</v>
      </c>
      <c r="V129" s="87" t="s">
        <v>907</v>
      </c>
      <c r="W129" s="87" t="s">
        <v>909</v>
      </c>
      <c r="X129" s="87" t="s">
        <v>916</v>
      </c>
      <c r="Y129" s="87"/>
      <c r="Z129" s="87"/>
      <c r="AA129" s="87"/>
      <c r="AB129" s="87"/>
      <c r="AC129" s="87"/>
      <c r="AD129" s="87"/>
      <c r="AE129" s="87" t="s">
        <v>400</v>
      </c>
      <c r="AF129" s="87" t="s">
        <v>400</v>
      </c>
      <c r="AG129" s="87"/>
      <c r="AH129" s="87"/>
      <c r="AI129" s="87"/>
      <c r="AJ129" s="27" t="s">
        <v>102</v>
      </c>
      <c r="AK129" s="18"/>
      <c r="AL129" s="18"/>
      <c r="AM129" s="18"/>
      <c r="AN129" s="18"/>
    </row>
    <row r="130" spans="1:40" ht="14.25" customHeight="1" x14ac:dyDescent="0.35">
      <c r="A130" s="26" t="s">
        <v>925</v>
      </c>
      <c r="B130" s="100" t="s">
        <v>931</v>
      </c>
      <c r="C130" s="110" t="s">
        <v>426</v>
      </c>
      <c r="D130" s="116" t="s">
        <v>429</v>
      </c>
      <c r="E130" s="86" t="s">
        <v>430</v>
      </c>
      <c r="F130" s="86" t="s">
        <v>105</v>
      </c>
      <c r="G130" s="86" t="s">
        <v>901</v>
      </c>
      <c r="H130" s="86"/>
      <c r="I130" s="86" t="s">
        <v>5</v>
      </c>
      <c r="J130" s="86" t="s">
        <v>98</v>
      </c>
      <c r="K130" s="86">
        <v>16</v>
      </c>
      <c r="L130" s="86">
        <v>3</v>
      </c>
      <c r="M130" s="87">
        <v>1985</v>
      </c>
      <c r="N130" s="88">
        <f t="shared" si="2"/>
        <v>31122</v>
      </c>
      <c r="O130" s="25" t="e">
        <f>IF(L130&gt;#REF!,#REF!-M130-1,#REF!-M130)</f>
        <v>#REF!</v>
      </c>
      <c r="P130" s="25" t="e">
        <f t="shared" si="0"/>
        <v>#REF!</v>
      </c>
      <c r="Q130" s="87" t="s">
        <v>40</v>
      </c>
      <c r="R130" s="121" t="s">
        <v>33</v>
      </c>
      <c r="S130" s="87" t="s">
        <v>62</v>
      </c>
      <c r="T130" s="87" t="s">
        <v>66</v>
      </c>
      <c r="U130" s="87" t="s">
        <v>906</v>
      </c>
      <c r="V130" s="87" t="s">
        <v>907</v>
      </c>
      <c r="W130" s="87" t="s">
        <v>909</v>
      </c>
      <c r="X130" s="87" t="s">
        <v>916</v>
      </c>
      <c r="Y130" s="87"/>
      <c r="Z130" s="87"/>
      <c r="AA130" s="87"/>
      <c r="AB130" s="87"/>
      <c r="AC130" s="87"/>
      <c r="AD130" s="87"/>
      <c r="AE130" s="87" t="s">
        <v>400</v>
      </c>
      <c r="AF130" s="87" t="s">
        <v>400</v>
      </c>
      <c r="AG130" s="87"/>
      <c r="AH130" s="87"/>
      <c r="AI130" s="87"/>
      <c r="AJ130" s="27" t="s">
        <v>102</v>
      </c>
      <c r="AK130" s="18"/>
      <c r="AL130" s="18"/>
      <c r="AM130" s="18"/>
      <c r="AN130" s="18"/>
    </row>
    <row r="131" spans="1:40" ht="14.25" customHeight="1" x14ac:dyDescent="0.35">
      <c r="A131" s="26" t="s">
        <v>925</v>
      </c>
      <c r="B131" s="100" t="s">
        <v>931</v>
      </c>
      <c r="C131" s="110" t="s">
        <v>426</v>
      </c>
      <c r="D131" s="116" t="s">
        <v>431</v>
      </c>
      <c r="E131" s="86" t="s">
        <v>432</v>
      </c>
      <c r="F131" s="86" t="s">
        <v>108</v>
      </c>
      <c r="G131" s="86" t="s">
        <v>901</v>
      </c>
      <c r="H131" s="86"/>
      <c r="I131" s="86" t="s">
        <v>5</v>
      </c>
      <c r="J131" s="86" t="s">
        <v>98</v>
      </c>
      <c r="K131" s="86">
        <v>27</v>
      </c>
      <c r="L131" s="86">
        <v>4</v>
      </c>
      <c r="M131" s="87">
        <v>2008</v>
      </c>
      <c r="N131" s="88">
        <f t="shared" ref="N131:N194" si="3">DATE(M131,L131,K131)</f>
        <v>39565</v>
      </c>
      <c r="O131" s="25" t="e">
        <f>IF(L131&gt;#REF!,#REF!-M131-1,#REF!-M131)</f>
        <v>#REF!</v>
      </c>
      <c r="P131" s="25" t="e">
        <f t="shared" si="0"/>
        <v>#REF!</v>
      </c>
      <c r="Q131" s="87" t="s">
        <v>40</v>
      </c>
      <c r="R131" s="121" t="s">
        <v>31</v>
      </c>
      <c r="S131" s="87" t="s">
        <v>57</v>
      </c>
      <c r="T131" s="87" t="s">
        <v>65</v>
      </c>
      <c r="U131" s="87" t="s">
        <v>906</v>
      </c>
      <c r="V131" s="87" t="s">
        <v>907</v>
      </c>
      <c r="W131" s="87" t="s">
        <v>909</v>
      </c>
      <c r="X131" s="87" t="s">
        <v>916</v>
      </c>
      <c r="Y131" s="87"/>
      <c r="Z131" s="87"/>
      <c r="AA131" s="87"/>
      <c r="AB131" s="87"/>
      <c r="AC131" s="87"/>
      <c r="AD131" s="87"/>
      <c r="AE131" s="87" t="s">
        <v>400</v>
      </c>
      <c r="AF131" s="87" t="s">
        <v>400</v>
      </c>
      <c r="AG131" s="87"/>
      <c r="AH131" s="87"/>
      <c r="AI131" s="87"/>
      <c r="AJ131" s="27" t="s">
        <v>102</v>
      </c>
      <c r="AK131" s="18"/>
      <c r="AL131" s="18"/>
      <c r="AM131" s="18"/>
      <c r="AN131" s="18"/>
    </row>
    <row r="132" spans="1:40" ht="14.25" customHeight="1" x14ac:dyDescent="0.35">
      <c r="A132" s="26" t="s">
        <v>925</v>
      </c>
      <c r="B132" s="100" t="s">
        <v>931</v>
      </c>
      <c r="C132" s="110" t="s">
        <v>426</v>
      </c>
      <c r="D132" s="116" t="s">
        <v>433</v>
      </c>
      <c r="E132" s="86" t="s">
        <v>434</v>
      </c>
      <c r="F132" s="86" t="s">
        <v>108</v>
      </c>
      <c r="G132" s="86" t="s">
        <v>901</v>
      </c>
      <c r="H132" s="86"/>
      <c r="I132" s="86" t="s">
        <v>4</v>
      </c>
      <c r="J132" s="86" t="s">
        <v>98</v>
      </c>
      <c r="K132" s="86">
        <v>15</v>
      </c>
      <c r="L132" s="86">
        <v>11</v>
      </c>
      <c r="M132" s="87">
        <v>2011</v>
      </c>
      <c r="N132" s="88">
        <f t="shared" si="3"/>
        <v>40862</v>
      </c>
      <c r="O132" s="25" t="e">
        <f>IF(L132&gt;#REF!,#REF!-M132-1,#REF!-M132)</f>
        <v>#REF!</v>
      </c>
      <c r="P132" s="25" t="e">
        <f t="shared" si="0"/>
        <v>#REF!</v>
      </c>
      <c r="Q132" s="87" t="s">
        <v>40</v>
      </c>
      <c r="R132" s="121" t="s">
        <v>30</v>
      </c>
      <c r="S132" s="87" t="s">
        <v>57</v>
      </c>
      <c r="T132" s="87" t="s">
        <v>65</v>
      </c>
      <c r="U132" s="87" t="s">
        <v>906</v>
      </c>
      <c r="V132" s="87" t="s">
        <v>907</v>
      </c>
      <c r="W132" s="87" t="s">
        <v>909</v>
      </c>
      <c r="X132" s="87" t="s">
        <v>916</v>
      </c>
      <c r="Y132" s="87"/>
      <c r="Z132" s="87"/>
      <c r="AA132" s="87"/>
      <c r="AB132" s="87"/>
      <c r="AC132" s="87"/>
      <c r="AD132" s="87"/>
      <c r="AE132" s="87" t="s">
        <v>400</v>
      </c>
      <c r="AF132" s="87" t="s">
        <v>400</v>
      </c>
      <c r="AG132" s="87"/>
      <c r="AH132" s="87"/>
      <c r="AI132" s="87"/>
      <c r="AJ132" s="27" t="s">
        <v>102</v>
      </c>
      <c r="AK132" s="18"/>
      <c r="AL132" s="18"/>
      <c r="AM132" s="18"/>
      <c r="AN132" s="18"/>
    </row>
    <row r="133" spans="1:40" ht="14.25" customHeight="1" x14ac:dyDescent="0.35">
      <c r="A133" s="26" t="s">
        <v>925</v>
      </c>
      <c r="B133" s="100" t="s">
        <v>931</v>
      </c>
      <c r="C133" s="110" t="s">
        <v>426</v>
      </c>
      <c r="D133" s="116" t="s">
        <v>435</v>
      </c>
      <c r="E133" s="86" t="s">
        <v>436</v>
      </c>
      <c r="F133" s="86" t="s">
        <v>108</v>
      </c>
      <c r="G133" s="86" t="s">
        <v>901</v>
      </c>
      <c r="H133" s="86"/>
      <c r="I133" s="86" t="s">
        <v>5</v>
      </c>
      <c r="J133" s="86" t="s">
        <v>98</v>
      </c>
      <c r="K133" s="86">
        <v>13</v>
      </c>
      <c r="L133" s="86">
        <v>8</v>
      </c>
      <c r="M133" s="87">
        <v>2015</v>
      </c>
      <c r="N133" s="88">
        <f t="shared" si="3"/>
        <v>42229</v>
      </c>
      <c r="O133" s="25" t="e">
        <f>IF(L133&gt;#REF!,#REF!-M133-1,#REF!-M133)</f>
        <v>#REF!</v>
      </c>
      <c r="P133" s="25" t="e">
        <f t="shared" si="0"/>
        <v>#REF!</v>
      </c>
      <c r="Q133" s="87" t="s">
        <v>40</v>
      </c>
      <c r="R133" s="121" t="s">
        <v>30</v>
      </c>
      <c r="S133" s="87" t="s">
        <v>57</v>
      </c>
      <c r="T133" s="87" t="s">
        <v>65</v>
      </c>
      <c r="U133" s="87" t="s">
        <v>906</v>
      </c>
      <c r="V133" s="87" t="s">
        <v>907</v>
      </c>
      <c r="W133" s="87" t="s">
        <v>909</v>
      </c>
      <c r="X133" s="87" t="s">
        <v>916</v>
      </c>
      <c r="Y133" s="87"/>
      <c r="Z133" s="87"/>
      <c r="AA133" s="87"/>
      <c r="AB133" s="87"/>
      <c r="AC133" s="87"/>
      <c r="AD133" s="87"/>
      <c r="AE133" s="87" t="s">
        <v>400</v>
      </c>
      <c r="AF133" s="87" t="s">
        <v>400</v>
      </c>
      <c r="AG133" s="87"/>
      <c r="AH133" s="87"/>
      <c r="AI133" s="87"/>
      <c r="AJ133" s="27" t="s">
        <v>102</v>
      </c>
      <c r="AK133" s="18"/>
      <c r="AL133" s="18"/>
      <c r="AM133" s="18"/>
      <c r="AN133" s="18"/>
    </row>
    <row r="134" spans="1:40" ht="14.25" customHeight="1" x14ac:dyDescent="0.35">
      <c r="A134" s="26" t="s">
        <v>925</v>
      </c>
      <c r="B134" s="100" t="s">
        <v>931</v>
      </c>
      <c r="C134" s="110" t="s">
        <v>426</v>
      </c>
      <c r="D134" s="116" t="s">
        <v>437</v>
      </c>
      <c r="E134" s="86" t="s">
        <v>438</v>
      </c>
      <c r="F134" s="86" t="s">
        <v>108</v>
      </c>
      <c r="G134" s="86" t="s">
        <v>901</v>
      </c>
      <c r="H134" s="86"/>
      <c r="I134" s="86" t="s">
        <v>5</v>
      </c>
      <c r="J134" s="86" t="s">
        <v>98</v>
      </c>
      <c r="K134" s="86">
        <v>25</v>
      </c>
      <c r="L134" s="86">
        <v>9</v>
      </c>
      <c r="M134" s="87">
        <v>2022</v>
      </c>
      <c r="N134" s="88">
        <f t="shared" si="3"/>
        <v>44829</v>
      </c>
      <c r="O134" s="25" t="e">
        <f>IF(L134&gt;#REF!,#REF!-M134-1,#REF!-M134)</f>
        <v>#REF!</v>
      </c>
      <c r="P134" s="25" t="e">
        <f t="shared" si="0"/>
        <v>#REF!</v>
      </c>
      <c r="Q134" s="87" t="s">
        <v>40</v>
      </c>
      <c r="R134" s="121" t="s">
        <v>28</v>
      </c>
      <c r="S134" s="87" t="s">
        <v>48</v>
      </c>
      <c r="T134" s="87" t="s">
        <v>65</v>
      </c>
      <c r="U134" s="87" t="s">
        <v>906</v>
      </c>
      <c r="V134" s="87" t="s">
        <v>907</v>
      </c>
      <c r="W134" s="87" t="s">
        <v>909</v>
      </c>
      <c r="X134" s="87" t="s">
        <v>916</v>
      </c>
      <c r="Y134" s="87"/>
      <c r="Z134" s="87"/>
      <c r="AA134" s="87"/>
      <c r="AB134" s="87"/>
      <c r="AC134" s="87"/>
      <c r="AD134" s="87"/>
      <c r="AE134" s="87" t="s">
        <v>400</v>
      </c>
      <c r="AF134" s="87" t="s">
        <v>400</v>
      </c>
      <c r="AG134" s="87"/>
      <c r="AH134" s="87"/>
      <c r="AI134" s="87"/>
      <c r="AJ134" s="27" t="s">
        <v>102</v>
      </c>
      <c r="AK134" s="18"/>
      <c r="AL134" s="18"/>
      <c r="AM134" s="18"/>
      <c r="AN134" s="18"/>
    </row>
    <row r="135" spans="1:40" ht="14.25" customHeight="1" x14ac:dyDescent="0.35">
      <c r="A135" s="26" t="s">
        <v>925</v>
      </c>
      <c r="B135" s="100" t="s">
        <v>931</v>
      </c>
      <c r="C135" s="110" t="s">
        <v>439</v>
      </c>
      <c r="D135" s="116" t="s">
        <v>440</v>
      </c>
      <c r="E135" s="86" t="s">
        <v>441</v>
      </c>
      <c r="F135" s="86" t="s">
        <v>97</v>
      </c>
      <c r="G135" s="86" t="s">
        <v>901</v>
      </c>
      <c r="H135" s="86"/>
      <c r="I135" s="86" t="s">
        <v>4</v>
      </c>
      <c r="J135" s="86" t="s">
        <v>98</v>
      </c>
      <c r="K135" s="86">
        <v>3</v>
      </c>
      <c r="L135" s="86">
        <v>7</v>
      </c>
      <c r="M135" s="87">
        <v>1972</v>
      </c>
      <c r="N135" s="88">
        <f t="shared" si="3"/>
        <v>26483</v>
      </c>
      <c r="O135" s="25" t="e">
        <f>IF(L135&gt;#REF!,#REF!-M135-1,#REF!-M135)</f>
        <v>#REF!</v>
      </c>
      <c r="P135" s="25" t="e">
        <f t="shared" si="0"/>
        <v>#REF!</v>
      </c>
      <c r="Q135" s="87" t="s">
        <v>40</v>
      </c>
      <c r="R135" s="121" t="s">
        <v>35</v>
      </c>
      <c r="S135" s="87" t="s">
        <v>62</v>
      </c>
      <c r="T135" s="87" t="s">
        <v>68</v>
      </c>
      <c r="U135" s="87" t="s">
        <v>906</v>
      </c>
      <c r="V135" s="87" t="s">
        <v>907</v>
      </c>
      <c r="W135" s="87" t="s">
        <v>909</v>
      </c>
      <c r="X135" s="87" t="s">
        <v>916</v>
      </c>
      <c r="Y135" s="87"/>
      <c r="Z135" s="87"/>
      <c r="AA135" s="87"/>
      <c r="AB135" s="87"/>
      <c r="AC135" s="87"/>
      <c r="AD135" s="87"/>
      <c r="AE135" s="87" t="s">
        <v>400</v>
      </c>
      <c r="AF135" s="87" t="s">
        <v>400</v>
      </c>
      <c r="AG135" s="87"/>
      <c r="AH135" s="87"/>
      <c r="AI135" s="87"/>
      <c r="AJ135" s="27" t="s">
        <v>102</v>
      </c>
      <c r="AK135" s="18"/>
      <c r="AL135" s="18"/>
      <c r="AM135" s="18"/>
      <c r="AN135" s="18"/>
    </row>
    <row r="136" spans="1:40" ht="14.25" customHeight="1" x14ac:dyDescent="0.35">
      <c r="A136" s="26" t="s">
        <v>925</v>
      </c>
      <c r="B136" s="100" t="s">
        <v>931</v>
      </c>
      <c r="C136" s="110" t="s">
        <v>439</v>
      </c>
      <c r="D136" s="116" t="s">
        <v>442</v>
      </c>
      <c r="E136" s="86" t="s">
        <v>443</v>
      </c>
      <c r="F136" s="86" t="s">
        <v>105</v>
      </c>
      <c r="G136" s="86" t="s">
        <v>901</v>
      </c>
      <c r="H136" s="86"/>
      <c r="I136" s="86" t="s">
        <v>4</v>
      </c>
      <c r="J136" s="86" t="s">
        <v>98</v>
      </c>
      <c r="K136" s="86">
        <v>28</v>
      </c>
      <c r="L136" s="86">
        <v>11</v>
      </c>
      <c r="M136" s="87">
        <v>2012</v>
      </c>
      <c r="N136" s="88">
        <f t="shared" si="3"/>
        <v>41241</v>
      </c>
      <c r="O136" s="25" t="e">
        <f>IF(L136&gt;#REF!,#REF!-M136-1,#REF!-M136)</f>
        <v>#REF!</v>
      </c>
      <c r="P136" s="25" t="e">
        <f t="shared" si="0"/>
        <v>#REF!</v>
      </c>
      <c r="Q136" s="87" t="s">
        <v>40</v>
      </c>
      <c r="R136" s="121" t="s">
        <v>28</v>
      </c>
      <c r="S136" s="87" t="s">
        <v>48</v>
      </c>
      <c r="T136" s="87" t="s">
        <v>65</v>
      </c>
      <c r="U136" s="87" t="s">
        <v>906</v>
      </c>
      <c r="V136" s="87" t="s">
        <v>907</v>
      </c>
      <c r="W136" s="87" t="s">
        <v>909</v>
      </c>
      <c r="X136" s="87" t="s">
        <v>916</v>
      </c>
      <c r="Y136" s="87"/>
      <c r="Z136" s="87"/>
      <c r="AA136" s="87"/>
      <c r="AB136" s="87"/>
      <c r="AC136" s="87"/>
      <c r="AD136" s="87"/>
      <c r="AE136" s="87" t="s">
        <v>400</v>
      </c>
      <c r="AF136" s="87" t="s">
        <v>400</v>
      </c>
      <c r="AG136" s="87"/>
      <c r="AH136" s="87"/>
      <c r="AI136" s="87"/>
      <c r="AJ136" s="27" t="s">
        <v>102</v>
      </c>
      <c r="AK136" s="18"/>
      <c r="AL136" s="18"/>
      <c r="AM136" s="18"/>
      <c r="AN136" s="18"/>
    </row>
    <row r="137" spans="1:40" ht="14.25" customHeight="1" x14ac:dyDescent="0.35">
      <c r="A137" s="26" t="s">
        <v>925</v>
      </c>
      <c r="B137" s="100" t="s">
        <v>931</v>
      </c>
      <c r="C137" s="110" t="s">
        <v>444</v>
      </c>
      <c r="D137" s="116" t="s">
        <v>445</v>
      </c>
      <c r="E137" s="86" t="s">
        <v>446</v>
      </c>
      <c r="F137" s="86" t="s">
        <v>108</v>
      </c>
      <c r="G137" s="86" t="s">
        <v>901</v>
      </c>
      <c r="H137" s="86"/>
      <c r="I137" s="86" t="s">
        <v>4</v>
      </c>
      <c r="J137" s="86" t="s">
        <v>98</v>
      </c>
      <c r="K137" s="86">
        <v>15</v>
      </c>
      <c r="L137" s="86">
        <v>3</v>
      </c>
      <c r="M137" s="87">
        <v>1997</v>
      </c>
      <c r="N137" s="88">
        <f t="shared" si="3"/>
        <v>35504</v>
      </c>
      <c r="O137" s="25" t="e">
        <f>IF(L137&gt;#REF!,#REF!-M137-1,#REF!-M137)</f>
        <v>#REF!</v>
      </c>
      <c r="P137" s="25" t="e">
        <f t="shared" si="0"/>
        <v>#REF!</v>
      </c>
      <c r="Q137" s="87" t="s">
        <v>40</v>
      </c>
      <c r="R137" s="121" t="s">
        <v>35</v>
      </c>
      <c r="S137" s="87" t="s">
        <v>62</v>
      </c>
      <c r="T137" s="87" t="s">
        <v>66</v>
      </c>
      <c r="U137" s="87" t="s">
        <v>906</v>
      </c>
      <c r="V137" s="87" t="s">
        <v>907</v>
      </c>
      <c r="W137" s="87" t="s">
        <v>909</v>
      </c>
      <c r="X137" s="87" t="s">
        <v>916</v>
      </c>
      <c r="Y137" s="87"/>
      <c r="Z137" s="87"/>
      <c r="AA137" s="87"/>
      <c r="AB137" s="87"/>
      <c r="AC137" s="87"/>
      <c r="AD137" s="87"/>
      <c r="AE137" s="87" t="s">
        <v>400</v>
      </c>
      <c r="AF137" s="87" t="s">
        <v>400</v>
      </c>
      <c r="AG137" s="87"/>
      <c r="AH137" s="87"/>
      <c r="AI137" s="87"/>
      <c r="AJ137" s="27" t="s">
        <v>102</v>
      </c>
      <c r="AK137" s="18"/>
      <c r="AL137" s="18"/>
      <c r="AM137" s="18"/>
      <c r="AN137" s="18"/>
    </row>
    <row r="138" spans="1:40" ht="14.25" customHeight="1" x14ac:dyDescent="0.35">
      <c r="A138" s="26" t="s">
        <v>925</v>
      </c>
      <c r="B138" s="100" t="s">
        <v>931</v>
      </c>
      <c r="C138" s="110" t="s">
        <v>444</v>
      </c>
      <c r="D138" s="116" t="s">
        <v>447</v>
      </c>
      <c r="E138" s="86" t="s">
        <v>448</v>
      </c>
      <c r="F138" s="86" t="s">
        <v>97</v>
      </c>
      <c r="G138" s="86" t="s">
        <v>901</v>
      </c>
      <c r="H138" s="86"/>
      <c r="I138" s="86" t="s">
        <v>5</v>
      </c>
      <c r="J138" s="86" t="s">
        <v>98</v>
      </c>
      <c r="K138" s="86">
        <v>12</v>
      </c>
      <c r="L138" s="86">
        <v>10</v>
      </c>
      <c r="M138" s="87">
        <v>1986</v>
      </c>
      <c r="N138" s="88">
        <f t="shared" si="3"/>
        <v>31697</v>
      </c>
      <c r="O138" s="25" t="e">
        <f>IF(L138&gt;#REF!,#REF!-M138-1,#REF!-M138)</f>
        <v>#REF!</v>
      </c>
      <c r="P138" s="25" t="e">
        <f t="shared" si="0"/>
        <v>#REF!</v>
      </c>
      <c r="Q138" s="87" t="s">
        <v>40</v>
      </c>
      <c r="R138" s="121" t="s">
        <v>35</v>
      </c>
      <c r="S138" s="87" t="s">
        <v>54</v>
      </c>
      <c r="T138" s="87" t="s">
        <v>66</v>
      </c>
      <c r="U138" s="87" t="s">
        <v>906</v>
      </c>
      <c r="V138" s="87" t="s">
        <v>907</v>
      </c>
      <c r="W138" s="87" t="s">
        <v>909</v>
      </c>
      <c r="X138" s="87" t="s">
        <v>916</v>
      </c>
      <c r="Y138" s="87"/>
      <c r="Z138" s="87"/>
      <c r="AA138" s="87"/>
      <c r="AB138" s="87"/>
      <c r="AC138" s="87"/>
      <c r="AD138" s="87"/>
      <c r="AE138" s="87" t="s">
        <v>400</v>
      </c>
      <c r="AF138" s="87" t="s">
        <v>400</v>
      </c>
      <c r="AG138" s="87"/>
      <c r="AH138" s="87"/>
      <c r="AI138" s="87"/>
      <c r="AJ138" s="27" t="s">
        <v>102</v>
      </c>
      <c r="AK138" s="18"/>
      <c r="AL138" s="18"/>
      <c r="AM138" s="18"/>
      <c r="AN138" s="18"/>
    </row>
    <row r="139" spans="1:40" ht="14.25" customHeight="1" x14ac:dyDescent="0.35">
      <c r="A139" s="26" t="s">
        <v>925</v>
      </c>
      <c r="B139" s="100" t="s">
        <v>931</v>
      </c>
      <c r="C139" s="110" t="s">
        <v>444</v>
      </c>
      <c r="D139" s="116" t="s">
        <v>449</v>
      </c>
      <c r="E139" s="86" t="s">
        <v>450</v>
      </c>
      <c r="F139" s="86" t="s">
        <v>105</v>
      </c>
      <c r="G139" s="86" t="s">
        <v>901</v>
      </c>
      <c r="H139" s="86"/>
      <c r="I139" s="86" t="s">
        <v>4</v>
      </c>
      <c r="J139" s="86" t="s">
        <v>98</v>
      </c>
      <c r="K139" s="86">
        <v>11</v>
      </c>
      <c r="L139" s="86">
        <v>1</v>
      </c>
      <c r="M139" s="87">
        <v>2005</v>
      </c>
      <c r="N139" s="88">
        <f t="shared" si="3"/>
        <v>38363</v>
      </c>
      <c r="O139" s="25" t="e">
        <f>IF(L139&gt;#REF!,#REF!-M139-1,#REF!-M139)</f>
        <v>#REF!</v>
      </c>
      <c r="P139" s="25" t="e">
        <f t="shared" si="0"/>
        <v>#REF!</v>
      </c>
      <c r="Q139" s="87" t="s">
        <v>40</v>
      </c>
      <c r="R139" s="121" t="s">
        <v>28</v>
      </c>
      <c r="S139" s="87" t="s">
        <v>48</v>
      </c>
      <c r="T139" s="87" t="s">
        <v>65</v>
      </c>
      <c r="U139" s="87" t="s">
        <v>906</v>
      </c>
      <c r="V139" s="87" t="s">
        <v>907</v>
      </c>
      <c r="W139" s="87" t="s">
        <v>909</v>
      </c>
      <c r="X139" s="87" t="s">
        <v>916</v>
      </c>
      <c r="Y139" s="87"/>
      <c r="Z139" s="87"/>
      <c r="AA139" s="87"/>
      <c r="AB139" s="87"/>
      <c r="AC139" s="87"/>
      <c r="AD139" s="87"/>
      <c r="AE139" s="87" t="s">
        <v>400</v>
      </c>
      <c r="AF139" s="87" t="s">
        <v>400</v>
      </c>
      <c r="AG139" s="87"/>
      <c r="AH139" s="87"/>
      <c r="AI139" s="87"/>
      <c r="AJ139" s="27" t="s">
        <v>102</v>
      </c>
      <c r="AK139" s="18"/>
      <c r="AL139" s="18"/>
      <c r="AM139" s="18"/>
      <c r="AN139" s="18"/>
    </row>
    <row r="140" spans="1:40" ht="14.25" customHeight="1" x14ac:dyDescent="0.35">
      <c r="A140" s="26" t="s">
        <v>925</v>
      </c>
      <c r="B140" s="100" t="s">
        <v>931</v>
      </c>
      <c r="C140" s="110" t="s">
        <v>444</v>
      </c>
      <c r="D140" s="116" t="s">
        <v>451</v>
      </c>
      <c r="E140" s="86" t="s">
        <v>452</v>
      </c>
      <c r="F140" s="86" t="s">
        <v>108</v>
      </c>
      <c r="G140" s="86" t="s">
        <v>901</v>
      </c>
      <c r="H140" s="86"/>
      <c r="I140" s="86" t="s">
        <v>5</v>
      </c>
      <c r="J140" s="86" t="s">
        <v>98</v>
      </c>
      <c r="K140" s="86">
        <v>31</v>
      </c>
      <c r="L140" s="86">
        <v>7</v>
      </c>
      <c r="M140" s="87">
        <v>2009</v>
      </c>
      <c r="N140" s="88">
        <f t="shared" si="3"/>
        <v>40025</v>
      </c>
      <c r="O140" s="25" t="e">
        <f>IF(L140&gt;#REF!,#REF!-M140-1,#REF!-M140)</f>
        <v>#REF!</v>
      </c>
      <c r="P140" s="25" t="e">
        <f t="shared" si="0"/>
        <v>#REF!</v>
      </c>
      <c r="Q140" s="87" t="s">
        <v>40</v>
      </c>
      <c r="R140" s="121" t="s">
        <v>28</v>
      </c>
      <c r="S140" s="87" t="s">
        <v>48</v>
      </c>
      <c r="T140" s="87" t="s">
        <v>65</v>
      </c>
      <c r="U140" s="87" t="s">
        <v>906</v>
      </c>
      <c r="V140" s="87" t="s">
        <v>907</v>
      </c>
      <c r="W140" s="87" t="s">
        <v>909</v>
      </c>
      <c r="X140" s="87" t="s">
        <v>916</v>
      </c>
      <c r="Y140" s="87"/>
      <c r="Z140" s="87"/>
      <c r="AA140" s="87"/>
      <c r="AB140" s="87"/>
      <c r="AC140" s="87"/>
      <c r="AD140" s="87"/>
      <c r="AE140" s="87" t="s">
        <v>400</v>
      </c>
      <c r="AF140" s="87" t="s">
        <v>400</v>
      </c>
      <c r="AG140" s="87"/>
      <c r="AH140" s="87"/>
      <c r="AI140" s="87"/>
      <c r="AJ140" s="27" t="s">
        <v>102</v>
      </c>
      <c r="AK140" s="18"/>
      <c r="AL140" s="18"/>
      <c r="AM140" s="18"/>
      <c r="AN140" s="18"/>
    </row>
    <row r="141" spans="1:40" ht="14.25" customHeight="1" x14ac:dyDescent="0.35">
      <c r="A141" s="26" t="s">
        <v>925</v>
      </c>
      <c r="B141" s="100" t="s">
        <v>931</v>
      </c>
      <c r="C141" s="110" t="s">
        <v>444</v>
      </c>
      <c r="D141" s="116" t="s">
        <v>453</v>
      </c>
      <c r="E141" s="86" t="s">
        <v>454</v>
      </c>
      <c r="F141" s="86" t="s">
        <v>108</v>
      </c>
      <c r="G141" s="86" t="s">
        <v>901</v>
      </c>
      <c r="H141" s="86"/>
      <c r="I141" s="86" t="s">
        <v>5</v>
      </c>
      <c r="J141" s="86" t="s">
        <v>98</v>
      </c>
      <c r="K141" s="86">
        <v>25</v>
      </c>
      <c r="L141" s="86">
        <v>3</v>
      </c>
      <c r="M141" s="87">
        <v>2019</v>
      </c>
      <c r="N141" s="88">
        <f t="shared" si="3"/>
        <v>43549</v>
      </c>
      <c r="O141" s="25" t="e">
        <f>IF(L141&gt;#REF!,#REF!-M141-1,#REF!-M141)</f>
        <v>#REF!</v>
      </c>
      <c r="P141" s="25" t="e">
        <f t="shared" si="0"/>
        <v>#REF!</v>
      </c>
      <c r="Q141" s="87" t="s">
        <v>40</v>
      </c>
      <c r="R141" s="121" t="s">
        <v>28</v>
      </c>
      <c r="S141" s="87" t="s">
        <v>48</v>
      </c>
      <c r="T141" s="87" t="s">
        <v>65</v>
      </c>
      <c r="U141" s="87" t="s">
        <v>906</v>
      </c>
      <c r="V141" s="87" t="s">
        <v>907</v>
      </c>
      <c r="W141" s="87" t="s">
        <v>909</v>
      </c>
      <c r="X141" s="87" t="s">
        <v>916</v>
      </c>
      <c r="Y141" s="87"/>
      <c r="Z141" s="87"/>
      <c r="AA141" s="87"/>
      <c r="AB141" s="87"/>
      <c r="AC141" s="87"/>
      <c r="AD141" s="87"/>
      <c r="AE141" s="87" t="s">
        <v>400</v>
      </c>
      <c r="AF141" s="87" t="s">
        <v>400</v>
      </c>
      <c r="AG141" s="87"/>
      <c r="AH141" s="87"/>
      <c r="AI141" s="87"/>
      <c r="AJ141" s="27" t="s">
        <v>102</v>
      </c>
      <c r="AK141" s="18"/>
      <c r="AL141" s="18"/>
      <c r="AM141" s="18"/>
      <c r="AN141" s="18"/>
    </row>
    <row r="142" spans="1:40" ht="14.25" customHeight="1" x14ac:dyDescent="0.35">
      <c r="A142" s="26" t="s">
        <v>925</v>
      </c>
      <c r="B142" s="100" t="s">
        <v>931</v>
      </c>
      <c r="C142" s="110" t="s">
        <v>444</v>
      </c>
      <c r="D142" s="116" t="s">
        <v>455</v>
      </c>
      <c r="E142" s="86" t="s">
        <v>456</v>
      </c>
      <c r="F142" s="86" t="s">
        <v>108</v>
      </c>
      <c r="G142" s="86" t="s">
        <v>901</v>
      </c>
      <c r="H142" s="86"/>
      <c r="I142" s="86" t="s">
        <v>4</v>
      </c>
      <c r="J142" s="86" t="s">
        <v>98</v>
      </c>
      <c r="K142" s="86">
        <v>12</v>
      </c>
      <c r="L142" s="86">
        <v>7</v>
      </c>
      <c r="M142" s="87">
        <v>2022</v>
      </c>
      <c r="N142" s="88">
        <f t="shared" si="3"/>
        <v>44754</v>
      </c>
      <c r="O142" s="25" t="e">
        <f>IF(L142&gt;#REF!,#REF!-M142-1,#REF!-M142)</f>
        <v>#REF!</v>
      </c>
      <c r="P142" s="25" t="e">
        <f t="shared" si="0"/>
        <v>#REF!</v>
      </c>
      <c r="Q142" s="87" t="s">
        <v>40</v>
      </c>
      <c r="R142" s="121" t="s">
        <v>28</v>
      </c>
      <c r="S142" s="87" t="s">
        <v>48</v>
      </c>
      <c r="T142" s="87" t="s">
        <v>65</v>
      </c>
      <c r="U142" s="87" t="s">
        <v>906</v>
      </c>
      <c r="V142" s="87" t="s">
        <v>907</v>
      </c>
      <c r="W142" s="87" t="s">
        <v>909</v>
      </c>
      <c r="X142" s="87" t="s">
        <v>916</v>
      </c>
      <c r="Y142" s="87"/>
      <c r="Z142" s="87"/>
      <c r="AA142" s="87"/>
      <c r="AB142" s="87"/>
      <c r="AC142" s="87"/>
      <c r="AD142" s="87"/>
      <c r="AE142" s="87" t="s">
        <v>400</v>
      </c>
      <c r="AF142" s="87" t="s">
        <v>400</v>
      </c>
      <c r="AG142" s="87"/>
      <c r="AH142" s="87"/>
      <c r="AI142" s="87"/>
      <c r="AJ142" s="27" t="s">
        <v>102</v>
      </c>
      <c r="AK142" s="18"/>
      <c r="AL142" s="18"/>
      <c r="AM142" s="18"/>
      <c r="AN142" s="18"/>
    </row>
    <row r="143" spans="1:40" ht="14.25" customHeight="1" x14ac:dyDescent="0.35">
      <c r="A143" s="26" t="s">
        <v>925</v>
      </c>
      <c r="B143" s="100" t="s">
        <v>931</v>
      </c>
      <c r="C143" s="110" t="s">
        <v>457</v>
      </c>
      <c r="D143" s="116" t="s">
        <v>458</v>
      </c>
      <c r="E143" s="86" t="s">
        <v>459</v>
      </c>
      <c r="F143" s="86" t="s">
        <v>97</v>
      </c>
      <c r="G143" s="86" t="s">
        <v>901</v>
      </c>
      <c r="H143" s="86"/>
      <c r="I143" s="86" t="s">
        <v>5</v>
      </c>
      <c r="J143" s="86" t="s">
        <v>460</v>
      </c>
      <c r="K143" s="86">
        <v>23</v>
      </c>
      <c r="L143" s="86">
        <v>10</v>
      </c>
      <c r="M143" s="87">
        <v>1958</v>
      </c>
      <c r="N143" s="88">
        <f t="shared" si="3"/>
        <v>21481</v>
      </c>
      <c r="O143" s="25" t="e">
        <f>IF(L143&gt;#REF!,#REF!-M143-1,#REF!-M143)</f>
        <v>#REF!</v>
      </c>
      <c r="P143" s="25" t="e">
        <f t="shared" si="0"/>
        <v>#REF!</v>
      </c>
      <c r="Q143" s="87" t="s">
        <v>40</v>
      </c>
      <c r="R143" s="121" t="s">
        <v>35</v>
      </c>
      <c r="S143" s="87" t="s">
        <v>54</v>
      </c>
      <c r="T143" s="87" t="s">
        <v>70</v>
      </c>
      <c r="U143" s="87" t="s">
        <v>906</v>
      </c>
      <c r="V143" s="87" t="s">
        <v>907</v>
      </c>
      <c r="W143" s="87" t="s">
        <v>909</v>
      </c>
      <c r="X143" s="87" t="s">
        <v>916</v>
      </c>
      <c r="Y143" s="87"/>
      <c r="Z143" s="87"/>
      <c r="AA143" s="87"/>
      <c r="AB143" s="87"/>
      <c r="AC143" s="87"/>
      <c r="AD143" s="87"/>
      <c r="AE143" s="87" t="s">
        <v>461</v>
      </c>
      <c r="AF143" s="87" t="s">
        <v>461</v>
      </c>
      <c r="AG143" s="87"/>
      <c r="AH143" s="87"/>
      <c r="AI143" s="87"/>
      <c r="AJ143" s="27" t="s">
        <v>102</v>
      </c>
      <c r="AK143" s="18"/>
      <c r="AL143" s="18"/>
      <c r="AM143" s="18"/>
      <c r="AN143" s="18"/>
    </row>
    <row r="144" spans="1:40" ht="14.25" customHeight="1" x14ac:dyDescent="0.35">
      <c r="A144" s="26" t="s">
        <v>925</v>
      </c>
      <c r="B144" s="100" t="s">
        <v>931</v>
      </c>
      <c r="C144" s="110" t="s">
        <v>462</v>
      </c>
      <c r="D144" s="116" t="s">
        <v>463</v>
      </c>
      <c r="E144" s="86" t="s">
        <v>464</v>
      </c>
      <c r="F144" s="86" t="s">
        <v>105</v>
      </c>
      <c r="G144" s="86" t="s">
        <v>901</v>
      </c>
      <c r="H144" s="86"/>
      <c r="I144" s="86" t="s">
        <v>5</v>
      </c>
      <c r="J144" s="86" t="s">
        <v>98</v>
      </c>
      <c r="K144" s="86">
        <v>31</v>
      </c>
      <c r="L144" s="86">
        <v>12</v>
      </c>
      <c r="M144" s="87">
        <v>1968</v>
      </c>
      <c r="N144" s="88">
        <f t="shared" si="3"/>
        <v>25203</v>
      </c>
      <c r="O144" s="25" t="e">
        <f>IF(L144&gt;#REF!,#REF!-M144-1,#REF!-M144)</f>
        <v>#REF!</v>
      </c>
      <c r="P144" s="25" t="e">
        <f t="shared" si="0"/>
        <v>#REF!</v>
      </c>
      <c r="Q144" s="87" t="s">
        <v>40</v>
      </c>
      <c r="R144" s="121" t="s">
        <v>31</v>
      </c>
      <c r="S144" s="87" t="s">
        <v>55</v>
      </c>
      <c r="T144" s="87" t="s">
        <v>70</v>
      </c>
      <c r="U144" s="87" t="s">
        <v>906</v>
      </c>
      <c r="V144" s="87" t="s">
        <v>907</v>
      </c>
      <c r="W144" s="87" t="s">
        <v>909</v>
      </c>
      <c r="X144" s="87" t="s">
        <v>916</v>
      </c>
      <c r="Y144" s="87"/>
      <c r="Z144" s="87"/>
      <c r="AA144" s="87"/>
      <c r="AB144" s="87"/>
      <c r="AC144" s="87"/>
      <c r="AD144" s="87"/>
      <c r="AE144" s="87" t="s">
        <v>465</v>
      </c>
      <c r="AF144" s="87" t="s">
        <v>465</v>
      </c>
      <c r="AG144" s="87"/>
      <c r="AH144" s="87"/>
      <c r="AI144" s="87"/>
      <c r="AJ144" s="27" t="s">
        <v>102</v>
      </c>
      <c r="AK144" s="18"/>
      <c r="AL144" s="18"/>
      <c r="AM144" s="18"/>
      <c r="AN144" s="18"/>
    </row>
    <row r="145" spans="1:40" ht="14.25" customHeight="1" x14ac:dyDescent="0.35">
      <c r="A145" s="26" t="s">
        <v>925</v>
      </c>
      <c r="B145" s="100" t="s">
        <v>931</v>
      </c>
      <c r="C145" s="110" t="s">
        <v>462</v>
      </c>
      <c r="D145" s="116" t="s">
        <v>466</v>
      </c>
      <c r="E145" s="86" t="s">
        <v>467</v>
      </c>
      <c r="F145" s="86" t="s">
        <v>108</v>
      </c>
      <c r="G145" s="86" t="s">
        <v>901</v>
      </c>
      <c r="H145" s="86"/>
      <c r="I145" s="86" t="s">
        <v>5</v>
      </c>
      <c r="J145" s="86" t="s">
        <v>98</v>
      </c>
      <c r="K145" s="86">
        <v>20</v>
      </c>
      <c r="L145" s="86">
        <v>1</v>
      </c>
      <c r="M145" s="87">
        <v>1989</v>
      </c>
      <c r="N145" s="88">
        <f t="shared" si="3"/>
        <v>32528</v>
      </c>
      <c r="O145" s="25" t="e">
        <f>IF(L145&gt;#REF!,#REF!-M145-1,#REF!-M145)</f>
        <v>#REF!</v>
      </c>
      <c r="P145" s="25" t="e">
        <f t="shared" si="0"/>
        <v>#REF!</v>
      </c>
      <c r="Q145" s="87" t="s">
        <v>40</v>
      </c>
      <c r="R145" s="121" t="s">
        <v>35</v>
      </c>
      <c r="S145" s="87" t="s">
        <v>62</v>
      </c>
      <c r="T145" s="87" t="s">
        <v>65</v>
      </c>
      <c r="U145" s="87" t="s">
        <v>906</v>
      </c>
      <c r="V145" s="87" t="s">
        <v>907</v>
      </c>
      <c r="W145" s="87" t="s">
        <v>909</v>
      </c>
      <c r="X145" s="87" t="s">
        <v>916</v>
      </c>
      <c r="Y145" s="87"/>
      <c r="Z145" s="87"/>
      <c r="AA145" s="87"/>
      <c r="AB145" s="87"/>
      <c r="AC145" s="87"/>
      <c r="AD145" s="87"/>
      <c r="AE145" s="87" t="s">
        <v>465</v>
      </c>
      <c r="AF145" s="87" t="s">
        <v>465</v>
      </c>
      <c r="AG145" s="87"/>
      <c r="AH145" s="87"/>
      <c r="AI145" s="87"/>
      <c r="AJ145" s="27" t="s">
        <v>102</v>
      </c>
      <c r="AK145" s="18"/>
      <c r="AL145" s="18"/>
      <c r="AM145" s="18"/>
      <c r="AN145" s="18"/>
    </row>
    <row r="146" spans="1:40" ht="14.25" customHeight="1" x14ac:dyDescent="0.35">
      <c r="A146" s="26" t="s">
        <v>925</v>
      </c>
      <c r="B146" s="100" t="s">
        <v>931</v>
      </c>
      <c r="C146" s="110" t="s">
        <v>462</v>
      </c>
      <c r="D146" s="116" t="s">
        <v>468</v>
      </c>
      <c r="E146" s="86" t="s">
        <v>469</v>
      </c>
      <c r="F146" s="86" t="s">
        <v>108</v>
      </c>
      <c r="G146" s="86" t="s">
        <v>901</v>
      </c>
      <c r="H146" s="86"/>
      <c r="I146" s="86" t="s">
        <v>4</v>
      </c>
      <c r="J146" s="86" t="s">
        <v>98</v>
      </c>
      <c r="K146" s="86">
        <v>13</v>
      </c>
      <c r="L146" s="86">
        <v>9</v>
      </c>
      <c r="M146" s="87">
        <v>1990</v>
      </c>
      <c r="N146" s="88">
        <f t="shared" si="3"/>
        <v>33129</v>
      </c>
      <c r="O146" s="25" t="e">
        <f>IF(L146&gt;#REF!,#REF!-M146-1,#REF!-M146)</f>
        <v>#REF!</v>
      </c>
      <c r="P146" s="25" t="e">
        <f t="shared" si="0"/>
        <v>#REF!</v>
      </c>
      <c r="Q146" s="87" t="s">
        <v>40</v>
      </c>
      <c r="R146" s="121" t="s">
        <v>35</v>
      </c>
      <c r="S146" s="87" t="s">
        <v>62</v>
      </c>
      <c r="T146" s="87" t="s">
        <v>65</v>
      </c>
      <c r="U146" s="87" t="s">
        <v>906</v>
      </c>
      <c r="V146" s="87" t="s">
        <v>907</v>
      </c>
      <c r="W146" s="87" t="s">
        <v>909</v>
      </c>
      <c r="X146" s="87" t="s">
        <v>916</v>
      </c>
      <c r="Y146" s="87"/>
      <c r="Z146" s="87"/>
      <c r="AA146" s="87"/>
      <c r="AB146" s="87"/>
      <c r="AC146" s="87"/>
      <c r="AD146" s="87"/>
      <c r="AE146" s="87" t="s">
        <v>465</v>
      </c>
      <c r="AF146" s="87" t="s">
        <v>465</v>
      </c>
      <c r="AG146" s="87"/>
      <c r="AH146" s="87"/>
      <c r="AI146" s="87"/>
      <c r="AJ146" s="27" t="s">
        <v>102</v>
      </c>
      <c r="AK146" s="18"/>
      <c r="AL146" s="18"/>
      <c r="AM146" s="18"/>
      <c r="AN146" s="18"/>
    </row>
    <row r="147" spans="1:40" ht="14.25" customHeight="1" x14ac:dyDescent="0.35">
      <c r="A147" s="26" t="s">
        <v>925</v>
      </c>
      <c r="B147" s="101" t="s">
        <v>933</v>
      </c>
      <c r="C147" s="111" t="s">
        <v>470</v>
      </c>
      <c r="D147" s="117" t="s">
        <v>471</v>
      </c>
      <c r="E147" s="90" t="s">
        <v>472</v>
      </c>
      <c r="F147" s="90" t="s">
        <v>97</v>
      </c>
      <c r="G147" s="86" t="s">
        <v>901</v>
      </c>
      <c r="H147" s="90"/>
      <c r="I147" s="90" t="s">
        <v>4</v>
      </c>
      <c r="J147" s="90" t="s">
        <v>473</v>
      </c>
      <c r="K147" s="86">
        <v>31</v>
      </c>
      <c r="L147" s="86">
        <v>12</v>
      </c>
      <c r="M147" s="87">
        <v>1953</v>
      </c>
      <c r="N147" s="88">
        <f t="shared" si="3"/>
        <v>19724</v>
      </c>
      <c r="O147" s="25" t="e">
        <f>IF(L147&gt;#REF!,#REF!-M147-1,#REF!-M147)</f>
        <v>#REF!</v>
      </c>
      <c r="P147" s="25" t="e">
        <f t="shared" si="0"/>
        <v>#REF!</v>
      </c>
      <c r="Q147" s="87" t="s">
        <v>40</v>
      </c>
      <c r="R147" s="121" t="s">
        <v>31</v>
      </c>
      <c r="S147" s="87" t="s">
        <v>62</v>
      </c>
      <c r="T147" s="87" t="s">
        <v>67</v>
      </c>
      <c r="U147" s="87" t="s">
        <v>906</v>
      </c>
      <c r="V147" s="87" t="s">
        <v>907</v>
      </c>
      <c r="W147" s="87" t="s">
        <v>909</v>
      </c>
      <c r="X147" s="87" t="s">
        <v>916</v>
      </c>
      <c r="Y147" s="87"/>
      <c r="Z147" s="87"/>
      <c r="AA147" s="87"/>
      <c r="AB147" s="87"/>
      <c r="AC147" s="87"/>
      <c r="AD147" s="87"/>
      <c r="AE147" s="87" t="s">
        <v>400</v>
      </c>
      <c r="AF147" s="87" t="s">
        <v>400</v>
      </c>
      <c r="AG147" s="87"/>
      <c r="AH147" s="87"/>
      <c r="AI147" s="87"/>
      <c r="AJ147" s="27" t="s">
        <v>102</v>
      </c>
      <c r="AK147" s="18"/>
      <c r="AL147" s="18"/>
      <c r="AM147" s="18"/>
      <c r="AN147" s="18"/>
    </row>
    <row r="148" spans="1:40" ht="14.25" customHeight="1" x14ac:dyDescent="0.35">
      <c r="A148" s="26" t="s">
        <v>925</v>
      </c>
      <c r="B148" s="101" t="s">
        <v>933</v>
      </c>
      <c r="C148" s="110" t="s">
        <v>470</v>
      </c>
      <c r="D148" s="116" t="s">
        <v>474</v>
      </c>
      <c r="E148" s="86" t="s">
        <v>475</v>
      </c>
      <c r="F148" s="86" t="s">
        <v>105</v>
      </c>
      <c r="G148" s="86" t="s">
        <v>901</v>
      </c>
      <c r="H148" s="86"/>
      <c r="I148" s="86" t="s">
        <v>5</v>
      </c>
      <c r="J148" s="86" t="s">
        <v>98</v>
      </c>
      <c r="K148" s="86">
        <v>15</v>
      </c>
      <c r="L148" s="86">
        <v>6</v>
      </c>
      <c r="M148" s="87">
        <v>1967</v>
      </c>
      <c r="N148" s="88">
        <f t="shared" si="3"/>
        <v>24638</v>
      </c>
      <c r="O148" s="25" t="e">
        <f>IF(L148&gt;#REF!,#REF!-M148-1,#REF!-M148)</f>
        <v>#REF!</v>
      </c>
      <c r="P148" s="25" t="e">
        <f t="shared" si="0"/>
        <v>#REF!</v>
      </c>
      <c r="Q148" s="87" t="s">
        <v>40</v>
      </c>
      <c r="R148" s="121" t="s">
        <v>31</v>
      </c>
      <c r="S148" s="87" t="s">
        <v>54</v>
      </c>
      <c r="T148" s="87" t="s">
        <v>67</v>
      </c>
      <c r="U148" s="87" t="s">
        <v>906</v>
      </c>
      <c r="V148" s="87" t="s">
        <v>907</v>
      </c>
      <c r="W148" s="87" t="s">
        <v>909</v>
      </c>
      <c r="X148" s="87" t="s">
        <v>916</v>
      </c>
      <c r="Y148" s="87"/>
      <c r="Z148" s="87"/>
      <c r="AA148" s="87"/>
      <c r="AB148" s="87"/>
      <c r="AC148" s="87"/>
      <c r="AD148" s="87"/>
      <c r="AE148" s="87" t="s">
        <v>400</v>
      </c>
      <c r="AF148" s="87" t="s">
        <v>400</v>
      </c>
      <c r="AG148" s="87"/>
      <c r="AH148" s="87"/>
      <c r="AI148" s="87"/>
      <c r="AJ148" s="27" t="s">
        <v>102</v>
      </c>
      <c r="AK148" s="18"/>
      <c r="AL148" s="18"/>
      <c r="AM148" s="18"/>
      <c r="AN148" s="18"/>
    </row>
    <row r="149" spans="1:40" ht="14.25" customHeight="1" x14ac:dyDescent="0.35">
      <c r="A149" s="26" t="s">
        <v>925</v>
      </c>
      <c r="B149" s="101" t="s">
        <v>933</v>
      </c>
      <c r="C149" s="111" t="s">
        <v>470</v>
      </c>
      <c r="D149" s="117" t="s">
        <v>412</v>
      </c>
      <c r="E149" s="90" t="s">
        <v>413</v>
      </c>
      <c r="F149" s="90" t="s">
        <v>108</v>
      </c>
      <c r="G149" s="86" t="s">
        <v>901</v>
      </c>
      <c r="H149" s="90"/>
      <c r="I149" s="90" t="s">
        <v>5</v>
      </c>
      <c r="J149" s="90" t="s">
        <v>98</v>
      </c>
      <c r="K149" s="86">
        <v>23</v>
      </c>
      <c r="L149" s="86">
        <v>1</v>
      </c>
      <c r="M149" s="87">
        <v>1982</v>
      </c>
      <c r="N149" s="88">
        <f t="shared" si="3"/>
        <v>29974</v>
      </c>
      <c r="O149" s="25" t="e">
        <f>IF(L149&gt;#REF!,#REF!-M149-1,#REF!-M149)</f>
        <v>#REF!</v>
      </c>
      <c r="P149" s="25" t="e">
        <f t="shared" si="0"/>
        <v>#REF!</v>
      </c>
      <c r="Q149" s="87" t="s">
        <v>40</v>
      </c>
      <c r="R149" s="121" t="s">
        <v>35</v>
      </c>
      <c r="S149" s="87" t="s">
        <v>55</v>
      </c>
      <c r="T149" s="87" t="s">
        <v>65</v>
      </c>
      <c r="U149" s="87" t="s">
        <v>906</v>
      </c>
      <c r="V149" s="87" t="s">
        <v>907</v>
      </c>
      <c r="W149" s="87" t="s">
        <v>909</v>
      </c>
      <c r="X149" s="87" t="s">
        <v>916</v>
      </c>
      <c r="Y149" s="87"/>
      <c r="Z149" s="87"/>
      <c r="AA149" s="87"/>
      <c r="AB149" s="87"/>
      <c r="AC149" s="87"/>
      <c r="AD149" s="87"/>
      <c r="AE149" s="87" t="s">
        <v>400</v>
      </c>
      <c r="AF149" s="87" t="s">
        <v>400</v>
      </c>
      <c r="AG149" s="87"/>
      <c r="AH149" s="87"/>
      <c r="AI149" s="87"/>
      <c r="AJ149" s="27" t="s">
        <v>102</v>
      </c>
      <c r="AK149" s="18"/>
      <c r="AL149" s="18"/>
      <c r="AM149" s="18"/>
      <c r="AN149" s="18"/>
    </row>
    <row r="150" spans="1:40" ht="14.25" customHeight="1" x14ac:dyDescent="0.35">
      <c r="A150" s="26" t="s">
        <v>925</v>
      </c>
      <c r="B150" s="101" t="s">
        <v>931</v>
      </c>
      <c r="C150" s="110" t="s">
        <v>470</v>
      </c>
      <c r="D150" s="116" t="s">
        <v>476</v>
      </c>
      <c r="E150" s="86" t="s">
        <v>477</v>
      </c>
      <c r="F150" s="86" t="s">
        <v>108</v>
      </c>
      <c r="G150" s="86" t="s">
        <v>901</v>
      </c>
      <c r="H150" s="86"/>
      <c r="I150" s="86" t="s">
        <v>4</v>
      </c>
      <c r="J150" s="86" t="s">
        <v>98</v>
      </c>
      <c r="K150" s="86">
        <v>24</v>
      </c>
      <c r="L150" s="86">
        <v>8</v>
      </c>
      <c r="M150" s="87">
        <v>1995</v>
      </c>
      <c r="N150" s="88">
        <f t="shared" si="3"/>
        <v>34935</v>
      </c>
      <c r="O150" s="25" t="e">
        <f>IF(L150&gt;#REF!,#REF!-M150-1,#REF!-M150)</f>
        <v>#REF!</v>
      </c>
      <c r="P150" s="25" t="e">
        <f t="shared" si="0"/>
        <v>#REF!</v>
      </c>
      <c r="Q150" s="87" t="s">
        <v>40</v>
      </c>
      <c r="R150" s="121" t="s">
        <v>33</v>
      </c>
      <c r="S150" s="87" t="s">
        <v>57</v>
      </c>
      <c r="T150" s="87" t="s">
        <v>65</v>
      </c>
      <c r="U150" s="87" t="s">
        <v>906</v>
      </c>
      <c r="V150" s="87" t="s">
        <v>907</v>
      </c>
      <c r="W150" s="87" t="s">
        <v>909</v>
      </c>
      <c r="X150" s="87" t="s">
        <v>916</v>
      </c>
      <c r="Y150" s="87"/>
      <c r="Z150" s="87"/>
      <c r="AA150" s="87"/>
      <c r="AB150" s="87"/>
      <c r="AC150" s="87"/>
      <c r="AD150" s="87"/>
      <c r="AE150" s="87" t="s">
        <v>400</v>
      </c>
      <c r="AF150" s="87" t="s">
        <v>400</v>
      </c>
      <c r="AG150" s="87"/>
      <c r="AH150" s="87"/>
      <c r="AI150" s="87"/>
      <c r="AJ150" s="27" t="s">
        <v>102</v>
      </c>
      <c r="AK150" s="18"/>
      <c r="AL150" s="18"/>
      <c r="AM150" s="18"/>
      <c r="AN150" s="18"/>
    </row>
    <row r="151" spans="1:40" ht="14.25" customHeight="1" x14ac:dyDescent="0.35">
      <c r="A151" s="26" t="s">
        <v>925</v>
      </c>
      <c r="B151" s="101" t="s">
        <v>931</v>
      </c>
      <c r="C151" s="110" t="s">
        <v>478</v>
      </c>
      <c r="D151" s="116" t="s">
        <v>479</v>
      </c>
      <c r="E151" s="91" t="s">
        <v>480</v>
      </c>
      <c r="F151" s="86" t="s">
        <v>97</v>
      </c>
      <c r="G151" s="86" t="s">
        <v>901</v>
      </c>
      <c r="H151" s="86"/>
      <c r="I151" s="86" t="s">
        <v>4</v>
      </c>
      <c r="J151" s="86" t="s">
        <v>98</v>
      </c>
      <c r="K151" s="86">
        <v>27</v>
      </c>
      <c r="L151" s="86">
        <v>11</v>
      </c>
      <c r="M151" s="87">
        <v>1990</v>
      </c>
      <c r="N151" s="88">
        <f t="shared" si="3"/>
        <v>33204</v>
      </c>
      <c r="O151" s="25" t="e">
        <f>IF(L151&gt;#REF!,#REF!-M151-1,#REF!-M151)</f>
        <v>#REF!</v>
      </c>
      <c r="P151" s="25" t="e">
        <f t="shared" si="0"/>
        <v>#REF!</v>
      </c>
      <c r="Q151" s="87" t="s">
        <v>40</v>
      </c>
      <c r="R151" s="121" t="s">
        <v>35</v>
      </c>
      <c r="S151" s="87" t="s">
        <v>53</v>
      </c>
      <c r="T151" s="87" t="s">
        <v>67</v>
      </c>
      <c r="U151" s="87" t="s">
        <v>906</v>
      </c>
      <c r="V151" s="87" t="s">
        <v>907</v>
      </c>
      <c r="W151" s="87" t="s">
        <v>909</v>
      </c>
      <c r="X151" s="87" t="s">
        <v>916</v>
      </c>
      <c r="Y151" s="87"/>
      <c r="Z151" s="87"/>
      <c r="AA151" s="87"/>
      <c r="AB151" s="87"/>
      <c r="AC151" s="87"/>
      <c r="AD151" s="87"/>
      <c r="AE151" s="87" t="s">
        <v>481</v>
      </c>
      <c r="AF151" s="87" t="s">
        <v>481</v>
      </c>
      <c r="AG151" s="87"/>
      <c r="AH151" s="87"/>
      <c r="AI151" s="87"/>
      <c r="AJ151" s="27" t="s">
        <v>102</v>
      </c>
      <c r="AK151" s="18"/>
      <c r="AL151" s="18"/>
      <c r="AM151" s="18"/>
      <c r="AN151" s="18"/>
    </row>
    <row r="152" spans="1:40" ht="14.25" customHeight="1" x14ac:dyDescent="0.35">
      <c r="A152" s="26" t="s">
        <v>925</v>
      </c>
      <c r="B152" s="101" t="s">
        <v>931</v>
      </c>
      <c r="C152" s="110" t="s">
        <v>478</v>
      </c>
      <c r="D152" s="116" t="s">
        <v>482</v>
      </c>
      <c r="E152" s="91" t="s">
        <v>483</v>
      </c>
      <c r="F152" s="86" t="s">
        <v>105</v>
      </c>
      <c r="G152" s="86" t="s">
        <v>901</v>
      </c>
      <c r="H152" s="86"/>
      <c r="I152" s="86" t="s">
        <v>5</v>
      </c>
      <c r="J152" s="86" t="s">
        <v>98</v>
      </c>
      <c r="K152" s="86">
        <v>15</v>
      </c>
      <c r="L152" s="86">
        <v>2</v>
      </c>
      <c r="M152" s="87">
        <v>1990</v>
      </c>
      <c r="N152" s="88">
        <f t="shared" si="3"/>
        <v>32919</v>
      </c>
      <c r="O152" s="25" t="e">
        <f>IF(L152&gt;#REF!,#REF!-M152-1,#REF!-M152)</f>
        <v>#REF!</v>
      </c>
      <c r="P152" s="25" t="e">
        <f t="shared" si="0"/>
        <v>#REF!</v>
      </c>
      <c r="Q152" s="87" t="s">
        <v>40</v>
      </c>
      <c r="R152" s="121" t="s">
        <v>34</v>
      </c>
      <c r="S152" s="87" t="s">
        <v>54</v>
      </c>
      <c r="T152" s="87" t="s">
        <v>67</v>
      </c>
      <c r="U152" s="87" t="s">
        <v>906</v>
      </c>
      <c r="V152" s="87" t="s">
        <v>907</v>
      </c>
      <c r="W152" s="87" t="s">
        <v>909</v>
      </c>
      <c r="X152" s="87" t="s">
        <v>916</v>
      </c>
      <c r="Y152" s="87"/>
      <c r="Z152" s="87"/>
      <c r="AA152" s="87"/>
      <c r="AB152" s="87"/>
      <c r="AC152" s="87"/>
      <c r="AD152" s="87"/>
      <c r="AE152" s="87" t="s">
        <v>484</v>
      </c>
      <c r="AF152" s="87" t="s">
        <v>484</v>
      </c>
      <c r="AG152" s="87"/>
      <c r="AH152" s="87"/>
      <c r="AI152" s="87"/>
      <c r="AJ152" s="18"/>
      <c r="AK152" s="18"/>
      <c r="AL152" s="18"/>
      <c r="AM152" s="18"/>
      <c r="AN152" s="18"/>
    </row>
    <row r="153" spans="1:40" ht="14.25" customHeight="1" x14ac:dyDescent="0.35">
      <c r="A153" s="26" t="s">
        <v>925</v>
      </c>
      <c r="B153" s="101" t="s">
        <v>931</v>
      </c>
      <c r="C153" s="110" t="s">
        <v>478</v>
      </c>
      <c r="D153" s="116" t="s">
        <v>485</v>
      </c>
      <c r="E153" s="91" t="s">
        <v>486</v>
      </c>
      <c r="F153" s="86" t="s">
        <v>108</v>
      </c>
      <c r="G153" s="86" t="s">
        <v>901</v>
      </c>
      <c r="H153" s="86"/>
      <c r="I153" s="86" t="s">
        <v>4</v>
      </c>
      <c r="J153" s="86" t="s">
        <v>98</v>
      </c>
      <c r="K153" s="86">
        <v>11</v>
      </c>
      <c r="L153" s="86">
        <v>3</v>
      </c>
      <c r="M153" s="87">
        <v>2016</v>
      </c>
      <c r="N153" s="88">
        <f t="shared" si="3"/>
        <v>42440</v>
      </c>
      <c r="O153" s="25" t="e">
        <f>IF(L153&gt;#REF!,#REF!-M153-1,#REF!-M153)</f>
        <v>#REF!</v>
      </c>
      <c r="P153" s="25" t="e">
        <f t="shared" si="0"/>
        <v>#REF!</v>
      </c>
      <c r="Q153" s="87" t="s">
        <v>40</v>
      </c>
      <c r="R153" s="121" t="s">
        <v>28</v>
      </c>
      <c r="S153" s="87" t="s">
        <v>48</v>
      </c>
      <c r="T153" s="87" t="s">
        <v>65</v>
      </c>
      <c r="U153" s="87" t="s">
        <v>906</v>
      </c>
      <c r="V153" s="87" t="s">
        <v>907</v>
      </c>
      <c r="W153" s="87" t="s">
        <v>909</v>
      </c>
      <c r="X153" s="87" t="s">
        <v>916</v>
      </c>
      <c r="Y153" s="87"/>
      <c r="Z153" s="87"/>
      <c r="AA153" s="87"/>
      <c r="AB153" s="87"/>
      <c r="AC153" s="87"/>
      <c r="AD153" s="87"/>
      <c r="AE153" s="87" t="s">
        <v>487</v>
      </c>
      <c r="AF153" s="87" t="s">
        <v>487</v>
      </c>
      <c r="AG153" s="87"/>
      <c r="AH153" s="87"/>
      <c r="AI153" s="87"/>
      <c r="AJ153" s="18"/>
      <c r="AK153" s="18"/>
      <c r="AL153" s="18"/>
      <c r="AM153" s="18"/>
      <c r="AN153" s="18"/>
    </row>
    <row r="154" spans="1:40" ht="14.25" customHeight="1" x14ac:dyDescent="0.35">
      <c r="A154" s="26" t="s">
        <v>925</v>
      </c>
      <c r="B154" s="101" t="s">
        <v>931</v>
      </c>
      <c r="C154" s="110" t="s">
        <v>488</v>
      </c>
      <c r="D154" s="116" t="s">
        <v>489</v>
      </c>
      <c r="E154" s="86" t="s">
        <v>490</v>
      </c>
      <c r="F154" s="86" t="s">
        <v>97</v>
      </c>
      <c r="G154" s="86" t="s">
        <v>901</v>
      </c>
      <c r="H154" s="86"/>
      <c r="I154" s="86" t="s">
        <v>5</v>
      </c>
      <c r="J154" s="86" t="s">
        <v>98</v>
      </c>
      <c r="K154" s="86">
        <v>15</v>
      </c>
      <c r="L154" s="86">
        <v>8</v>
      </c>
      <c r="M154" s="87">
        <v>1973</v>
      </c>
      <c r="N154" s="88">
        <f t="shared" si="3"/>
        <v>26891</v>
      </c>
      <c r="O154" s="25" t="e">
        <f>IF(L154&gt;#REF!,#REF!-M154-1,#REF!-M154)</f>
        <v>#REF!</v>
      </c>
      <c r="P154" s="25" t="e">
        <f t="shared" si="0"/>
        <v>#REF!</v>
      </c>
      <c r="Q154" s="87" t="s">
        <v>40</v>
      </c>
      <c r="R154" s="121" t="s">
        <v>31</v>
      </c>
      <c r="S154" s="87" t="s">
        <v>49</v>
      </c>
      <c r="T154" s="87" t="s">
        <v>69</v>
      </c>
      <c r="U154" s="87" t="s">
        <v>906</v>
      </c>
      <c r="V154" s="87" t="s">
        <v>907</v>
      </c>
      <c r="W154" s="87" t="s">
        <v>909</v>
      </c>
      <c r="X154" s="87" t="s">
        <v>916</v>
      </c>
      <c r="Y154" s="87"/>
      <c r="Z154" s="87"/>
      <c r="AA154" s="87"/>
      <c r="AB154" s="87"/>
      <c r="AC154" s="87"/>
      <c r="AD154" s="87"/>
      <c r="AE154" s="87" t="s">
        <v>400</v>
      </c>
      <c r="AF154" s="87" t="s">
        <v>400</v>
      </c>
      <c r="AG154" s="87"/>
      <c r="AH154" s="87"/>
      <c r="AI154" s="87"/>
      <c r="AJ154" s="18"/>
      <c r="AK154" s="18"/>
      <c r="AL154" s="18"/>
      <c r="AM154" s="18"/>
      <c r="AN154" s="18"/>
    </row>
    <row r="155" spans="1:40" ht="14.25" customHeight="1" x14ac:dyDescent="0.35">
      <c r="A155" s="26" t="s">
        <v>925</v>
      </c>
      <c r="B155" s="101" t="s">
        <v>931</v>
      </c>
      <c r="C155" s="110" t="s">
        <v>488</v>
      </c>
      <c r="D155" s="116" t="s">
        <v>491</v>
      </c>
      <c r="E155" s="86" t="s">
        <v>492</v>
      </c>
      <c r="F155" s="86" t="s">
        <v>105</v>
      </c>
      <c r="G155" s="86" t="s">
        <v>901</v>
      </c>
      <c r="H155" s="86"/>
      <c r="I155" s="86" t="s">
        <v>5</v>
      </c>
      <c r="J155" s="86" t="s">
        <v>98</v>
      </c>
      <c r="K155" s="86">
        <v>31</v>
      </c>
      <c r="L155" s="86">
        <v>8</v>
      </c>
      <c r="M155" s="87">
        <v>2005</v>
      </c>
      <c r="N155" s="88">
        <f t="shared" si="3"/>
        <v>38595</v>
      </c>
      <c r="O155" s="25" t="e">
        <f>IF(L155&gt;#REF!,#REF!-M155-1,#REF!-M155)</f>
        <v>#REF!</v>
      </c>
      <c r="P155" s="25" t="e">
        <f t="shared" si="0"/>
        <v>#REF!</v>
      </c>
      <c r="Q155" s="87" t="s">
        <v>40</v>
      </c>
      <c r="R155" s="121" t="s">
        <v>31</v>
      </c>
      <c r="S155" s="87" t="s">
        <v>57</v>
      </c>
      <c r="T155" s="87" t="s">
        <v>65</v>
      </c>
      <c r="U155" s="87" t="s">
        <v>906</v>
      </c>
      <c r="V155" s="87" t="s">
        <v>907</v>
      </c>
      <c r="W155" s="87" t="s">
        <v>909</v>
      </c>
      <c r="X155" s="87" t="s">
        <v>916</v>
      </c>
      <c r="Y155" s="87"/>
      <c r="Z155" s="87"/>
      <c r="AA155" s="87"/>
      <c r="AB155" s="87"/>
      <c r="AC155" s="87"/>
      <c r="AD155" s="87"/>
      <c r="AE155" s="87" t="s">
        <v>400</v>
      </c>
      <c r="AF155" s="87" t="s">
        <v>400</v>
      </c>
      <c r="AG155" s="87"/>
      <c r="AH155" s="87"/>
      <c r="AI155" s="87"/>
      <c r="AJ155" s="18"/>
      <c r="AK155" s="18"/>
      <c r="AL155" s="18"/>
      <c r="AM155" s="18"/>
      <c r="AN155" s="18"/>
    </row>
    <row r="156" spans="1:40" ht="14.25" customHeight="1" x14ac:dyDescent="0.35">
      <c r="A156" s="26" t="s">
        <v>925</v>
      </c>
      <c r="B156" s="101" t="s">
        <v>931</v>
      </c>
      <c r="C156" s="110" t="s">
        <v>488</v>
      </c>
      <c r="D156" s="116" t="s">
        <v>493</v>
      </c>
      <c r="E156" s="86" t="s">
        <v>494</v>
      </c>
      <c r="F156" s="86" t="s">
        <v>108</v>
      </c>
      <c r="G156" s="86" t="s">
        <v>901</v>
      </c>
      <c r="H156" s="86"/>
      <c r="I156" s="86" t="s">
        <v>5</v>
      </c>
      <c r="J156" s="86" t="s">
        <v>98</v>
      </c>
      <c r="K156" s="86">
        <v>1</v>
      </c>
      <c r="L156" s="86">
        <v>2</v>
      </c>
      <c r="M156" s="87">
        <v>1951</v>
      </c>
      <c r="N156" s="88">
        <f t="shared" si="3"/>
        <v>18660</v>
      </c>
      <c r="O156" s="25" t="e">
        <f>IF(L156&gt;#REF!,#REF!-M156-1,#REF!-M156)</f>
        <v>#REF!</v>
      </c>
      <c r="P156" s="25" t="e">
        <f t="shared" si="0"/>
        <v>#REF!</v>
      </c>
      <c r="Q156" s="87" t="s">
        <v>40</v>
      </c>
      <c r="R156" s="121" t="s">
        <v>28</v>
      </c>
      <c r="S156" s="87" t="s">
        <v>48</v>
      </c>
      <c r="T156" s="87" t="s">
        <v>70</v>
      </c>
      <c r="U156" s="87" t="s">
        <v>906</v>
      </c>
      <c r="V156" s="87" t="s">
        <v>907</v>
      </c>
      <c r="W156" s="87" t="s">
        <v>909</v>
      </c>
      <c r="X156" s="87" t="s">
        <v>916</v>
      </c>
      <c r="Y156" s="87"/>
      <c r="Z156" s="87"/>
      <c r="AA156" s="87"/>
      <c r="AB156" s="87"/>
      <c r="AC156" s="87"/>
      <c r="AD156" s="87"/>
      <c r="AE156" s="87" t="s">
        <v>400</v>
      </c>
      <c r="AF156" s="87" t="s">
        <v>400</v>
      </c>
      <c r="AG156" s="87"/>
      <c r="AH156" s="87"/>
      <c r="AI156" s="87"/>
      <c r="AJ156" s="18"/>
      <c r="AK156" s="18"/>
      <c r="AL156" s="18"/>
      <c r="AM156" s="18"/>
      <c r="AN156" s="18"/>
    </row>
    <row r="157" spans="1:40" ht="13.5" customHeight="1" x14ac:dyDescent="0.35">
      <c r="A157" s="26" t="s">
        <v>925</v>
      </c>
      <c r="B157" s="101" t="s">
        <v>931</v>
      </c>
      <c r="C157" s="111" t="s">
        <v>495</v>
      </c>
      <c r="D157" s="117" t="s">
        <v>496</v>
      </c>
      <c r="E157" s="90" t="s">
        <v>497</v>
      </c>
      <c r="F157" s="90" t="s">
        <v>97</v>
      </c>
      <c r="G157" s="86" t="s">
        <v>901</v>
      </c>
      <c r="H157" s="90"/>
      <c r="I157" s="90" t="s">
        <v>4</v>
      </c>
      <c r="J157" s="90" t="s">
        <v>129</v>
      </c>
      <c r="K157" s="86">
        <v>3</v>
      </c>
      <c r="L157" s="86">
        <v>1</v>
      </c>
      <c r="M157" s="87">
        <v>1949</v>
      </c>
      <c r="N157" s="88">
        <f t="shared" si="3"/>
        <v>17901</v>
      </c>
      <c r="O157" s="25" t="e">
        <f>IF(L157&gt;#REF!,#REF!-M157-1,#REF!-M157)</f>
        <v>#REF!</v>
      </c>
      <c r="P157" s="25" t="e">
        <f t="shared" si="0"/>
        <v>#REF!</v>
      </c>
      <c r="Q157" s="87" t="s">
        <v>40</v>
      </c>
      <c r="R157" s="121" t="s">
        <v>31</v>
      </c>
      <c r="S157" s="87" t="s">
        <v>62</v>
      </c>
      <c r="T157" s="87" t="s">
        <v>71</v>
      </c>
      <c r="U157" s="87" t="s">
        <v>906</v>
      </c>
      <c r="V157" s="87" t="s">
        <v>907</v>
      </c>
      <c r="W157" s="87" t="s">
        <v>909</v>
      </c>
      <c r="X157" s="87" t="s">
        <v>916</v>
      </c>
      <c r="Y157" s="87"/>
      <c r="Z157" s="87"/>
      <c r="AA157" s="87"/>
      <c r="AB157" s="87"/>
      <c r="AC157" s="87"/>
      <c r="AD157" s="87"/>
      <c r="AE157" s="87" t="s">
        <v>400</v>
      </c>
      <c r="AF157" s="87" t="s">
        <v>400</v>
      </c>
      <c r="AG157" s="87"/>
      <c r="AH157" s="87"/>
      <c r="AI157" s="87"/>
      <c r="AJ157" s="18"/>
      <c r="AK157" s="18"/>
      <c r="AL157" s="26"/>
      <c r="AM157" s="18"/>
      <c r="AN157" s="18"/>
    </row>
    <row r="158" spans="1:40" ht="13.5" customHeight="1" x14ac:dyDescent="0.35">
      <c r="A158" s="26" t="s">
        <v>925</v>
      </c>
      <c r="B158" s="101" t="s">
        <v>931</v>
      </c>
      <c r="C158" s="111" t="s">
        <v>495</v>
      </c>
      <c r="D158" s="117" t="s">
        <v>498</v>
      </c>
      <c r="E158" s="90" t="s">
        <v>499</v>
      </c>
      <c r="F158" s="86" t="s">
        <v>105</v>
      </c>
      <c r="G158" s="86" t="s">
        <v>901</v>
      </c>
      <c r="H158" s="86"/>
      <c r="I158" s="90" t="s">
        <v>5</v>
      </c>
      <c r="J158" s="90" t="s">
        <v>129</v>
      </c>
      <c r="K158" s="86">
        <v>7</v>
      </c>
      <c r="L158" s="86">
        <v>1</v>
      </c>
      <c r="M158" s="87">
        <v>1956</v>
      </c>
      <c r="N158" s="88">
        <f t="shared" si="3"/>
        <v>20461</v>
      </c>
      <c r="O158" s="25" t="e">
        <f>IF(L158&gt;#REF!,#REF!-M158-1,#REF!-M158)</f>
        <v>#REF!</v>
      </c>
      <c r="P158" s="25" t="e">
        <f t="shared" si="0"/>
        <v>#REF!</v>
      </c>
      <c r="Q158" s="87" t="s">
        <v>40</v>
      </c>
      <c r="R158" s="121" t="s">
        <v>31</v>
      </c>
      <c r="S158" s="87" t="s">
        <v>62</v>
      </c>
      <c r="T158" s="87" t="s">
        <v>71</v>
      </c>
      <c r="U158" s="87" t="s">
        <v>906</v>
      </c>
      <c r="V158" s="87" t="s">
        <v>907</v>
      </c>
      <c r="W158" s="87" t="s">
        <v>909</v>
      </c>
      <c r="X158" s="87" t="s">
        <v>916</v>
      </c>
      <c r="Y158" s="87"/>
      <c r="Z158" s="87"/>
      <c r="AA158" s="87"/>
      <c r="AB158" s="87"/>
      <c r="AC158" s="87"/>
      <c r="AD158" s="87"/>
      <c r="AE158" s="87" t="s">
        <v>400</v>
      </c>
      <c r="AF158" s="87" t="s">
        <v>400</v>
      </c>
      <c r="AG158" s="87"/>
      <c r="AH158" s="87"/>
      <c r="AI158" s="87"/>
      <c r="AJ158" s="18"/>
      <c r="AK158" s="18"/>
      <c r="AL158" s="26"/>
      <c r="AM158" s="18"/>
      <c r="AN158" s="18"/>
    </row>
    <row r="159" spans="1:40" ht="13.5" customHeight="1" x14ac:dyDescent="0.35">
      <c r="A159" s="26" t="s">
        <v>925</v>
      </c>
      <c r="B159" s="101" t="s">
        <v>931</v>
      </c>
      <c r="C159" s="110" t="s">
        <v>495</v>
      </c>
      <c r="D159" s="116" t="s">
        <v>500</v>
      </c>
      <c r="E159" s="86" t="s">
        <v>501</v>
      </c>
      <c r="F159" s="86" t="s">
        <v>108</v>
      </c>
      <c r="G159" s="86" t="s">
        <v>901</v>
      </c>
      <c r="H159" s="86"/>
      <c r="I159" s="86" t="s">
        <v>5</v>
      </c>
      <c r="J159" s="86" t="s">
        <v>98</v>
      </c>
      <c r="K159" s="86">
        <v>16</v>
      </c>
      <c r="L159" s="86">
        <v>3</v>
      </c>
      <c r="M159" s="87">
        <v>1994</v>
      </c>
      <c r="N159" s="88">
        <f t="shared" si="3"/>
        <v>34409</v>
      </c>
      <c r="O159" s="25" t="e">
        <f>IF(L159&gt;#REF!,#REF!-M159-1,#REF!-M159)</f>
        <v>#REF!</v>
      </c>
      <c r="P159" s="25" t="e">
        <f t="shared" si="0"/>
        <v>#REF!</v>
      </c>
      <c r="Q159" s="87" t="s">
        <v>40</v>
      </c>
      <c r="R159" s="121" t="s">
        <v>28</v>
      </c>
      <c r="S159" s="87" t="s">
        <v>48</v>
      </c>
      <c r="T159" s="87" t="s">
        <v>65</v>
      </c>
      <c r="U159" s="87" t="s">
        <v>906</v>
      </c>
      <c r="V159" s="87" t="s">
        <v>907</v>
      </c>
      <c r="W159" s="87" t="s">
        <v>909</v>
      </c>
      <c r="X159" s="87" t="s">
        <v>916</v>
      </c>
      <c r="Y159" s="87"/>
      <c r="Z159" s="87"/>
      <c r="AA159" s="87"/>
      <c r="AB159" s="87"/>
      <c r="AC159" s="87"/>
      <c r="AD159" s="87"/>
      <c r="AE159" s="87" t="s">
        <v>400</v>
      </c>
      <c r="AF159" s="87" t="s">
        <v>400</v>
      </c>
      <c r="AG159" s="87"/>
      <c r="AH159" s="87"/>
      <c r="AI159" s="87"/>
      <c r="AJ159" s="18"/>
      <c r="AK159" s="18"/>
      <c r="AL159" s="26"/>
      <c r="AM159" s="18"/>
      <c r="AN159" s="18"/>
    </row>
    <row r="160" spans="1:40" ht="13.5" customHeight="1" x14ac:dyDescent="0.35">
      <c r="A160" s="26" t="s">
        <v>925</v>
      </c>
      <c r="B160" s="101" t="s">
        <v>931</v>
      </c>
      <c r="C160" s="110" t="s">
        <v>495</v>
      </c>
      <c r="D160" s="116" t="s">
        <v>502</v>
      </c>
      <c r="E160" s="86" t="s">
        <v>503</v>
      </c>
      <c r="F160" s="86" t="s">
        <v>108</v>
      </c>
      <c r="G160" s="86" t="s">
        <v>901</v>
      </c>
      <c r="H160" s="86"/>
      <c r="I160" s="86" t="s">
        <v>5</v>
      </c>
      <c r="J160" s="86" t="s">
        <v>98</v>
      </c>
      <c r="K160" s="86">
        <v>10</v>
      </c>
      <c r="L160" s="86">
        <v>9</v>
      </c>
      <c r="M160" s="87">
        <v>1999</v>
      </c>
      <c r="N160" s="88">
        <f t="shared" si="3"/>
        <v>36413</v>
      </c>
      <c r="O160" s="25" t="e">
        <f>IF(L160&gt;#REF!,#REF!-M160-1,#REF!-M160)</f>
        <v>#REF!</v>
      </c>
      <c r="P160" s="25" t="e">
        <f t="shared" si="0"/>
        <v>#REF!</v>
      </c>
      <c r="Q160" s="87" t="s">
        <v>40</v>
      </c>
      <c r="R160" s="121" t="s">
        <v>30</v>
      </c>
      <c r="S160" s="87" t="s">
        <v>57</v>
      </c>
      <c r="T160" s="87" t="s">
        <v>65</v>
      </c>
      <c r="U160" s="87" t="s">
        <v>906</v>
      </c>
      <c r="V160" s="87" t="s">
        <v>907</v>
      </c>
      <c r="W160" s="87" t="s">
        <v>909</v>
      </c>
      <c r="X160" s="87" t="s">
        <v>916</v>
      </c>
      <c r="Y160" s="87"/>
      <c r="Z160" s="87"/>
      <c r="AA160" s="87"/>
      <c r="AB160" s="87"/>
      <c r="AC160" s="87"/>
      <c r="AD160" s="87"/>
      <c r="AE160" s="87" t="s">
        <v>400</v>
      </c>
      <c r="AF160" s="87" t="s">
        <v>400</v>
      </c>
      <c r="AG160" s="87"/>
      <c r="AH160" s="87"/>
      <c r="AI160" s="87"/>
      <c r="AJ160" s="18"/>
      <c r="AK160" s="18"/>
      <c r="AL160" s="26"/>
      <c r="AM160" s="18"/>
      <c r="AN160" s="18"/>
    </row>
    <row r="161" spans="1:40" ht="13.5" customHeight="1" x14ac:dyDescent="0.35">
      <c r="A161" s="26" t="s">
        <v>925</v>
      </c>
      <c r="B161" s="101" t="s">
        <v>931</v>
      </c>
      <c r="C161" s="110" t="s">
        <v>504</v>
      </c>
      <c r="D161" s="116" t="s">
        <v>505</v>
      </c>
      <c r="E161" s="86" t="s">
        <v>506</v>
      </c>
      <c r="F161" s="86" t="s">
        <v>97</v>
      </c>
      <c r="G161" s="86" t="s">
        <v>901</v>
      </c>
      <c r="H161" s="86"/>
      <c r="I161" s="86" t="s">
        <v>4</v>
      </c>
      <c r="J161" s="86" t="s">
        <v>98</v>
      </c>
      <c r="K161" s="86">
        <v>5</v>
      </c>
      <c r="L161" s="86">
        <v>4</v>
      </c>
      <c r="M161" s="87">
        <v>1988</v>
      </c>
      <c r="N161" s="88">
        <f t="shared" si="3"/>
        <v>32238</v>
      </c>
      <c r="O161" s="25" t="e">
        <f>IF(L161&gt;#REF!,#REF!-M161-1,#REF!-M161)</f>
        <v>#REF!</v>
      </c>
      <c r="P161" s="25" t="e">
        <f t="shared" si="0"/>
        <v>#REF!</v>
      </c>
      <c r="Q161" s="87" t="s">
        <v>40</v>
      </c>
      <c r="R161" s="121" t="s">
        <v>28</v>
      </c>
      <c r="S161" s="87" t="s">
        <v>62</v>
      </c>
      <c r="T161" s="87" t="s">
        <v>67</v>
      </c>
      <c r="U161" s="87" t="s">
        <v>906</v>
      </c>
      <c r="V161" s="87" t="s">
        <v>907</v>
      </c>
      <c r="W161" s="87" t="s">
        <v>909</v>
      </c>
      <c r="X161" s="87" t="s">
        <v>916</v>
      </c>
      <c r="Y161" s="87"/>
      <c r="Z161" s="87"/>
      <c r="AA161" s="87"/>
      <c r="AB161" s="87"/>
      <c r="AC161" s="87"/>
      <c r="AD161" s="87"/>
      <c r="AE161" s="87" t="s">
        <v>400</v>
      </c>
      <c r="AF161" s="87" t="s">
        <v>400</v>
      </c>
      <c r="AG161" s="87"/>
      <c r="AH161" s="87"/>
      <c r="AI161" s="87"/>
      <c r="AJ161" s="18"/>
      <c r="AK161" s="18"/>
      <c r="AL161" s="26"/>
      <c r="AM161" s="18"/>
      <c r="AN161" s="18"/>
    </row>
    <row r="162" spans="1:40" ht="13.5" customHeight="1" x14ac:dyDescent="0.35">
      <c r="A162" s="26" t="s">
        <v>925</v>
      </c>
      <c r="B162" s="101" t="s">
        <v>931</v>
      </c>
      <c r="C162" s="110" t="s">
        <v>504</v>
      </c>
      <c r="D162" s="116" t="s">
        <v>507</v>
      </c>
      <c r="E162" s="86" t="s">
        <v>508</v>
      </c>
      <c r="F162" s="86" t="s">
        <v>105</v>
      </c>
      <c r="G162" s="86" t="s">
        <v>901</v>
      </c>
      <c r="H162" s="86"/>
      <c r="I162" s="86" t="s">
        <v>5</v>
      </c>
      <c r="J162" s="86" t="s">
        <v>509</v>
      </c>
      <c r="K162" s="86">
        <v>6</v>
      </c>
      <c r="L162" s="86">
        <v>4</v>
      </c>
      <c r="M162" s="87">
        <v>1988</v>
      </c>
      <c r="N162" s="88">
        <f t="shared" si="3"/>
        <v>32239</v>
      </c>
      <c r="O162" s="25" t="e">
        <f>IF(L162&gt;#REF!,#REF!-M162-1,#REF!-M162)</f>
        <v>#REF!</v>
      </c>
      <c r="P162" s="25" t="e">
        <f t="shared" si="0"/>
        <v>#REF!</v>
      </c>
      <c r="Q162" s="87" t="s">
        <v>40</v>
      </c>
      <c r="R162" s="121" t="s">
        <v>31</v>
      </c>
      <c r="S162" s="87" t="s">
        <v>54</v>
      </c>
      <c r="T162" s="87" t="s">
        <v>67</v>
      </c>
      <c r="U162" s="87" t="s">
        <v>906</v>
      </c>
      <c r="V162" s="87" t="s">
        <v>907</v>
      </c>
      <c r="W162" s="87" t="s">
        <v>909</v>
      </c>
      <c r="X162" s="87" t="s">
        <v>916</v>
      </c>
      <c r="Y162" s="87"/>
      <c r="Z162" s="87"/>
      <c r="AA162" s="87"/>
      <c r="AB162" s="87"/>
      <c r="AC162" s="87"/>
      <c r="AD162" s="87"/>
      <c r="AE162" s="87" t="s">
        <v>400</v>
      </c>
      <c r="AF162" s="87" t="s">
        <v>400</v>
      </c>
      <c r="AG162" s="87"/>
      <c r="AH162" s="87"/>
      <c r="AI162" s="87"/>
      <c r="AJ162" s="18"/>
      <c r="AK162" s="18"/>
      <c r="AL162" s="26"/>
      <c r="AM162" s="18"/>
      <c r="AN162" s="18"/>
    </row>
    <row r="163" spans="1:40" ht="13.5" customHeight="1" x14ac:dyDescent="0.35">
      <c r="A163" s="26" t="s">
        <v>925</v>
      </c>
      <c r="B163" s="101" t="s">
        <v>931</v>
      </c>
      <c r="C163" s="110" t="s">
        <v>504</v>
      </c>
      <c r="D163" s="116" t="s">
        <v>510</v>
      </c>
      <c r="E163" s="86" t="s">
        <v>511</v>
      </c>
      <c r="F163" s="86" t="s">
        <v>108</v>
      </c>
      <c r="G163" s="86" t="s">
        <v>901</v>
      </c>
      <c r="H163" s="86"/>
      <c r="I163" s="86" t="s">
        <v>5</v>
      </c>
      <c r="J163" s="86" t="s">
        <v>98</v>
      </c>
      <c r="K163" s="86">
        <v>2</v>
      </c>
      <c r="L163" s="86">
        <v>5</v>
      </c>
      <c r="M163" s="87">
        <v>2014</v>
      </c>
      <c r="N163" s="88">
        <f t="shared" si="3"/>
        <v>41761</v>
      </c>
      <c r="O163" s="25" t="e">
        <f>IF(L163&gt;#REF!,#REF!-M163-1,#REF!-M163)</f>
        <v>#REF!</v>
      </c>
      <c r="P163" s="25" t="e">
        <f t="shared" si="0"/>
        <v>#REF!</v>
      </c>
      <c r="Q163" s="87" t="s">
        <v>40</v>
      </c>
      <c r="R163" s="121" t="s">
        <v>28</v>
      </c>
      <c r="S163" s="87" t="s">
        <v>48</v>
      </c>
      <c r="T163" s="87" t="s">
        <v>65</v>
      </c>
      <c r="U163" s="87" t="s">
        <v>906</v>
      </c>
      <c r="V163" s="87" t="s">
        <v>907</v>
      </c>
      <c r="W163" s="87" t="s">
        <v>909</v>
      </c>
      <c r="X163" s="87" t="s">
        <v>916</v>
      </c>
      <c r="Y163" s="87"/>
      <c r="Z163" s="87"/>
      <c r="AA163" s="87"/>
      <c r="AB163" s="87"/>
      <c r="AC163" s="87"/>
      <c r="AD163" s="87"/>
      <c r="AE163" s="87" t="s">
        <v>400</v>
      </c>
      <c r="AF163" s="87" t="s">
        <v>400</v>
      </c>
      <c r="AG163" s="87"/>
      <c r="AH163" s="87"/>
      <c r="AI163" s="87"/>
      <c r="AJ163" s="18"/>
      <c r="AK163" s="18"/>
      <c r="AL163" s="26"/>
      <c r="AM163" s="18"/>
      <c r="AN163" s="18"/>
    </row>
    <row r="164" spans="1:40" ht="13.5" customHeight="1" x14ac:dyDescent="0.35">
      <c r="A164" s="26" t="s">
        <v>925</v>
      </c>
      <c r="B164" s="101" t="s">
        <v>931</v>
      </c>
      <c r="C164" s="110" t="s">
        <v>512</v>
      </c>
      <c r="D164" s="116" t="s">
        <v>513</v>
      </c>
      <c r="E164" s="86" t="s">
        <v>514</v>
      </c>
      <c r="F164" s="86" t="s">
        <v>97</v>
      </c>
      <c r="G164" s="86" t="s">
        <v>901</v>
      </c>
      <c r="H164" s="86"/>
      <c r="I164" s="86" t="s">
        <v>4</v>
      </c>
      <c r="J164" s="86" t="s">
        <v>155</v>
      </c>
      <c r="K164" s="86">
        <v>15</v>
      </c>
      <c r="L164" s="86">
        <v>8</v>
      </c>
      <c r="M164" s="87">
        <v>1956</v>
      </c>
      <c r="N164" s="88">
        <f t="shared" si="3"/>
        <v>20682</v>
      </c>
      <c r="O164" s="25" t="e">
        <f>IF(L164&gt;#REF!,#REF!-M164-1,#REF!-M164)</f>
        <v>#REF!</v>
      </c>
      <c r="P164" s="25" t="e">
        <f t="shared" si="0"/>
        <v>#REF!</v>
      </c>
      <c r="Q164" s="87" t="s">
        <v>40</v>
      </c>
      <c r="R164" s="121" t="s">
        <v>31</v>
      </c>
      <c r="S164" s="87" t="s">
        <v>55</v>
      </c>
      <c r="T164" s="87" t="s">
        <v>67</v>
      </c>
      <c r="U164" s="87" t="s">
        <v>906</v>
      </c>
      <c r="V164" s="87" t="s">
        <v>907</v>
      </c>
      <c r="W164" s="87" t="s">
        <v>909</v>
      </c>
      <c r="X164" s="87" t="s">
        <v>916</v>
      </c>
      <c r="Y164" s="87"/>
      <c r="Z164" s="87"/>
      <c r="AA164" s="87"/>
      <c r="AB164" s="87"/>
      <c r="AC164" s="87"/>
      <c r="AD164" s="87"/>
      <c r="AE164" s="87" t="s">
        <v>387</v>
      </c>
      <c r="AF164" s="87" t="s">
        <v>387</v>
      </c>
      <c r="AG164" s="87"/>
      <c r="AH164" s="87"/>
      <c r="AI164" s="87"/>
      <c r="AJ164" s="18"/>
      <c r="AK164" s="18"/>
      <c r="AL164" s="26"/>
      <c r="AM164" s="18"/>
      <c r="AN164" s="18"/>
    </row>
    <row r="165" spans="1:40" ht="13.5" customHeight="1" x14ac:dyDescent="0.35">
      <c r="A165" s="26" t="s">
        <v>925</v>
      </c>
      <c r="B165" s="101" t="s">
        <v>931</v>
      </c>
      <c r="C165" s="110" t="s">
        <v>512</v>
      </c>
      <c r="D165" s="116" t="s">
        <v>515</v>
      </c>
      <c r="E165" s="86" t="s">
        <v>516</v>
      </c>
      <c r="F165" s="86" t="s">
        <v>105</v>
      </c>
      <c r="G165" s="86" t="s">
        <v>901</v>
      </c>
      <c r="H165" s="86"/>
      <c r="I165" s="86" t="s">
        <v>5</v>
      </c>
      <c r="J165" s="86" t="s">
        <v>155</v>
      </c>
      <c r="K165" s="86">
        <v>30</v>
      </c>
      <c r="L165" s="86">
        <v>5</v>
      </c>
      <c r="M165" s="87">
        <v>1964</v>
      </c>
      <c r="N165" s="88">
        <f t="shared" si="3"/>
        <v>23527</v>
      </c>
      <c r="O165" s="25" t="e">
        <f>IF(L165&gt;#REF!,#REF!-M165-1,#REF!-M165)</f>
        <v>#REF!</v>
      </c>
      <c r="P165" s="25" t="e">
        <f t="shared" si="0"/>
        <v>#REF!</v>
      </c>
      <c r="Q165" s="87" t="s">
        <v>40</v>
      </c>
      <c r="R165" s="121" t="s">
        <v>31</v>
      </c>
      <c r="S165" s="87" t="s">
        <v>62</v>
      </c>
      <c r="T165" s="87" t="s">
        <v>67</v>
      </c>
      <c r="U165" s="87" t="s">
        <v>906</v>
      </c>
      <c r="V165" s="87" t="s">
        <v>907</v>
      </c>
      <c r="W165" s="87" t="s">
        <v>909</v>
      </c>
      <c r="X165" s="87" t="s">
        <v>916</v>
      </c>
      <c r="Y165" s="87"/>
      <c r="Z165" s="87"/>
      <c r="AA165" s="87"/>
      <c r="AB165" s="87"/>
      <c r="AC165" s="87"/>
      <c r="AD165" s="87"/>
      <c r="AE165" s="87" t="s">
        <v>387</v>
      </c>
      <c r="AF165" s="87" t="s">
        <v>387</v>
      </c>
      <c r="AG165" s="87"/>
      <c r="AH165" s="87"/>
      <c r="AI165" s="87"/>
      <c r="AJ165" s="18"/>
      <c r="AK165" s="18"/>
      <c r="AL165" s="26"/>
      <c r="AM165" s="18"/>
      <c r="AN165" s="18"/>
    </row>
    <row r="166" spans="1:40" ht="13.5" customHeight="1" x14ac:dyDescent="0.35">
      <c r="A166" s="26" t="s">
        <v>925</v>
      </c>
      <c r="B166" s="101" t="s">
        <v>931</v>
      </c>
      <c r="C166" s="110" t="s">
        <v>512</v>
      </c>
      <c r="D166" s="116" t="s">
        <v>517</v>
      </c>
      <c r="E166" s="86" t="s">
        <v>518</v>
      </c>
      <c r="F166" s="86" t="s">
        <v>108</v>
      </c>
      <c r="G166" s="86" t="s">
        <v>901</v>
      </c>
      <c r="H166" s="86"/>
      <c r="I166" s="86" t="s">
        <v>5</v>
      </c>
      <c r="J166" s="86" t="s">
        <v>98</v>
      </c>
      <c r="K166" s="86">
        <v>10</v>
      </c>
      <c r="L166" s="86">
        <v>4</v>
      </c>
      <c r="M166" s="87">
        <v>1990</v>
      </c>
      <c r="N166" s="88">
        <f t="shared" si="3"/>
        <v>32973</v>
      </c>
      <c r="O166" s="25" t="e">
        <f>IF(L166&gt;#REF!,#REF!-M166-1,#REF!-M166)</f>
        <v>#REF!</v>
      </c>
      <c r="P166" s="25" t="e">
        <f t="shared" si="0"/>
        <v>#REF!</v>
      </c>
      <c r="Q166" s="87" t="s">
        <v>40</v>
      </c>
      <c r="R166" s="121" t="s">
        <v>30</v>
      </c>
      <c r="S166" s="87" t="s">
        <v>48</v>
      </c>
      <c r="T166" s="87" t="s">
        <v>65</v>
      </c>
      <c r="U166" s="87" t="s">
        <v>906</v>
      </c>
      <c r="V166" s="87" t="s">
        <v>907</v>
      </c>
      <c r="W166" s="87" t="s">
        <v>909</v>
      </c>
      <c r="X166" s="87" t="s">
        <v>916</v>
      </c>
      <c r="Y166" s="87"/>
      <c r="Z166" s="87"/>
      <c r="AA166" s="87"/>
      <c r="AB166" s="87"/>
      <c r="AC166" s="87"/>
      <c r="AD166" s="87"/>
      <c r="AE166" s="87" t="s">
        <v>387</v>
      </c>
      <c r="AF166" s="87" t="s">
        <v>387</v>
      </c>
      <c r="AG166" s="87"/>
      <c r="AH166" s="87"/>
      <c r="AI166" s="87"/>
      <c r="AJ166" s="18"/>
      <c r="AK166" s="18"/>
      <c r="AL166" s="26"/>
      <c r="AM166" s="18"/>
      <c r="AN166" s="18"/>
    </row>
    <row r="167" spans="1:40" ht="13.5" customHeight="1" x14ac:dyDescent="0.35">
      <c r="A167" s="26" t="s">
        <v>925</v>
      </c>
      <c r="B167" s="101" t="s">
        <v>931</v>
      </c>
      <c r="C167" s="110" t="s">
        <v>512</v>
      </c>
      <c r="D167" s="116" t="s">
        <v>519</v>
      </c>
      <c r="E167" s="86" t="s">
        <v>520</v>
      </c>
      <c r="F167" s="86" t="s">
        <v>125</v>
      </c>
      <c r="G167" s="86" t="s">
        <v>901</v>
      </c>
      <c r="H167" s="86"/>
      <c r="I167" s="86" t="s">
        <v>5</v>
      </c>
      <c r="J167" s="86" t="s">
        <v>155</v>
      </c>
      <c r="K167" s="86">
        <v>12</v>
      </c>
      <c r="L167" s="86">
        <v>4</v>
      </c>
      <c r="M167" s="87">
        <v>1946</v>
      </c>
      <c r="N167" s="88">
        <f t="shared" si="3"/>
        <v>16904</v>
      </c>
      <c r="O167" s="25" t="e">
        <f>IF(L167&gt;#REF!,#REF!-M167-1,#REF!-M167)</f>
        <v>#REF!</v>
      </c>
      <c r="P167" s="25" t="e">
        <f t="shared" si="0"/>
        <v>#REF!</v>
      </c>
      <c r="Q167" s="87" t="s">
        <v>40</v>
      </c>
      <c r="R167" s="121" t="s">
        <v>31</v>
      </c>
      <c r="S167" s="87" t="s">
        <v>59</v>
      </c>
      <c r="T167" s="87" t="s">
        <v>68</v>
      </c>
      <c r="U167" s="87" t="s">
        <v>906</v>
      </c>
      <c r="V167" s="87" t="s">
        <v>907</v>
      </c>
      <c r="W167" s="87" t="s">
        <v>909</v>
      </c>
      <c r="X167" s="87" t="s">
        <v>916</v>
      </c>
      <c r="Y167" s="87"/>
      <c r="Z167" s="87"/>
      <c r="AA167" s="87"/>
      <c r="AB167" s="87"/>
      <c r="AC167" s="87"/>
      <c r="AD167" s="87"/>
      <c r="AE167" s="87" t="s">
        <v>387</v>
      </c>
      <c r="AF167" s="87" t="s">
        <v>387</v>
      </c>
      <c r="AG167" s="87"/>
      <c r="AH167" s="87"/>
      <c r="AI167" s="87"/>
      <c r="AJ167" s="18"/>
      <c r="AK167" s="18"/>
      <c r="AL167" s="26"/>
      <c r="AM167" s="18"/>
      <c r="AN167" s="18"/>
    </row>
    <row r="168" spans="1:40" ht="13.5" customHeight="1" x14ac:dyDescent="0.35">
      <c r="A168" s="26" t="s">
        <v>925</v>
      </c>
      <c r="B168" s="101" t="s">
        <v>931</v>
      </c>
      <c r="C168" s="110" t="s">
        <v>512</v>
      </c>
      <c r="D168" s="116" t="s">
        <v>521</v>
      </c>
      <c r="E168" s="86" t="s">
        <v>522</v>
      </c>
      <c r="F168" s="86" t="s">
        <v>125</v>
      </c>
      <c r="G168" s="86" t="s">
        <v>901</v>
      </c>
      <c r="H168" s="86"/>
      <c r="I168" s="86" t="s">
        <v>5</v>
      </c>
      <c r="J168" s="86" t="s">
        <v>155</v>
      </c>
      <c r="K168" s="86">
        <v>20</v>
      </c>
      <c r="L168" s="86">
        <v>3</v>
      </c>
      <c r="M168" s="87">
        <v>1975</v>
      </c>
      <c r="N168" s="88">
        <f t="shared" si="3"/>
        <v>27473</v>
      </c>
      <c r="O168" s="25" t="e">
        <f>IF(L168&gt;#REF!,#REF!-M168-1,#REF!-M168)</f>
        <v>#REF!</v>
      </c>
      <c r="P168" s="25" t="e">
        <f t="shared" si="0"/>
        <v>#REF!</v>
      </c>
      <c r="Q168" s="87" t="s">
        <v>40</v>
      </c>
      <c r="R168" s="121" t="s">
        <v>31</v>
      </c>
      <c r="S168" s="87" t="s">
        <v>62</v>
      </c>
      <c r="T168" s="87" t="s">
        <v>65</v>
      </c>
      <c r="U168" s="87" t="s">
        <v>906</v>
      </c>
      <c r="V168" s="87" t="s">
        <v>907</v>
      </c>
      <c r="W168" s="87" t="s">
        <v>909</v>
      </c>
      <c r="X168" s="87" t="s">
        <v>916</v>
      </c>
      <c r="Y168" s="87"/>
      <c r="Z168" s="87"/>
      <c r="AA168" s="87"/>
      <c r="AB168" s="87"/>
      <c r="AC168" s="87"/>
      <c r="AD168" s="87"/>
      <c r="AE168" s="87" t="s">
        <v>387</v>
      </c>
      <c r="AF168" s="87" t="s">
        <v>387</v>
      </c>
      <c r="AG168" s="87"/>
      <c r="AH168" s="87"/>
      <c r="AI168" s="87"/>
      <c r="AJ168" s="18"/>
      <c r="AK168" s="18"/>
      <c r="AL168" s="26"/>
      <c r="AM168" s="18"/>
      <c r="AN168" s="18"/>
    </row>
    <row r="169" spans="1:40" ht="13.5" customHeight="1" x14ac:dyDescent="0.35">
      <c r="A169" s="26" t="s">
        <v>925</v>
      </c>
      <c r="B169" s="101" t="s">
        <v>931</v>
      </c>
      <c r="C169" s="110" t="s">
        <v>512</v>
      </c>
      <c r="D169" s="116" t="s">
        <v>523</v>
      </c>
      <c r="E169" s="86" t="s">
        <v>524</v>
      </c>
      <c r="F169" s="86" t="s">
        <v>125</v>
      </c>
      <c r="G169" s="86" t="s">
        <v>901</v>
      </c>
      <c r="H169" s="86"/>
      <c r="I169" s="86" t="s">
        <v>5</v>
      </c>
      <c r="J169" s="86" t="s">
        <v>155</v>
      </c>
      <c r="K169" s="86">
        <v>25</v>
      </c>
      <c r="L169" s="86">
        <v>5</v>
      </c>
      <c r="M169" s="87">
        <v>1975</v>
      </c>
      <c r="N169" s="88">
        <f t="shared" si="3"/>
        <v>27539</v>
      </c>
      <c r="O169" s="25" t="e">
        <f>IF(L169&gt;#REF!,#REF!-M169-1,#REF!-M169)</f>
        <v>#REF!</v>
      </c>
      <c r="P169" s="25" t="e">
        <f t="shared" si="0"/>
        <v>#REF!</v>
      </c>
      <c r="Q169" s="87" t="s">
        <v>40</v>
      </c>
      <c r="R169" s="121" t="s">
        <v>31</v>
      </c>
      <c r="S169" s="87" t="s">
        <v>62</v>
      </c>
      <c r="T169" s="87" t="s">
        <v>68</v>
      </c>
      <c r="U169" s="87" t="s">
        <v>906</v>
      </c>
      <c r="V169" s="87" t="s">
        <v>907</v>
      </c>
      <c r="W169" s="87" t="s">
        <v>909</v>
      </c>
      <c r="X169" s="87" t="s">
        <v>916</v>
      </c>
      <c r="Y169" s="87"/>
      <c r="Z169" s="87"/>
      <c r="AA169" s="87"/>
      <c r="AB169" s="87"/>
      <c r="AC169" s="87"/>
      <c r="AD169" s="87"/>
      <c r="AE169" s="87" t="s">
        <v>387</v>
      </c>
      <c r="AF169" s="87" t="s">
        <v>387</v>
      </c>
      <c r="AG169" s="87"/>
      <c r="AH169" s="87"/>
      <c r="AI169" s="87"/>
      <c r="AJ169" s="18"/>
      <c r="AK169" s="18"/>
      <c r="AL169" s="26"/>
      <c r="AM169" s="18"/>
      <c r="AN169" s="18"/>
    </row>
    <row r="170" spans="1:40" ht="13.5" customHeight="1" x14ac:dyDescent="0.35">
      <c r="A170" s="26" t="s">
        <v>925</v>
      </c>
      <c r="B170" s="101" t="s">
        <v>931</v>
      </c>
      <c r="C170" s="110" t="s">
        <v>512</v>
      </c>
      <c r="D170" s="116" t="s">
        <v>525</v>
      </c>
      <c r="E170" s="86" t="s">
        <v>526</v>
      </c>
      <c r="F170" s="86" t="s">
        <v>125</v>
      </c>
      <c r="G170" s="86" t="s">
        <v>901</v>
      </c>
      <c r="H170" s="86"/>
      <c r="I170" s="86" t="s">
        <v>5</v>
      </c>
      <c r="J170" s="86" t="s">
        <v>129</v>
      </c>
      <c r="K170" s="86">
        <v>3</v>
      </c>
      <c r="L170" s="86">
        <v>8</v>
      </c>
      <c r="M170" s="87">
        <v>1991</v>
      </c>
      <c r="N170" s="88">
        <f t="shared" si="3"/>
        <v>33453</v>
      </c>
      <c r="O170" s="25" t="e">
        <f>IF(L170&gt;#REF!,#REF!-M170-1,#REF!-M170)</f>
        <v>#REF!</v>
      </c>
      <c r="P170" s="25" t="e">
        <f t="shared" si="0"/>
        <v>#REF!</v>
      </c>
      <c r="Q170" s="87" t="s">
        <v>40</v>
      </c>
      <c r="R170" s="121" t="s">
        <v>31</v>
      </c>
      <c r="S170" s="87" t="s">
        <v>62</v>
      </c>
      <c r="T170" s="87" t="s">
        <v>65</v>
      </c>
      <c r="U170" s="87" t="s">
        <v>906</v>
      </c>
      <c r="V170" s="87" t="s">
        <v>907</v>
      </c>
      <c r="W170" s="87" t="s">
        <v>909</v>
      </c>
      <c r="X170" s="87" t="s">
        <v>916</v>
      </c>
      <c r="Y170" s="87"/>
      <c r="Z170" s="87"/>
      <c r="AA170" s="87"/>
      <c r="AB170" s="87"/>
      <c r="AC170" s="87"/>
      <c r="AD170" s="87"/>
      <c r="AE170" s="87" t="s">
        <v>387</v>
      </c>
      <c r="AF170" s="87" t="s">
        <v>387</v>
      </c>
      <c r="AG170" s="87"/>
      <c r="AH170" s="87"/>
      <c r="AI170" s="87"/>
      <c r="AJ170" s="18"/>
      <c r="AK170" s="18"/>
      <c r="AL170" s="26"/>
      <c r="AM170" s="18"/>
      <c r="AN170" s="18"/>
    </row>
    <row r="171" spans="1:40" ht="13.5" customHeight="1" x14ac:dyDescent="0.35">
      <c r="A171" s="26" t="s">
        <v>925</v>
      </c>
      <c r="B171" s="101" t="s">
        <v>931</v>
      </c>
      <c r="C171" s="110" t="s">
        <v>527</v>
      </c>
      <c r="D171" s="116" t="s">
        <v>261</v>
      </c>
      <c r="E171" s="86" t="s">
        <v>528</v>
      </c>
      <c r="F171" s="86" t="s">
        <v>97</v>
      </c>
      <c r="G171" s="86" t="s">
        <v>901</v>
      </c>
      <c r="H171" s="86"/>
      <c r="I171" s="86" t="s">
        <v>4</v>
      </c>
      <c r="J171" s="86" t="s">
        <v>98</v>
      </c>
      <c r="K171" s="86">
        <v>25</v>
      </c>
      <c r="L171" s="86">
        <v>7</v>
      </c>
      <c r="M171" s="87">
        <v>1991</v>
      </c>
      <c r="N171" s="88">
        <f t="shared" si="3"/>
        <v>33444</v>
      </c>
      <c r="O171" s="25" t="e">
        <f>IF(L171&gt;#REF!,#REF!-M171-1,#REF!-M171)</f>
        <v>#REF!</v>
      </c>
      <c r="P171" s="25" t="e">
        <f t="shared" si="0"/>
        <v>#REF!</v>
      </c>
      <c r="Q171" s="87" t="s">
        <v>40</v>
      </c>
      <c r="R171" s="121" t="s">
        <v>34</v>
      </c>
      <c r="S171" s="87" t="s">
        <v>62</v>
      </c>
      <c r="T171" s="87" t="s">
        <v>67</v>
      </c>
      <c r="U171" s="87" t="s">
        <v>906</v>
      </c>
      <c r="V171" s="87" t="s">
        <v>907</v>
      </c>
      <c r="W171" s="87" t="s">
        <v>909</v>
      </c>
      <c r="X171" s="87" t="s">
        <v>916</v>
      </c>
      <c r="Y171" s="87"/>
      <c r="Z171" s="87"/>
      <c r="AA171" s="87"/>
      <c r="AB171" s="87"/>
      <c r="AC171" s="87"/>
      <c r="AD171" s="87"/>
      <c r="AE171" s="87" t="s">
        <v>400</v>
      </c>
      <c r="AF171" s="87" t="s">
        <v>400</v>
      </c>
      <c r="AG171" s="87"/>
      <c r="AH171" s="87"/>
      <c r="AI171" s="87"/>
      <c r="AJ171" s="18"/>
      <c r="AK171" s="18"/>
      <c r="AL171" s="26"/>
      <c r="AM171" s="18"/>
      <c r="AN171" s="18"/>
    </row>
    <row r="172" spans="1:40" ht="13.5" customHeight="1" x14ac:dyDescent="0.35">
      <c r="A172" s="26" t="s">
        <v>925</v>
      </c>
      <c r="B172" s="101" t="s">
        <v>931</v>
      </c>
      <c r="C172" s="110" t="s">
        <v>527</v>
      </c>
      <c r="D172" s="116" t="s">
        <v>529</v>
      </c>
      <c r="E172" s="86" t="s">
        <v>530</v>
      </c>
      <c r="F172" s="86" t="s">
        <v>105</v>
      </c>
      <c r="G172" s="86" t="s">
        <v>901</v>
      </c>
      <c r="H172" s="86"/>
      <c r="I172" s="86" t="s">
        <v>5</v>
      </c>
      <c r="J172" s="86" t="s">
        <v>98</v>
      </c>
      <c r="K172" s="86">
        <v>15</v>
      </c>
      <c r="L172" s="86">
        <v>8</v>
      </c>
      <c r="M172" s="87">
        <v>1995</v>
      </c>
      <c r="N172" s="88">
        <f t="shared" si="3"/>
        <v>34926</v>
      </c>
      <c r="O172" s="25" t="e">
        <f>IF(L172&gt;#REF!,#REF!-M172-1,#REF!-M172)</f>
        <v>#REF!</v>
      </c>
      <c r="P172" s="25" t="e">
        <f t="shared" si="0"/>
        <v>#REF!</v>
      </c>
      <c r="Q172" s="87" t="s">
        <v>40</v>
      </c>
      <c r="R172" s="121" t="s">
        <v>33</v>
      </c>
      <c r="S172" s="87" t="s">
        <v>54</v>
      </c>
      <c r="T172" s="87" t="s">
        <v>67</v>
      </c>
      <c r="U172" s="87" t="s">
        <v>906</v>
      </c>
      <c r="V172" s="87" t="s">
        <v>907</v>
      </c>
      <c r="W172" s="87" t="s">
        <v>909</v>
      </c>
      <c r="X172" s="87" t="s">
        <v>916</v>
      </c>
      <c r="Y172" s="87"/>
      <c r="Z172" s="87"/>
      <c r="AA172" s="87"/>
      <c r="AB172" s="87"/>
      <c r="AC172" s="87"/>
      <c r="AD172" s="87"/>
      <c r="AE172" s="87" t="s">
        <v>400</v>
      </c>
      <c r="AF172" s="87" t="s">
        <v>400</v>
      </c>
      <c r="AG172" s="87"/>
      <c r="AH172" s="87"/>
      <c r="AI172" s="87"/>
      <c r="AJ172" s="18"/>
      <c r="AK172" s="18"/>
      <c r="AL172" s="26"/>
      <c r="AM172" s="18"/>
      <c r="AN172" s="18"/>
    </row>
    <row r="173" spans="1:40" ht="13.5" customHeight="1" x14ac:dyDescent="0.35">
      <c r="A173" s="26" t="s">
        <v>925</v>
      </c>
      <c r="B173" s="101" t="s">
        <v>931</v>
      </c>
      <c r="C173" s="110" t="s">
        <v>527</v>
      </c>
      <c r="D173" s="116" t="s">
        <v>531</v>
      </c>
      <c r="E173" s="86" t="s">
        <v>532</v>
      </c>
      <c r="F173" s="86" t="s">
        <v>108</v>
      </c>
      <c r="G173" s="86" t="s">
        <v>901</v>
      </c>
      <c r="H173" s="86"/>
      <c r="I173" s="86" t="s">
        <v>5</v>
      </c>
      <c r="J173" s="86" t="s">
        <v>98</v>
      </c>
      <c r="K173" s="86">
        <v>18</v>
      </c>
      <c r="L173" s="86">
        <v>4</v>
      </c>
      <c r="M173" s="87">
        <v>2018</v>
      </c>
      <c r="N173" s="88">
        <f t="shared" si="3"/>
        <v>43208</v>
      </c>
      <c r="O173" s="25" t="e">
        <f>IF(L173&gt;#REF!,#REF!-M173-1,#REF!-M173)</f>
        <v>#REF!</v>
      </c>
      <c r="P173" s="25" t="e">
        <f t="shared" si="0"/>
        <v>#REF!</v>
      </c>
      <c r="Q173" s="87" t="s">
        <v>40</v>
      </c>
      <c r="R173" s="121" t="s">
        <v>28</v>
      </c>
      <c r="S173" s="87" t="s">
        <v>48</v>
      </c>
      <c r="T173" s="87" t="s">
        <v>65</v>
      </c>
      <c r="U173" s="87" t="s">
        <v>906</v>
      </c>
      <c r="V173" s="87" t="s">
        <v>907</v>
      </c>
      <c r="W173" s="87" t="s">
        <v>909</v>
      </c>
      <c r="X173" s="87" t="s">
        <v>916</v>
      </c>
      <c r="Y173" s="87"/>
      <c r="Z173" s="87"/>
      <c r="AA173" s="87"/>
      <c r="AB173" s="87"/>
      <c r="AC173" s="87"/>
      <c r="AD173" s="87"/>
      <c r="AE173" s="87" t="s">
        <v>400</v>
      </c>
      <c r="AF173" s="87" t="s">
        <v>400</v>
      </c>
      <c r="AG173" s="87"/>
      <c r="AH173" s="87"/>
      <c r="AI173" s="87"/>
      <c r="AJ173" s="18"/>
      <c r="AK173" s="18"/>
      <c r="AL173" s="26"/>
      <c r="AM173" s="18"/>
      <c r="AN173" s="18"/>
    </row>
    <row r="174" spans="1:40" ht="13.5" customHeight="1" x14ac:dyDescent="0.35">
      <c r="A174" s="26" t="s">
        <v>925</v>
      </c>
      <c r="B174" s="101" t="s">
        <v>931</v>
      </c>
      <c r="C174" s="110" t="s">
        <v>533</v>
      </c>
      <c r="D174" s="116" t="s">
        <v>534</v>
      </c>
      <c r="E174" s="86" t="s">
        <v>535</v>
      </c>
      <c r="F174" s="86" t="s">
        <v>97</v>
      </c>
      <c r="G174" s="86" t="s">
        <v>901</v>
      </c>
      <c r="H174" s="86"/>
      <c r="I174" s="86" t="s">
        <v>4</v>
      </c>
      <c r="J174" s="86" t="s">
        <v>98</v>
      </c>
      <c r="K174" s="86">
        <v>4</v>
      </c>
      <c r="L174" s="86">
        <v>6</v>
      </c>
      <c r="M174" s="87">
        <v>1981</v>
      </c>
      <c r="N174" s="88">
        <f t="shared" si="3"/>
        <v>29741</v>
      </c>
      <c r="O174" s="25" t="e">
        <f>IF(L174&gt;#REF!,#REF!-M174-1,#REF!-M174)</f>
        <v>#REF!</v>
      </c>
      <c r="P174" s="25" t="e">
        <f t="shared" si="0"/>
        <v>#REF!</v>
      </c>
      <c r="Q174" s="87" t="s">
        <v>40</v>
      </c>
      <c r="R174" s="121" t="s">
        <v>31</v>
      </c>
      <c r="S174" s="87" t="s">
        <v>62</v>
      </c>
      <c r="T174" s="87" t="s">
        <v>67</v>
      </c>
      <c r="U174" s="87" t="s">
        <v>906</v>
      </c>
      <c r="V174" s="87" t="s">
        <v>907</v>
      </c>
      <c r="W174" s="87" t="s">
        <v>909</v>
      </c>
      <c r="X174" s="87" t="s">
        <v>916</v>
      </c>
      <c r="Y174" s="87"/>
      <c r="Z174" s="87"/>
      <c r="AA174" s="87"/>
      <c r="AB174" s="87"/>
      <c r="AC174" s="87"/>
      <c r="AD174" s="87"/>
      <c r="AE174" s="87" t="s">
        <v>400</v>
      </c>
      <c r="AF174" s="87" t="s">
        <v>400</v>
      </c>
      <c r="AG174" s="87"/>
      <c r="AH174" s="87"/>
      <c r="AI174" s="87"/>
      <c r="AJ174" s="18"/>
      <c r="AK174" s="18"/>
      <c r="AL174" s="26"/>
      <c r="AM174" s="18"/>
      <c r="AN174" s="18"/>
    </row>
    <row r="175" spans="1:40" ht="13.5" customHeight="1" x14ac:dyDescent="0.35">
      <c r="A175" s="26" t="s">
        <v>925</v>
      </c>
      <c r="B175" s="101" t="s">
        <v>931</v>
      </c>
      <c r="C175" s="110" t="s">
        <v>533</v>
      </c>
      <c r="D175" s="116" t="s">
        <v>536</v>
      </c>
      <c r="E175" s="86" t="s">
        <v>389</v>
      </c>
      <c r="F175" s="86" t="s">
        <v>105</v>
      </c>
      <c r="G175" s="86" t="s">
        <v>901</v>
      </c>
      <c r="H175" s="86"/>
      <c r="I175" s="86" t="s">
        <v>5</v>
      </c>
      <c r="J175" s="86" t="s">
        <v>155</v>
      </c>
      <c r="K175" s="86">
        <v>16</v>
      </c>
      <c r="L175" s="86">
        <v>7</v>
      </c>
      <c r="M175" s="87">
        <v>1984</v>
      </c>
      <c r="N175" s="88">
        <f t="shared" si="3"/>
        <v>30879</v>
      </c>
      <c r="O175" s="25" t="e">
        <f>IF(L175&gt;#REF!,#REF!-M175-1,#REF!-M175)</f>
        <v>#REF!</v>
      </c>
      <c r="P175" s="25" t="e">
        <f t="shared" si="0"/>
        <v>#REF!</v>
      </c>
      <c r="Q175" s="87" t="s">
        <v>40</v>
      </c>
      <c r="R175" s="121" t="s">
        <v>31</v>
      </c>
      <c r="S175" s="87" t="s">
        <v>62</v>
      </c>
      <c r="T175" s="87" t="s">
        <v>67</v>
      </c>
      <c r="U175" s="87" t="s">
        <v>906</v>
      </c>
      <c r="V175" s="87" t="s">
        <v>907</v>
      </c>
      <c r="W175" s="87" t="s">
        <v>909</v>
      </c>
      <c r="X175" s="87" t="s">
        <v>916</v>
      </c>
      <c r="Y175" s="87"/>
      <c r="Z175" s="87"/>
      <c r="AA175" s="87"/>
      <c r="AB175" s="87"/>
      <c r="AC175" s="87"/>
      <c r="AD175" s="87"/>
      <c r="AE175" s="87" t="s">
        <v>400</v>
      </c>
      <c r="AF175" s="87" t="s">
        <v>400</v>
      </c>
      <c r="AG175" s="87"/>
      <c r="AH175" s="87"/>
      <c r="AI175" s="87"/>
      <c r="AJ175" s="18"/>
      <c r="AK175" s="18"/>
      <c r="AL175" s="26"/>
      <c r="AM175" s="18"/>
      <c r="AN175" s="18"/>
    </row>
    <row r="176" spans="1:40" ht="13.5" customHeight="1" x14ac:dyDescent="0.35">
      <c r="A176" s="26" t="s">
        <v>925</v>
      </c>
      <c r="B176" s="101" t="s">
        <v>931</v>
      </c>
      <c r="C176" s="110" t="s">
        <v>533</v>
      </c>
      <c r="D176" s="116" t="s">
        <v>537</v>
      </c>
      <c r="E176" s="86" t="s">
        <v>538</v>
      </c>
      <c r="F176" s="86" t="s">
        <v>108</v>
      </c>
      <c r="G176" s="86" t="s">
        <v>901</v>
      </c>
      <c r="H176" s="86"/>
      <c r="I176" s="86" t="s">
        <v>4</v>
      </c>
      <c r="J176" s="86" t="s">
        <v>98</v>
      </c>
      <c r="K176" s="86">
        <v>1</v>
      </c>
      <c r="L176" s="86">
        <v>1</v>
      </c>
      <c r="M176" s="87">
        <v>2012</v>
      </c>
      <c r="N176" s="88">
        <f t="shared" si="3"/>
        <v>40909</v>
      </c>
      <c r="O176" s="25" t="e">
        <f>IF(L176&gt;#REF!,#REF!-M176-1,#REF!-M176)</f>
        <v>#REF!</v>
      </c>
      <c r="P176" s="25" t="e">
        <f t="shared" si="0"/>
        <v>#REF!</v>
      </c>
      <c r="Q176" s="87" t="s">
        <v>40</v>
      </c>
      <c r="R176" s="121" t="s">
        <v>28</v>
      </c>
      <c r="S176" s="87" t="s">
        <v>48</v>
      </c>
      <c r="T176" s="87" t="s">
        <v>65</v>
      </c>
      <c r="U176" s="87" t="s">
        <v>906</v>
      </c>
      <c r="V176" s="87" t="s">
        <v>907</v>
      </c>
      <c r="W176" s="87" t="s">
        <v>909</v>
      </c>
      <c r="X176" s="87" t="s">
        <v>916</v>
      </c>
      <c r="Y176" s="87"/>
      <c r="Z176" s="87"/>
      <c r="AA176" s="87"/>
      <c r="AB176" s="87"/>
      <c r="AC176" s="87"/>
      <c r="AD176" s="87"/>
      <c r="AE176" s="87" t="s">
        <v>400</v>
      </c>
      <c r="AF176" s="87" t="s">
        <v>400</v>
      </c>
      <c r="AG176" s="87"/>
      <c r="AH176" s="87"/>
      <c r="AI176" s="87"/>
      <c r="AJ176" s="18"/>
      <c r="AK176" s="18"/>
      <c r="AL176" s="26"/>
      <c r="AM176" s="18"/>
      <c r="AN176" s="18"/>
    </row>
    <row r="177" spans="1:40" ht="13.5" customHeight="1" x14ac:dyDescent="0.35">
      <c r="A177" s="26" t="s">
        <v>925</v>
      </c>
      <c r="B177" s="101" t="s">
        <v>931</v>
      </c>
      <c r="C177" s="110" t="s">
        <v>539</v>
      </c>
      <c r="D177" s="116" t="s">
        <v>540</v>
      </c>
      <c r="E177" s="86" t="s">
        <v>541</v>
      </c>
      <c r="F177" s="86" t="s">
        <v>97</v>
      </c>
      <c r="G177" s="86" t="s">
        <v>901</v>
      </c>
      <c r="H177" s="86"/>
      <c r="I177" s="86" t="s">
        <v>4</v>
      </c>
      <c r="J177" s="86" t="s">
        <v>98</v>
      </c>
      <c r="K177" s="86">
        <v>19</v>
      </c>
      <c r="L177" s="86">
        <v>6</v>
      </c>
      <c r="M177" s="87">
        <v>1993</v>
      </c>
      <c r="N177" s="88">
        <f t="shared" si="3"/>
        <v>34139</v>
      </c>
      <c r="O177" s="25" t="e">
        <f>IF(L177&gt;#REF!,#REF!-M177-1,#REF!-M177)</f>
        <v>#REF!</v>
      </c>
      <c r="P177" s="25" t="e">
        <f t="shared" si="0"/>
        <v>#REF!</v>
      </c>
      <c r="Q177" s="87" t="s">
        <v>40</v>
      </c>
      <c r="R177" s="121" t="s">
        <v>35</v>
      </c>
      <c r="S177" s="87" t="s">
        <v>48</v>
      </c>
      <c r="T177" s="87" t="s">
        <v>65</v>
      </c>
      <c r="U177" s="87" t="s">
        <v>906</v>
      </c>
      <c r="V177" s="87" t="s">
        <v>907</v>
      </c>
      <c r="W177" s="87" t="s">
        <v>909</v>
      </c>
      <c r="X177" s="87" t="s">
        <v>916</v>
      </c>
      <c r="Y177" s="87"/>
      <c r="Z177" s="87"/>
      <c r="AA177" s="87"/>
      <c r="AB177" s="87"/>
      <c r="AC177" s="87"/>
      <c r="AD177" s="87"/>
      <c r="AE177" s="87" t="s">
        <v>387</v>
      </c>
      <c r="AF177" s="87" t="s">
        <v>387</v>
      </c>
      <c r="AG177" s="87"/>
      <c r="AH177" s="87"/>
      <c r="AI177" s="87"/>
      <c r="AJ177" s="18"/>
      <c r="AK177" s="18"/>
      <c r="AL177" s="26"/>
      <c r="AM177" s="18"/>
      <c r="AN177" s="18"/>
    </row>
    <row r="178" spans="1:40" ht="13.5" customHeight="1" x14ac:dyDescent="0.35">
      <c r="A178" s="26" t="s">
        <v>925</v>
      </c>
      <c r="B178" s="101" t="s">
        <v>931</v>
      </c>
      <c r="C178" s="110" t="s">
        <v>539</v>
      </c>
      <c r="D178" s="116" t="s">
        <v>542</v>
      </c>
      <c r="E178" s="86" t="s">
        <v>543</v>
      </c>
      <c r="F178" s="86" t="s">
        <v>105</v>
      </c>
      <c r="G178" s="86" t="s">
        <v>901</v>
      </c>
      <c r="H178" s="86"/>
      <c r="I178" s="86" t="s">
        <v>5</v>
      </c>
      <c r="J178" s="86" t="s">
        <v>98</v>
      </c>
      <c r="K178" s="86">
        <v>5</v>
      </c>
      <c r="L178" s="86">
        <v>5</v>
      </c>
      <c r="M178" s="87">
        <v>1974</v>
      </c>
      <c r="N178" s="88">
        <f t="shared" si="3"/>
        <v>27154</v>
      </c>
      <c r="O178" s="25" t="e">
        <f>IF(L178&gt;#REF!,#REF!-M178-1,#REF!-M178)</f>
        <v>#REF!</v>
      </c>
      <c r="P178" s="25" t="e">
        <f t="shared" si="0"/>
        <v>#REF!</v>
      </c>
      <c r="Q178" s="87" t="s">
        <v>40</v>
      </c>
      <c r="R178" s="121" t="s">
        <v>35</v>
      </c>
      <c r="S178" s="87" t="s">
        <v>54</v>
      </c>
      <c r="T178" s="87" t="s">
        <v>71</v>
      </c>
      <c r="U178" s="87" t="s">
        <v>906</v>
      </c>
      <c r="V178" s="87" t="s">
        <v>907</v>
      </c>
      <c r="W178" s="87" t="s">
        <v>909</v>
      </c>
      <c r="X178" s="87" t="s">
        <v>916</v>
      </c>
      <c r="Y178" s="87"/>
      <c r="Z178" s="87"/>
      <c r="AA178" s="87"/>
      <c r="AB178" s="87"/>
      <c r="AC178" s="87"/>
      <c r="AD178" s="87"/>
      <c r="AE178" s="87" t="s">
        <v>387</v>
      </c>
      <c r="AF178" s="87" t="s">
        <v>387</v>
      </c>
      <c r="AG178" s="87"/>
      <c r="AH178" s="87"/>
      <c r="AI178" s="87"/>
      <c r="AJ178" s="18"/>
      <c r="AK178" s="18"/>
      <c r="AL178" s="26"/>
      <c r="AM178" s="18"/>
      <c r="AN178" s="18"/>
    </row>
    <row r="179" spans="1:40" ht="13.5" customHeight="1" x14ac:dyDescent="0.35">
      <c r="A179" s="26" t="s">
        <v>925</v>
      </c>
      <c r="B179" s="101" t="s">
        <v>931</v>
      </c>
      <c r="C179" s="110" t="s">
        <v>544</v>
      </c>
      <c r="D179" s="116" t="s">
        <v>545</v>
      </c>
      <c r="E179" s="86" t="s">
        <v>546</v>
      </c>
      <c r="F179" s="86" t="s">
        <v>97</v>
      </c>
      <c r="G179" s="86" t="s">
        <v>901</v>
      </c>
      <c r="H179" s="86"/>
      <c r="I179" s="86" t="s">
        <v>4</v>
      </c>
      <c r="J179" s="86" t="s">
        <v>98</v>
      </c>
      <c r="K179" s="86">
        <v>29</v>
      </c>
      <c r="L179" s="86">
        <v>1</v>
      </c>
      <c r="M179" s="87">
        <v>1998</v>
      </c>
      <c r="N179" s="88">
        <f t="shared" si="3"/>
        <v>35824</v>
      </c>
      <c r="O179" s="25" t="e">
        <f>IF(L179&gt;#REF!,#REF!-M179-1,#REF!-M179)</f>
        <v>#REF!</v>
      </c>
      <c r="P179" s="25" t="e">
        <f t="shared" si="0"/>
        <v>#REF!</v>
      </c>
      <c r="Q179" s="87" t="s">
        <v>40</v>
      </c>
      <c r="R179" s="121" t="s">
        <v>35</v>
      </c>
      <c r="S179" s="87" t="s">
        <v>52</v>
      </c>
      <c r="T179" s="87" t="s">
        <v>66</v>
      </c>
      <c r="U179" s="87" t="s">
        <v>906</v>
      </c>
      <c r="V179" s="87" t="s">
        <v>907</v>
      </c>
      <c r="W179" s="87" t="s">
        <v>909</v>
      </c>
      <c r="X179" s="87" t="s">
        <v>916</v>
      </c>
      <c r="Y179" s="87"/>
      <c r="Z179" s="87"/>
      <c r="AA179" s="87"/>
      <c r="AB179" s="87"/>
      <c r="AC179" s="87"/>
      <c r="AD179" s="87"/>
      <c r="AE179" s="87" t="s">
        <v>400</v>
      </c>
      <c r="AF179" s="87" t="s">
        <v>400</v>
      </c>
      <c r="AG179" s="87"/>
      <c r="AH179" s="87"/>
      <c r="AI179" s="87"/>
      <c r="AJ179" s="18"/>
      <c r="AK179" s="18"/>
      <c r="AL179" s="26"/>
      <c r="AM179" s="18"/>
      <c r="AN179" s="18"/>
    </row>
    <row r="180" spans="1:40" ht="13.5" customHeight="1" x14ac:dyDescent="0.35">
      <c r="A180" s="26" t="s">
        <v>925</v>
      </c>
      <c r="B180" s="101" t="s">
        <v>931</v>
      </c>
      <c r="C180" s="110" t="s">
        <v>544</v>
      </c>
      <c r="D180" s="116" t="s">
        <v>547</v>
      </c>
      <c r="E180" s="86" t="s">
        <v>548</v>
      </c>
      <c r="F180" s="86" t="s">
        <v>105</v>
      </c>
      <c r="G180" s="86" t="s">
        <v>901</v>
      </c>
      <c r="H180" s="86"/>
      <c r="I180" s="86" t="s">
        <v>5</v>
      </c>
      <c r="J180" s="86" t="s">
        <v>98</v>
      </c>
      <c r="K180" s="86">
        <v>22</v>
      </c>
      <c r="L180" s="86">
        <v>4</v>
      </c>
      <c r="M180" s="87">
        <v>2000</v>
      </c>
      <c r="N180" s="88">
        <f t="shared" si="3"/>
        <v>36638</v>
      </c>
      <c r="O180" s="25" t="e">
        <f>IF(L180&gt;#REF!,#REF!-M180-1,#REF!-M180)</f>
        <v>#REF!</v>
      </c>
      <c r="P180" s="25" t="e">
        <f t="shared" si="0"/>
        <v>#REF!</v>
      </c>
      <c r="Q180" s="87" t="s">
        <v>40</v>
      </c>
      <c r="R180" s="121" t="s">
        <v>35</v>
      </c>
      <c r="S180" s="87" t="s">
        <v>54</v>
      </c>
      <c r="T180" s="87" t="s">
        <v>66</v>
      </c>
      <c r="U180" s="87" t="s">
        <v>906</v>
      </c>
      <c r="V180" s="87" t="s">
        <v>907</v>
      </c>
      <c r="W180" s="87" t="s">
        <v>909</v>
      </c>
      <c r="X180" s="87" t="s">
        <v>916</v>
      </c>
      <c r="Y180" s="87"/>
      <c r="Z180" s="87"/>
      <c r="AA180" s="87"/>
      <c r="AB180" s="87"/>
      <c r="AC180" s="87"/>
      <c r="AD180" s="87"/>
      <c r="AE180" s="87" t="s">
        <v>400</v>
      </c>
      <c r="AF180" s="87" t="s">
        <v>400</v>
      </c>
      <c r="AG180" s="87"/>
      <c r="AH180" s="87"/>
      <c r="AI180" s="87"/>
      <c r="AJ180" s="18"/>
      <c r="AK180" s="18"/>
      <c r="AL180" s="26"/>
      <c r="AM180" s="18"/>
      <c r="AN180" s="18"/>
    </row>
    <row r="181" spans="1:40" ht="13.5" customHeight="1" x14ac:dyDescent="0.35">
      <c r="A181" s="26" t="s">
        <v>925</v>
      </c>
      <c r="B181" s="101" t="s">
        <v>931</v>
      </c>
      <c r="C181" s="110" t="s">
        <v>544</v>
      </c>
      <c r="D181" s="116" t="s">
        <v>549</v>
      </c>
      <c r="E181" s="86" t="s">
        <v>550</v>
      </c>
      <c r="F181" s="86" t="s">
        <v>108</v>
      </c>
      <c r="G181" s="86" t="s">
        <v>901</v>
      </c>
      <c r="H181" s="86"/>
      <c r="I181" s="86" t="s">
        <v>5</v>
      </c>
      <c r="J181" s="86" t="s">
        <v>98</v>
      </c>
      <c r="K181" s="86">
        <v>8</v>
      </c>
      <c r="L181" s="86">
        <v>10</v>
      </c>
      <c r="M181" s="87">
        <v>2019</v>
      </c>
      <c r="N181" s="88">
        <f t="shared" si="3"/>
        <v>43746</v>
      </c>
      <c r="O181" s="25" t="e">
        <f>IF(L181&gt;#REF!,#REF!-M181-1,#REF!-M181)</f>
        <v>#REF!</v>
      </c>
      <c r="P181" s="25" t="e">
        <f t="shared" si="0"/>
        <v>#REF!</v>
      </c>
      <c r="Q181" s="87" t="s">
        <v>40</v>
      </c>
      <c r="R181" s="121" t="s">
        <v>28</v>
      </c>
      <c r="S181" s="87" t="s">
        <v>48</v>
      </c>
      <c r="T181" s="87" t="s">
        <v>65</v>
      </c>
      <c r="U181" s="87" t="s">
        <v>906</v>
      </c>
      <c r="V181" s="87" t="s">
        <v>907</v>
      </c>
      <c r="W181" s="87" t="s">
        <v>909</v>
      </c>
      <c r="X181" s="87" t="s">
        <v>916</v>
      </c>
      <c r="Y181" s="87"/>
      <c r="Z181" s="87"/>
      <c r="AA181" s="87"/>
      <c r="AB181" s="87"/>
      <c r="AC181" s="87"/>
      <c r="AD181" s="87"/>
      <c r="AE181" s="87" t="s">
        <v>400</v>
      </c>
      <c r="AF181" s="87" t="s">
        <v>400</v>
      </c>
      <c r="AG181" s="87"/>
      <c r="AH181" s="87"/>
      <c r="AI181" s="87"/>
      <c r="AJ181" s="18"/>
      <c r="AK181" s="18"/>
      <c r="AL181" s="26"/>
      <c r="AM181" s="18"/>
      <c r="AN181" s="18"/>
    </row>
    <row r="182" spans="1:40" ht="13.5" customHeight="1" x14ac:dyDescent="0.35">
      <c r="A182" s="26" t="s">
        <v>925</v>
      </c>
      <c r="B182" s="101" t="s">
        <v>931</v>
      </c>
      <c r="C182" s="110" t="s">
        <v>544</v>
      </c>
      <c r="D182" s="116" t="s">
        <v>551</v>
      </c>
      <c r="E182" s="86" t="s">
        <v>552</v>
      </c>
      <c r="F182" s="86" t="s">
        <v>108</v>
      </c>
      <c r="G182" s="86" t="s">
        <v>901</v>
      </c>
      <c r="H182" s="86"/>
      <c r="I182" s="86" t="s">
        <v>4</v>
      </c>
      <c r="J182" s="86" t="s">
        <v>98</v>
      </c>
      <c r="K182" s="86">
        <v>27</v>
      </c>
      <c r="L182" s="86">
        <v>7</v>
      </c>
      <c r="M182" s="87">
        <v>2022</v>
      </c>
      <c r="N182" s="88">
        <f t="shared" si="3"/>
        <v>44769</v>
      </c>
      <c r="O182" s="25" t="e">
        <f>IF(L182&gt;#REF!,#REF!-M182-1,#REF!-M182)</f>
        <v>#REF!</v>
      </c>
      <c r="P182" s="25" t="e">
        <f t="shared" si="0"/>
        <v>#REF!</v>
      </c>
      <c r="Q182" s="87" t="s">
        <v>40</v>
      </c>
      <c r="R182" s="121" t="s">
        <v>28</v>
      </c>
      <c r="S182" s="87" t="s">
        <v>48</v>
      </c>
      <c r="T182" s="87" t="s">
        <v>65</v>
      </c>
      <c r="U182" s="87" t="s">
        <v>906</v>
      </c>
      <c r="V182" s="87" t="s">
        <v>907</v>
      </c>
      <c r="W182" s="87" t="s">
        <v>909</v>
      </c>
      <c r="X182" s="87" t="s">
        <v>916</v>
      </c>
      <c r="Y182" s="87"/>
      <c r="Z182" s="87"/>
      <c r="AA182" s="87"/>
      <c r="AB182" s="87"/>
      <c r="AC182" s="87"/>
      <c r="AD182" s="87"/>
      <c r="AE182" s="87" t="s">
        <v>400</v>
      </c>
      <c r="AF182" s="87" t="s">
        <v>400</v>
      </c>
      <c r="AG182" s="87"/>
      <c r="AH182" s="87"/>
      <c r="AI182" s="87"/>
      <c r="AJ182" s="18"/>
      <c r="AK182" s="18"/>
      <c r="AL182" s="26"/>
      <c r="AM182" s="18"/>
      <c r="AN182" s="18"/>
    </row>
    <row r="183" spans="1:40" ht="13.5" customHeight="1" x14ac:dyDescent="0.35">
      <c r="A183" s="26" t="s">
        <v>925</v>
      </c>
      <c r="B183" s="101" t="s">
        <v>931</v>
      </c>
      <c r="C183" s="110" t="s">
        <v>553</v>
      </c>
      <c r="D183" s="116" t="s">
        <v>554</v>
      </c>
      <c r="E183" s="86" t="s">
        <v>555</v>
      </c>
      <c r="F183" s="86" t="s">
        <v>97</v>
      </c>
      <c r="G183" s="86" t="s">
        <v>901</v>
      </c>
      <c r="H183" s="86"/>
      <c r="I183" s="86" t="s">
        <v>5</v>
      </c>
      <c r="J183" s="86" t="s">
        <v>98</v>
      </c>
      <c r="K183" s="86">
        <v>22</v>
      </c>
      <c r="L183" s="86">
        <v>10</v>
      </c>
      <c r="M183" s="87">
        <v>1993</v>
      </c>
      <c r="N183" s="88">
        <f t="shared" si="3"/>
        <v>34264</v>
      </c>
      <c r="O183" s="25" t="e">
        <f>IF(L183&gt;#REF!,#REF!-M183-1,#REF!-M183)</f>
        <v>#REF!</v>
      </c>
      <c r="P183" s="25" t="e">
        <f t="shared" si="0"/>
        <v>#REF!</v>
      </c>
      <c r="Q183" s="87" t="s">
        <v>40</v>
      </c>
      <c r="R183" s="121" t="s">
        <v>31</v>
      </c>
      <c r="S183" s="87" t="s">
        <v>54</v>
      </c>
      <c r="T183" s="87" t="s">
        <v>68</v>
      </c>
      <c r="U183" s="87" t="s">
        <v>906</v>
      </c>
      <c r="V183" s="87" t="s">
        <v>907</v>
      </c>
      <c r="W183" s="87" t="s">
        <v>909</v>
      </c>
      <c r="X183" s="87" t="s">
        <v>916</v>
      </c>
      <c r="Y183" s="87"/>
      <c r="Z183" s="87"/>
      <c r="AA183" s="87"/>
      <c r="AB183" s="87"/>
      <c r="AC183" s="87"/>
      <c r="AD183" s="87"/>
      <c r="AE183" s="87" t="s">
        <v>400</v>
      </c>
      <c r="AF183" s="87" t="s">
        <v>400</v>
      </c>
      <c r="AG183" s="87"/>
      <c r="AH183" s="87"/>
      <c r="AI183" s="87"/>
      <c r="AJ183" s="18"/>
      <c r="AK183" s="18"/>
      <c r="AL183" s="26"/>
      <c r="AM183" s="18"/>
      <c r="AN183" s="18"/>
    </row>
    <row r="184" spans="1:40" ht="13.5" customHeight="1" x14ac:dyDescent="0.35">
      <c r="A184" s="26" t="s">
        <v>925</v>
      </c>
      <c r="B184" s="101" t="s">
        <v>931</v>
      </c>
      <c r="C184" s="110" t="s">
        <v>553</v>
      </c>
      <c r="D184" s="116" t="s">
        <v>556</v>
      </c>
      <c r="E184" s="86" t="s">
        <v>557</v>
      </c>
      <c r="F184" s="86" t="s">
        <v>108</v>
      </c>
      <c r="G184" s="86" t="s">
        <v>901</v>
      </c>
      <c r="H184" s="86"/>
      <c r="I184" s="86" t="s">
        <v>4</v>
      </c>
      <c r="J184" s="86" t="s">
        <v>98</v>
      </c>
      <c r="K184" s="86">
        <v>20</v>
      </c>
      <c r="L184" s="86">
        <v>6</v>
      </c>
      <c r="M184" s="87">
        <v>2012</v>
      </c>
      <c r="N184" s="88">
        <f t="shared" si="3"/>
        <v>41080</v>
      </c>
      <c r="O184" s="25" t="e">
        <f>IF(L184&gt;#REF!,#REF!-M184-1,#REF!-M184)</f>
        <v>#REF!</v>
      </c>
      <c r="P184" s="25" t="e">
        <f t="shared" si="0"/>
        <v>#REF!</v>
      </c>
      <c r="Q184" s="87" t="s">
        <v>40</v>
      </c>
      <c r="R184" s="121" t="s">
        <v>28</v>
      </c>
      <c r="S184" s="87" t="s">
        <v>48</v>
      </c>
      <c r="T184" s="87" t="s">
        <v>65</v>
      </c>
      <c r="U184" s="87" t="s">
        <v>906</v>
      </c>
      <c r="V184" s="87" t="s">
        <v>907</v>
      </c>
      <c r="W184" s="87" t="s">
        <v>909</v>
      </c>
      <c r="X184" s="87" t="s">
        <v>916</v>
      </c>
      <c r="Y184" s="87"/>
      <c r="Z184" s="87"/>
      <c r="AA184" s="87"/>
      <c r="AB184" s="87"/>
      <c r="AC184" s="87"/>
      <c r="AD184" s="87"/>
      <c r="AE184" s="87" t="s">
        <v>400</v>
      </c>
      <c r="AF184" s="87" t="s">
        <v>400</v>
      </c>
      <c r="AG184" s="87"/>
      <c r="AH184" s="87"/>
      <c r="AI184" s="87"/>
      <c r="AJ184" s="18"/>
      <c r="AK184" s="18"/>
      <c r="AL184" s="26"/>
      <c r="AM184" s="18"/>
      <c r="AN184" s="18"/>
    </row>
    <row r="185" spans="1:40" ht="13.5" customHeight="1" x14ac:dyDescent="0.35">
      <c r="A185" s="26" t="s">
        <v>925</v>
      </c>
      <c r="B185" s="101" t="s">
        <v>931</v>
      </c>
      <c r="C185" s="110" t="s">
        <v>558</v>
      </c>
      <c r="D185" s="116" t="s">
        <v>559</v>
      </c>
      <c r="E185" s="86" t="s">
        <v>560</v>
      </c>
      <c r="F185" s="86" t="s">
        <v>97</v>
      </c>
      <c r="G185" s="86" t="s">
        <v>901</v>
      </c>
      <c r="H185" s="86"/>
      <c r="I185" s="86" t="s">
        <v>4</v>
      </c>
      <c r="J185" s="86" t="s">
        <v>155</v>
      </c>
      <c r="K185" s="86">
        <v>20</v>
      </c>
      <c r="L185" s="86">
        <v>8</v>
      </c>
      <c r="M185" s="87">
        <v>1955</v>
      </c>
      <c r="N185" s="88">
        <f t="shared" si="3"/>
        <v>20321</v>
      </c>
      <c r="O185" s="25" t="e">
        <f>IF(L185&gt;#REF!,#REF!-M185-1,#REF!-M185)</f>
        <v>#REF!</v>
      </c>
      <c r="P185" s="25" t="e">
        <f t="shared" si="0"/>
        <v>#REF!</v>
      </c>
      <c r="Q185" s="87" t="s">
        <v>40</v>
      </c>
      <c r="R185" s="121" t="s">
        <v>31</v>
      </c>
      <c r="S185" s="87" t="s">
        <v>62</v>
      </c>
      <c r="T185" s="87" t="s">
        <v>66</v>
      </c>
      <c r="U185" s="87" t="s">
        <v>906</v>
      </c>
      <c r="V185" s="87" t="s">
        <v>907</v>
      </c>
      <c r="W185" s="87" t="s">
        <v>909</v>
      </c>
      <c r="X185" s="87" t="s">
        <v>916</v>
      </c>
      <c r="Y185" s="87"/>
      <c r="Z185" s="87"/>
      <c r="AA185" s="87"/>
      <c r="AB185" s="87"/>
      <c r="AC185" s="87"/>
      <c r="AD185" s="87"/>
      <c r="AE185" s="87" t="s">
        <v>400</v>
      </c>
      <c r="AF185" s="87" t="s">
        <v>400</v>
      </c>
      <c r="AG185" s="87"/>
      <c r="AH185" s="87"/>
      <c r="AI185" s="87"/>
      <c r="AJ185" s="18"/>
      <c r="AK185" s="18"/>
      <c r="AL185" s="26"/>
      <c r="AM185" s="18"/>
      <c r="AN185" s="18"/>
    </row>
    <row r="186" spans="1:40" ht="13.5" customHeight="1" x14ac:dyDescent="0.35">
      <c r="A186" s="26" t="s">
        <v>925</v>
      </c>
      <c r="B186" s="101" t="s">
        <v>931</v>
      </c>
      <c r="C186" s="110" t="s">
        <v>558</v>
      </c>
      <c r="D186" s="116" t="s">
        <v>561</v>
      </c>
      <c r="E186" s="86" t="s">
        <v>562</v>
      </c>
      <c r="F186" s="86" t="s">
        <v>105</v>
      </c>
      <c r="G186" s="86" t="s">
        <v>901</v>
      </c>
      <c r="H186" s="86"/>
      <c r="I186" s="86" t="s">
        <v>5</v>
      </c>
      <c r="J186" s="86" t="s">
        <v>155</v>
      </c>
      <c r="K186" s="86">
        <v>19</v>
      </c>
      <c r="L186" s="86">
        <v>9</v>
      </c>
      <c r="M186" s="87">
        <v>1964</v>
      </c>
      <c r="N186" s="88">
        <f t="shared" si="3"/>
        <v>23639</v>
      </c>
      <c r="O186" s="25" t="e">
        <f>IF(L186&gt;#REF!,#REF!-M186-1,#REF!-M186)</f>
        <v>#REF!</v>
      </c>
      <c r="P186" s="25" t="e">
        <f t="shared" si="0"/>
        <v>#REF!</v>
      </c>
      <c r="Q186" s="87" t="s">
        <v>40</v>
      </c>
      <c r="R186" s="121" t="s">
        <v>31</v>
      </c>
      <c r="S186" s="87" t="s">
        <v>55</v>
      </c>
      <c r="T186" s="87" t="s">
        <v>66</v>
      </c>
      <c r="U186" s="87" t="s">
        <v>906</v>
      </c>
      <c r="V186" s="87" t="s">
        <v>907</v>
      </c>
      <c r="W186" s="87" t="s">
        <v>909</v>
      </c>
      <c r="X186" s="87" t="s">
        <v>916</v>
      </c>
      <c r="Y186" s="87"/>
      <c r="Z186" s="87"/>
      <c r="AA186" s="87"/>
      <c r="AB186" s="87"/>
      <c r="AC186" s="87"/>
      <c r="AD186" s="87"/>
      <c r="AE186" s="87" t="s">
        <v>400</v>
      </c>
      <c r="AF186" s="87" t="s">
        <v>400</v>
      </c>
      <c r="AG186" s="87"/>
      <c r="AH186" s="87"/>
      <c r="AI186" s="87"/>
      <c r="AJ186" s="18"/>
      <c r="AK186" s="18"/>
      <c r="AL186" s="26"/>
      <c r="AM186" s="18"/>
      <c r="AN186" s="18"/>
    </row>
    <row r="187" spans="1:40" ht="13.5" customHeight="1" x14ac:dyDescent="0.35">
      <c r="A187" s="26" t="s">
        <v>925</v>
      </c>
      <c r="B187" s="101" t="s">
        <v>931</v>
      </c>
      <c r="C187" s="110" t="s">
        <v>558</v>
      </c>
      <c r="D187" s="116" t="s">
        <v>563</v>
      </c>
      <c r="E187" s="86" t="s">
        <v>564</v>
      </c>
      <c r="F187" s="86" t="s">
        <v>108</v>
      </c>
      <c r="G187" s="86" t="s">
        <v>901</v>
      </c>
      <c r="H187" s="86"/>
      <c r="I187" s="86" t="s">
        <v>5</v>
      </c>
      <c r="J187" s="86" t="s">
        <v>98</v>
      </c>
      <c r="K187" s="86">
        <v>11</v>
      </c>
      <c r="L187" s="86">
        <v>10</v>
      </c>
      <c r="M187" s="87">
        <v>2004</v>
      </c>
      <c r="N187" s="88">
        <f t="shared" si="3"/>
        <v>38271</v>
      </c>
      <c r="O187" s="25" t="e">
        <f>IF(L187&gt;#REF!,#REF!-M187-1,#REF!-M187)</f>
        <v>#REF!</v>
      </c>
      <c r="P187" s="25" t="e">
        <f t="shared" si="0"/>
        <v>#REF!</v>
      </c>
      <c r="Q187" s="87" t="s">
        <v>40</v>
      </c>
      <c r="R187" s="121" t="s">
        <v>28</v>
      </c>
      <c r="S187" s="87" t="s">
        <v>48</v>
      </c>
      <c r="T187" s="87" t="s">
        <v>65</v>
      </c>
      <c r="U187" s="87" t="s">
        <v>906</v>
      </c>
      <c r="V187" s="87" t="s">
        <v>907</v>
      </c>
      <c r="W187" s="87" t="s">
        <v>909</v>
      </c>
      <c r="X187" s="87" t="s">
        <v>916</v>
      </c>
      <c r="Y187" s="87"/>
      <c r="Z187" s="87"/>
      <c r="AA187" s="87"/>
      <c r="AB187" s="87"/>
      <c r="AC187" s="87"/>
      <c r="AD187" s="87"/>
      <c r="AE187" s="87" t="s">
        <v>400</v>
      </c>
      <c r="AF187" s="87" t="s">
        <v>400</v>
      </c>
      <c r="AG187" s="87"/>
      <c r="AH187" s="87"/>
      <c r="AI187" s="87"/>
      <c r="AJ187" s="18"/>
      <c r="AK187" s="18"/>
      <c r="AL187" s="26"/>
      <c r="AM187" s="18"/>
      <c r="AN187" s="18"/>
    </row>
    <row r="188" spans="1:40" ht="13.5" customHeight="1" x14ac:dyDescent="0.35">
      <c r="A188" s="26" t="s">
        <v>925</v>
      </c>
      <c r="B188" s="101" t="s">
        <v>931</v>
      </c>
      <c r="C188" s="110" t="s">
        <v>565</v>
      </c>
      <c r="D188" s="116" t="s">
        <v>566</v>
      </c>
      <c r="E188" s="86" t="s">
        <v>567</v>
      </c>
      <c r="F188" s="86" t="s">
        <v>97</v>
      </c>
      <c r="G188" s="86" t="s">
        <v>901</v>
      </c>
      <c r="H188" s="86"/>
      <c r="I188" s="86" t="s">
        <v>4</v>
      </c>
      <c r="J188" s="86" t="s">
        <v>98</v>
      </c>
      <c r="K188" s="86">
        <v>28</v>
      </c>
      <c r="L188" s="86">
        <v>6</v>
      </c>
      <c r="M188" s="87">
        <v>1989</v>
      </c>
      <c r="N188" s="88">
        <f t="shared" si="3"/>
        <v>32687</v>
      </c>
      <c r="O188" s="25" t="e">
        <f>IF(L188&gt;#REF!,#REF!-M188-1,#REF!-M188)</f>
        <v>#REF!</v>
      </c>
      <c r="P188" s="25" t="e">
        <f t="shared" si="0"/>
        <v>#REF!</v>
      </c>
      <c r="Q188" s="87" t="s">
        <v>40</v>
      </c>
      <c r="R188" s="121" t="s">
        <v>30</v>
      </c>
      <c r="S188" s="87" t="s">
        <v>48</v>
      </c>
      <c r="T188" s="87" t="s">
        <v>65</v>
      </c>
      <c r="U188" s="87" t="s">
        <v>906</v>
      </c>
      <c r="V188" s="87" t="s">
        <v>907</v>
      </c>
      <c r="W188" s="87" t="s">
        <v>909</v>
      </c>
      <c r="X188" s="87" t="s">
        <v>916</v>
      </c>
      <c r="Y188" s="87"/>
      <c r="Z188" s="87"/>
      <c r="AA188" s="87"/>
      <c r="AB188" s="87"/>
      <c r="AC188" s="87"/>
      <c r="AD188" s="87"/>
      <c r="AE188" s="87" t="s">
        <v>243</v>
      </c>
      <c r="AF188" s="87" t="s">
        <v>243</v>
      </c>
      <c r="AG188" s="87"/>
      <c r="AH188" s="87"/>
      <c r="AI188" s="87"/>
      <c r="AJ188" s="18"/>
      <c r="AK188" s="18"/>
      <c r="AL188" s="26"/>
      <c r="AM188" s="18"/>
      <c r="AN188" s="18"/>
    </row>
    <row r="189" spans="1:40" ht="13.5" customHeight="1" x14ac:dyDescent="0.35">
      <c r="A189" s="26" t="s">
        <v>925</v>
      </c>
      <c r="B189" s="101" t="s">
        <v>931</v>
      </c>
      <c r="C189" s="110" t="s">
        <v>565</v>
      </c>
      <c r="D189" s="116" t="s">
        <v>568</v>
      </c>
      <c r="E189" s="86" t="s">
        <v>569</v>
      </c>
      <c r="F189" s="86" t="s">
        <v>105</v>
      </c>
      <c r="G189" s="86" t="s">
        <v>901</v>
      </c>
      <c r="H189" s="86"/>
      <c r="I189" s="86" t="s">
        <v>5</v>
      </c>
      <c r="J189" s="86" t="s">
        <v>98</v>
      </c>
      <c r="K189" s="86">
        <v>5</v>
      </c>
      <c r="L189" s="86">
        <v>10</v>
      </c>
      <c r="M189" s="87">
        <v>1995</v>
      </c>
      <c r="N189" s="88">
        <f t="shared" si="3"/>
        <v>34977</v>
      </c>
      <c r="O189" s="25" t="e">
        <f>IF(L189&gt;#REF!,#REF!-M189-1,#REF!-M189)</f>
        <v>#REF!</v>
      </c>
      <c r="P189" s="25" t="e">
        <f t="shared" si="0"/>
        <v>#REF!</v>
      </c>
      <c r="Q189" s="87" t="s">
        <v>40</v>
      </c>
      <c r="R189" s="121" t="s">
        <v>30</v>
      </c>
      <c r="S189" s="87" t="s">
        <v>54</v>
      </c>
      <c r="T189" s="87" t="s">
        <v>65</v>
      </c>
      <c r="U189" s="87" t="s">
        <v>906</v>
      </c>
      <c r="V189" s="87" t="s">
        <v>907</v>
      </c>
      <c r="W189" s="87" t="s">
        <v>909</v>
      </c>
      <c r="X189" s="87" t="s">
        <v>916</v>
      </c>
      <c r="Y189" s="87"/>
      <c r="Z189" s="87"/>
      <c r="AA189" s="87"/>
      <c r="AB189" s="87"/>
      <c r="AC189" s="87"/>
      <c r="AD189" s="87"/>
      <c r="AE189" s="87" t="s">
        <v>243</v>
      </c>
      <c r="AF189" s="87" t="s">
        <v>243</v>
      </c>
      <c r="AG189" s="87"/>
      <c r="AH189" s="87"/>
      <c r="AI189" s="87"/>
      <c r="AJ189" s="18"/>
      <c r="AK189" s="18"/>
      <c r="AL189" s="26"/>
      <c r="AM189" s="18"/>
      <c r="AN189" s="18"/>
    </row>
    <row r="190" spans="1:40" ht="13.5" customHeight="1" x14ac:dyDescent="0.35">
      <c r="A190" s="26" t="s">
        <v>925</v>
      </c>
      <c r="B190" s="101" t="s">
        <v>931</v>
      </c>
      <c r="C190" s="110" t="s">
        <v>565</v>
      </c>
      <c r="D190" s="116" t="s">
        <v>570</v>
      </c>
      <c r="E190" s="86" t="s">
        <v>571</v>
      </c>
      <c r="F190" s="86" t="s">
        <v>108</v>
      </c>
      <c r="G190" s="86" t="s">
        <v>901</v>
      </c>
      <c r="H190" s="86"/>
      <c r="I190" s="86" t="s">
        <v>5</v>
      </c>
      <c r="J190" s="86" t="s">
        <v>98</v>
      </c>
      <c r="K190" s="86">
        <v>14</v>
      </c>
      <c r="L190" s="86">
        <v>5</v>
      </c>
      <c r="M190" s="87">
        <v>2013</v>
      </c>
      <c r="N190" s="88">
        <f t="shared" si="3"/>
        <v>41408</v>
      </c>
      <c r="O190" s="25" t="e">
        <f>IF(L190&gt;#REF!,#REF!-M190-1,#REF!-M190)</f>
        <v>#REF!</v>
      </c>
      <c r="P190" s="25" t="e">
        <f t="shared" si="0"/>
        <v>#REF!</v>
      </c>
      <c r="Q190" s="87" t="s">
        <v>40</v>
      </c>
      <c r="R190" s="121" t="s">
        <v>28</v>
      </c>
      <c r="S190" s="87" t="s">
        <v>48</v>
      </c>
      <c r="T190" s="87" t="s">
        <v>65</v>
      </c>
      <c r="U190" s="87" t="s">
        <v>906</v>
      </c>
      <c r="V190" s="87" t="s">
        <v>907</v>
      </c>
      <c r="W190" s="87" t="s">
        <v>909</v>
      </c>
      <c r="X190" s="87" t="s">
        <v>916</v>
      </c>
      <c r="Y190" s="87"/>
      <c r="Z190" s="87"/>
      <c r="AA190" s="87"/>
      <c r="AB190" s="87"/>
      <c r="AC190" s="87"/>
      <c r="AD190" s="87"/>
      <c r="AE190" s="87" t="s">
        <v>243</v>
      </c>
      <c r="AF190" s="87" t="s">
        <v>243</v>
      </c>
      <c r="AG190" s="87"/>
      <c r="AH190" s="87"/>
      <c r="AI190" s="87"/>
      <c r="AJ190" s="18"/>
      <c r="AK190" s="18"/>
      <c r="AL190" s="26"/>
      <c r="AM190" s="18"/>
      <c r="AN190" s="18"/>
    </row>
    <row r="191" spans="1:40" ht="13.5" customHeight="1" x14ac:dyDescent="0.35">
      <c r="A191" s="26" t="s">
        <v>925</v>
      </c>
      <c r="B191" s="101" t="s">
        <v>931</v>
      </c>
      <c r="C191" s="110" t="s">
        <v>572</v>
      </c>
      <c r="D191" s="116" t="s">
        <v>573</v>
      </c>
      <c r="E191" s="86" t="s">
        <v>574</v>
      </c>
      <c r="F191" s="86" t="s">
        <v>97</v>
      </c>
      <c r="G191" s="86" t="s">
        <v>901</v>
      </c>
      <c r="H191" s="86"/>
      <c r="I191" s="86" t="s">
        <v>4</v>
      </c>
      <c r="J191" s="86" t="s">
        <v>129</v>
      </c>
      <c r="K191" s="86">
        <v>5</v>
      </c>
      <c r="L191" s="86">
        <v>10</v>
      </c>
      <c r="M191" s="87">
        <v>1977</v>
      </c>
      <c r="N191" s="88">
        <f t="shared" si="3"/>
        <v>28403</v>
      </c>
      <c r="O191" s="25" t="e">
        <f>IF(L191&gt;#REF!,#REF!-M191-1,#REF!-M191)</f>
        <v>#REF!</v>
      </c>
      <c r="P191" s="25" t="e">
        <f t="shared" si="0"/>
        <v>#REF!</v>
      </c>
      <c r="Q191" s="87" t="s">
        <v>40</v>
      </c>
      <c r="R191" s="121" t="s">
        <v>31</v>
      </c>
      <c r="S191" s="87" t="s">
        <v>49</v>
      </c>
      <c r="T191" s="87" t="s">
        <v>67</v>
      </c>
      <c r="U191" s="87" t="s">
        <v>906</v>
      </c>
      <c r="V191" s="87" t="s">
        <v>907</v>
      </c>
      <c r="W191" s="87" t="s">
        <v>909</v>
      </c>
      <c r="X191" s="87" t="s">
        <v>916</v>
      </c>
      <c r="Y191" s="87"/>
      <c r="Z191" s="87"/>
      <c r="AA191" s="87"/>
      <c r="AB191" s="87"/>
      <c r="AC191" s="87"/>
      <c r="AD191" s="87"/>
      <c r="AE191" s="87" t="s">
        <v>400</v>
      </c>
      <c r="AF191" s="87" t="s">
        <v>400</v>
      </c>
      <c r="AG191" s="87"/>
      <c r="AH191" s="87"/>
      <c r="AI191" s="87"/>
      <c r="AJ191" s="18"/>
      <c r="AK191" s="18"/>
      <c r="AL191" s="26"/>
      <c r="AM191" s="18"/>
      <c r="AN191" s="18"/>
    </row>
    <row r="192" spans="1:40" ht="13.5" customHeight="1" x14ac:dyDescent="0.35">
      <c r="A192" s="26" t="s">
        <v>925</v>
      </c>
      <c r="B192" s="101" t="s">
        <v>931</v>
      </c>
      <c r="C192" s="110" t="s">
        <v>572</v>
      </c>
      <c r="D192" s="116" t="s">
        <v>575</v>
      </c>
      <c r="E192" s="86" t="s">
        <v>576</v>
      </c>
      <c r="F192" s="86" t="s">
        <v>105</v>
      </c>
      <c r="G192" s="86" t="s">
        <v>901</v>
      </c>
      <c r="H192" s="86"/>
      <c r="I192" s="86" t="s">
        <v>5</v>
      </c>
      <c r="J192" s="86" t="s">
        <v>129</v>
      </c>
      <c r="K192" s="86">
        <v>14</v>
      </c>
      <c r="L192" s="86">
        <v>5</v>
      </c>
      <c r="M192" s="87">
        <v>1980</v>
      </c>
      <c r="N192" s="88">
        <f t="shared" si="3"/>
        <v>29355</v>
      </c>
      <c r="O192" s="25" t="e">
        <f>IF(L192&gt;#REF!,#REF!-M192-1,#REF!-M192)</f>
        <v>#REF!</v>
      </c>
      <c r="P192" s="25" t="e">
        <f t="shared" si="0"/>
        <v>#REF!</v>
      </c>
      <c r="Q192" s="87" t="s">
        <v>40</v>
      </c>
      <c r="R192" s="121" t="s">
        <v>31</v>
      </c>
      <c r="S192" s="87" t="s">
        <v>54</v>
      </c>
      <c r="T192" s="87" t="s">
        <v>67</v>
      </c>
      <c r="U192" s="87" t="s">
        <v>906</v>
      </c>
      <c r="V192" s="87" t="s">
        <v>907</v>
      </c>
      <c r="W192" s="87" t="s">
        <v>909</v>
      </c>
      <c r="X192" s="87" t="s">
        <v>916</v>
      </c>
      <c r="Y192" s="87"/>
      <c r="Z192" s="87"/>
      <c r="AA192" s="87"/>
      <c r="AB192" s="87"/>
      <c r="AC192" s="87"/>
      <c r="AD192" s="87"/>
      <c r="AE192" s="87" t="s">
        <v>400</v>
      </c>
      <c r="AF192" s="87" t="s">
        <v>400</v>
      </c>
      <c r="AG192" s="87"/>
      <c r="AH192" s="87"/>
      <c r="AI192" s="87"/>
      <c r="AJ192" s="18"/>
      <c r="AK192" s="18"/>
      <c r="AL192" s="26"/>
      <c r="AM192" s="18"/>
      <c r="AN192" s="18"/>
    </row>
    <row r="193" spans="1:40" ht="13.5" customHeight="1" x14ac:dyDescent="0.35">
      <c r="A193" s="26" t="s">
        <v>925</v>
      </c>
      <c r="B193" s="101" t="s">
        <v>931</v>
      </c>
      <c r="C193" s="110" t="s">
        <v>572</v>
      </c>
      <c r="D193" s="116" t="s">
        <v>577</v>
      </c>
      <c r="E193" s="86" t="s">
        <v>578</v>
      </c>
      <c r="F193" s="86" t="s">
        <v>108</v>
      </c>
      <c r="G193" s="86" t="s">
        <v>901</v>
      </c>
      <c r="H193" s="86"/>
      <c r="I193" s="86" t="s">
        <v>5</v>
      </c>
      <c r="J193" s="86" t="s">
        <v>579</v>
      </c>
      <c r="K193" s="86">
        <v>16</v>
      </c>
      <c r="L193" s="86">
        <v>2</v>
      </c>
      <c r="M193" s="87">
        <v>2006</v>
      </c>
      <c r="N193" s="88">
        <f t="shared" si="3"/>
        <v>38764</v>
      </c>
      <c r="O193" s="25" t="e">
        <f>IF(L193&gt;#REF!,#REF!-M193-1,#REF!-M193)</f>
        <v>#REF!</v>
      </c>
      <c r="P193" s="25" t="e">
        <f t="shared" si="0"/>
        <v>#REF!</v>
      </c>
      <c r="Q193" s="87" t="s">
        <v>40</v>
      </c>
      <c r="R193" s="121" t="s">
        <v>28</v>
      </c>
      <c r="S193" s="87" t="s">
        <v>48</v>
      </c>
      <c r="T193" s="87" t="s">
        <v>65</v>
      </c>
      <c r="U193" s="87" t="s">
        <v>906</v>
      </c>
      <c r="V193" s="87" t="s">
        <v>907</v>
      </c>
      <c r="W193" s="87" t="s">
        <v>909</v>
      </c>
      <c r="X193" s="87" t="s">
        <v>916</v>
      </c>
      <c r="Y193" s="87"/>
      <c r="Z193" s="87"/>
      <c r="AA193" s="87"/>
      <c r="AB193" s="87"/>
      <c r="AC193" s="87"/>
      <c r="AD193" s="87"/>
      <c r="AE193" s="87" t="s">
        <v>400</v>
      </c>
      <c r="AF193" s="87" t="s">
        <v>400</v>
      </c>
      <c r="AG193" s="87"/>
      <c r="AH193" s="87"/>
      <c r="AI193" s="87"/>
      <c r="AJ193" s="18"/>
      <c r="AK193" s="18"/>
      <c r="AL193" s="26"/>
      <c r="AM193" s="18"/>
      <c r="AN193" s="18"/>
    </row>
    <row r="194" spans="1:40" ht="13.5" customHeight="1" x14ac:dyDescent="0.35">
      <c r="A194" s="26" t="s">
        <v>925</v>
      </c>
      <c r="B194" s="101" t="s">
        <v>931</v>
      </c>
      <c r="C194" s="110" t="s">
        <v>580</v>
      </c>
      <c r="D194" s="116" t="s">
        <v>581</v>
      </c>
      <c r="E194" s="86" t="s">
        <v>582</v>
      </c>
      <c r="F194" s="86" t="s">
        <v>97</v>
      </c>
      <c r="G194" s="86" t="s">
        <v>901</v>
      </c>
      <c r="H194" s="86"/>
      <c r="I194" s="86" t="s">
        <v>4</v>
      </c>
      <c r="J194" s="86" t="s">
        <v>129</v>
      </c>
      <c r="K194" s="86">
        <v>15</v>
      </c>
      <c r="L194" s="86">
        <v>5</v>
      </c>
      <c r="M194" s="87">
        <v>1982</v>
      </c>
      <c r="N194" s="88">
        <f t="shared" si="3"/>
        <v>30086</v>
      </c>
      <c r="O194" s="25" t="e">
        <f>IF(L194&gt;#REF!,#REF!-M194-1,#REF!-M194)</f>
        <v>#REF!</v>
      </c>
      <c r="P194" s="25" t="e">
        <f t="shared" si="0"/>
        <v>#REF!</v>
      </c>
      <c r="Q194" s="87" t="s">
        <v>40</v>
      </c>
      <c r="R194" s="121" t="s">
        <v>31</v>
      </c>
      <c r="S194" s="87" t="s">
        <v>62</v>
      </c>
      <c r="T194" s="87" t="s">
        <v>67</v>
      </c>
      <c r="U194" s="87" t="s">
        <v>906</v>
      </c>
      <c r="V194" s="87" t="s">
        <v>907</v>
      </c>
      <c r="W194" s="87" t="s">
        <v>909</v>
      </c>
      <c r="X194" s="87" t="s">
        <v>916</v>
      </c>
      <c r="Y194" s="87"/>
      <c r="Z194" s="87"/>
      <c r="AA194" s="87"/>
      <c r="AB194" s="87"/>
      <c r="AC194" s="87"/>
      <c r="AD194" s="87"/>
      <c r="AE194" s="87" t="s">
        <v>583</v>
      </c>
      <c r="AF194" s="87" t="s">
        <v>583</v>
      </c>
      <c r="AG194" s="87"/>
      <c r="AH194" s="87"/>
      <c r="AI194" s="87"/>
      <c r="AJ194" s="18"/>
      <c r="AK194" s="18"/>
      <c r="AL194" s="26"/>
      <c r="AM194" s="18"/>
      <c r="AN194" s="18"/>
    </row>
    <row r="195" spans="1:40" ht="13.5" customHeight="1" x14ac:dyDescent="0.35">
      <c r="A195" s="26" t="s">
        <v>925</v>
      </c>
      <c r="B195" s="101" t="s">
        <v>931</v>
      </c>
      <c r="C195" s="111" t="s">
        <v>580</v>
      </c>
      <c r="D195" s="117" t="s">
        <v>584</v>
      </c>
      <c r="E195" s="90" t="s">
        <v>585</v>
      </c>
      <c r="F195" s="90" t="s">
        <v>105</v>
      </c>
      <c r="G195" s="86" t="s">
        <v>901</v>
      </c>
      <c r="H195" s="90"/>
      <c r="I195" s="90" t="s">
        <v>5</v>
      </c>
      <c r="J195" s="90" t="s">
        <v>586</v>
      </c>
      <c r="K195" s="90">
        <v>25</v>
      </c>
      <c r="L195" s="90">
        <v>7</v>
      </c>
      <c r="M195" s="28">
        <v>1985</v>
      </c>
      <c r="N195" s="88">
        <f t="shared" ref="N195:N258" si="4">DATE(M195,L195,K195)</f>
        <v>31253</v>
      </c>
      <c r="O195" s="28" t="e">
        <f>IF(L195&gt;#REF!,#REF!-M195-1,#REF!-M195)</f>
        <v>#REF!</v>
      </c>
      <c r="P195" s="28" t="e">
        <f t="shared" si="0"/>
        <v>#REF!</v>
      </c>
      <c r="Q195" s="28" t="s">
        <v>40</v>
      </c>
      <c r="R195" s="122" t="s">
        <v>31</v>
      </c>
      <c r="S195" s="28" t="s">
        <v>54</v>
      </c>
      <c r="T195" s="28" t="s">
        <v>67</v>
      </c>
      <c r="U195" s="87" t="s">
        <v>906</v>
      </c>
      <c r="V195" s="87" t="s">
        <v>907</v>
      </c>
      <c r="W195" s="87" t="s">
        <v>909</v>
      </c>
      <c r="X195" s="87" t="s">
        <v>916</v>
      </c>
      <c r="Y195" s="87"/>
      <c r="Z195" s="87"/>
      <c r="AA195" s="87"/>
      <c r="AB195" s="87"/>
      <c r="AC195" s="87"/>
      <c r="AD195" s="87"/>
      <c r="AE195" s="28" t="s">
        <v>583</v>
      </c>
      <c r="AF195" s="28" t="s">
        <v>583</v>
      </c>
      <c r="AG195" s="28"/>
      <c r="AH195" s="28"/>
      <c r="AI195" s="28"/>
      <c r="AJ195" s="30"/>
      <c r="AK195" s="30"/>
      <c r="AL195" s="29"/>
      <c r="AM195" s="30"/>
      <c r="AN195" s="30"/>
    </row>
    <row r="196" spans="1:40" ht="13.5" customHeight="1" x14ac:dyDescent="0.35">
      <c r="A196" s="26" t="s">
        <v>925</v>
      </c>
      <c r="B196" s="101" t="s">
        <v>931</v>
      </c>
      <c r="C196" s="110" t="s">
        <v>580</v>
      </c>
      <c r="D196" s="116" t="s">
        <v>587</v>
      </c>
      <c r="E196" s="86" t="s">
        <v>588</v>
      </c>
      <c r="F196" s="86" t="s">
        <v>108</v>
      </c>
      <c r="G196" s="86" t="s">
        <v>901</v>
      </c>
      <c r="H196" s="86"/>
      <c r="I196" s="86" t="s">
        <v>5</v>
      </c>
      <c r="J196" s="86" t="s">
        <v>586</v>
      </c>
      <c r="K196" s="86">
        <v>8</v>
      </c>
      <c r="L196" s="86">
        <v>6</v>
      </c>
      <c r="M196" s="87">
        <v>2005</v>
      </c>
      <c r="N196" s="88">
        <f t="shared" si="4"/>
        <v>38511</v>
      </c>
      <c r="O196" s="25" t="e">
        <f>IF(L196&gt;#REF!,#REF!-M196-1,#REF!-M196)</f>
        <v>#REF!</v>
      </c>
      <c r="P196" s="25" t="e">
        <f t="shared" si="0"/>
        <v>#REF!</v>
      </c>
      <c r="Q196" s="87" t="s">
        <v>40</v>
      </c>
      <c r="R196" s="121" t="s">
        <v>30</v>
      </c>
      <c r="S196" s="87" t="s">
        <v>57</v>
      </c>
      <c r="T196" s="87" t="s">
        <v>65</v>
      </c>
      <c r="U196" s="87" t="s">
        <v>906</v>
      </c>
      <c r="V196" s="87" t="s">
        <v>907</v>
      </c>
      <c r="W196" s="87" t="s">
        <v>909</v>
      </c>
      <c r="X196" s="87" t="s">
        <v>916</v>
      </c>
      <c r="Y196" s="87"/>
      <c r="Z196" s="87"/>
      <c r="AA196" s="87"/>
      <c r="AB196" s="87"/>
      <c r="AC196" s="87"/>
      <c r="AD196" s="87"/>
      <c r="AE196" s="87" t="s">
        <v>583</v>
      </c>
      <c r="AF196" s="87" t="s">
        <v>583</v>
      </c>
      <c r="AG196" s="87"/>
      <c r="AH196" s="87"/>
      <c r="AI196" s="87"/>
      <c r="AJ196" s="18"/>
      <c r="AK196" s="18"/>
      <c r="AL196" s="26"/>
      <c r="AM196" s="18"/>
      <c r="AN196" s="18"/>
    </row>
    <row r="197" spans="1:40" ht="13.5" customHeight="1" x14ac:dyDescent="0.35">
      <c r="A197" s="26" t="s">
        <v>925</v>
      </c>
      <c r="B197" s="101" t="s">
        <v>931</v>
      </c>
      <c r="C197" s="110" t="s">
        <v>580</v>
      </c>
      <c r="D197" s="116" t="s">
        <v>589</v>
      </c>
      <c r="E197" s="86" t="s">
        <v>590</v>
      </c>
      <c r="F197" s="86" t="s">
        <v>108</v>
      </c>
      <c r="G197" s="86" t="s">
        <v>901</v>
      </c>
      <c r="H197" s="86"/>
      <c r="I197" s="86" t="s">
        <v>5</v>
      </c>
      <c r="J197" s="86" t="s">
        <v>586</v>
      </c>
      <c r="K197" s="86">
        <v>17</v>
      </c>
      <c r="L197" s="86">
        <v>9</v>
      </c>
      <c r="M197" s="87">
        <v>2009</v>
      </c>
      <c r="N197" s="88">
        <f t="shared" si="4"/>
        <v>40073</v>
      </c>
      <c r="O197" s="25" t="e">
        <f>IF(L197&gt;#REF!,#REF!-M197-1,#REF!-M197)</f>
        <v>#REF!</v>
      </c>
      <c r="P197" s="25" t="e">
        <f t="shared" si="0"/>
        <v>#REF!</v>
      </c>
      <c r="Q197" s="87" t="s">
        <v>40</v>
      </c>
      <c r="R197" s="121" t="s">
        <v>28</v>
      </c>
      <c r="S197" s="87" t="s">
        <v>48</v>
      </c>
      <c r="T197" s="87" t="s">
        <v>65</v>
      </c>
      <c r="U197" s="87" t="s">
        <v>906</v>
      </c>
      <c r="V197" s="87" t="s">
        <v>907</v>
      </c>
      <c r="W197" s="87" t="s">
        <v>909</v>
      </c>
      <c r="X197" s="87" t="s">
        <v>916</v>
      </c>
      <c r="Y197" s="87"/>
      <c r="Z197" s="87"/>
      <c r="AA197" s="87"/>
      <c r="AB197" s="87"/>
      <c r="AC197" s="87"/>
      <c r="AD197" s="87"/>
      <c r="AE197" s="87" t="s">
        <v>583</v>
      </c>
      <c r="AF197" s="87" t="s">
        <v>583</v>
      </c>
      <c r="AG197" s="87"/>
      <c r="AH197" s="87"/>
      <c r="AI197" s="87"/>
      <c r="AJ197" s="18"/>
      <c r="AK197" s="18"/>
      <c r="AL197" s="26"/>
      <c r="AM197" s="18"/>
      <c r="AN197" s="18"/>
    </row>
    <row r="198" spans="1:40" ht="13.5" customHeight="1" x14ac:dyDescent="0.35">
      <c r="A198" s="26" t="s">
        <v>925</v>
      </c>
      <c r="B198" s="101" t="s">
        <v>931</v>
      </c>
      <c r="C198" s="110" t="s">
        <v>580</v>
      </c>
      <c r="D198" s="116" t="s">
        <v>591</v>
      </c>
      <c r="E198" s="86" t="s">
        <v>592</v>
      </c>
      <c r="F198" s="86" t="s">
        <v>108</v>
      </c>
      <c r="G198" s="86" t="s">
        <v>901</v>
      </c>
      <c r="H198" s="86"/>
      <c r="I198" s="86" t="s">
        <v>4</v>
      </c>
      <c r="J198" s="86" t="s">
        <v>98</v>
      </c>
      <c r="K198" s="86">
        <v>13</v>
      </c>
      <c r="L198" s="86">
        <v>7</v>
      </c>
      <c r="M198" s="87">
        <v>2015</v>
      </c>
      <c r="N198" s="88">
        <f t="shared" si="4"/>
        <v>42198</v>
      </c>
      <c r="O198" s="25" t="e">
        <f>IF(L198&gt;#REF!,#REF!-M198-1,#REF!-M198)</f>
        <v>#REF!</v>
      </c>
      <c r="P198" s="25" t="e">
        <f t="shared" si="0"/>
        <v>#REF!</v>
      </c>
      <c r="Q198" s="87" t="s">
        <v>40</v>
      </c>
      <c r="R198" s="121" t="s">
        <v>28</v>
      </c>
      <c r="S198" s="87" t="s">
        <v>48</v>
      </c>
      <c r="T198" s="87" t="s">
        <v>65</v>
      </c>
      <c r="U198" s="87" t="s">
        <v>906</v>
      </c>
      <c r="V198" s="87" t="s">
        <v>907</v>
      </c>
      <c r="W198" s="87" t="s">
        <v>909</v>
      </c>
      <c r="X198" s="87" t="s">
        <v>916</v>
      </c>
      <c r="Y198" s="87"/>
      <c r="Z198" s="87"/>
      <c r="AA198" s="87"/>
      <c r="AB198" s="87"/>
      <c r="AC198" s="87"/>
      <c r="AD198" s="87"/>
      <c r="AE198" s="87" t="s">
        <v>583</v>
      </c>
      <c r="AF198" s="87" t="s">
        <v>583</v>
      </c>
      <c r="AG198" s="87"/>
      <c r="AH198" s="87"/>
      <c r="AI198" s="87"/>
      <c r="AJ198" s="18"/>
      <c r="AK198" s="18"/>
      <c r="AL198" s="26"/>
      <c r="AM198" s="18"/>
      <c r="AN198" s="18"/>
    </row>
    <row r="199" spans="1:40" ht="13.5" customHeight="1" x14ac:dyDescent="0.35">
      <c r="A199" s="26" t="s">
        <v>925</v>
      </c>
      <c r="B199" s="101" t="s">
        <v>931</v>
      </c>
      <c r="C199" s="110" t="s">
        <v>593</v>
      </c>
      <c r="D199" s="116" t="s">
        <v>594</v>
      </c>
      <c r="E199" s="86" t="s">
        <v>595</v>
      </c>
      <c r="F199" s="86" t="s">
        <v>97</v>
      </c>
      <c r="G199" s="86" t="s">
        <v>901</v>
      </c>
      <c r="H199" s="86"/>
      <c r="I199" s="86" t="s">
        <v>4</v>
      </c>
      <c r="J199" s="86" t="s">
        <v>596</v>
      </c>
      <c r="K199" s="86">
        <v>2</v>
      </c>
      <c r="L199" s="86">
        <v>2</v>
      </c>
      <c r="M199" s="87">
        <v>1964</v>
      </c>
      <c r="N199" s="88">
        <f t="shared" si="4"/>
        <v>23409</v>
      </c>
      <c r="O199" s="25" t="e">
        <f>IF(L199&gt;#REF!,#REF!-M199-1,#REF!-M199)</f>
        <v>#REF!</v>
      </c>
      <c r="P199" s="25" t="e">
        <f t="shared" si="0"/>
        <v>#REF!</v>
      </c>
      <c r="Q199" s="87" t="s">
        <v>40</v>
      </c>
      <c r="R199" s="121" t="s">
        <v>35</v>
      </c>
      <c r="S199" s="87" t="s">
        <v>49</v>
      </c>
      <c r="T199" s="87" t="s">
        <v>67</v>
      </c>
      <c r="U199" s="87" t="s">
        <v>906</v>
      </c>
      <c r="V199" s="87" t="s">
        <v>907</v>
      </c>
      <c r="W199" s="87" t="s">
        <v>909</v>
      </c>
      <c r="X199" s="87" t="s">
        <v>916</v>
      </c>
      <c r="Y199" s="87"/>
      <c r="Z199" s="87"/>
      <c r="AA199" s="87"/>
      <c r="AB199" s="87"/>
      <c r="AC199" s="87"/>
      <c r="AD199" s="87"/>
      <c r="AE199" s="87" t="s">
        <v>243</v>
      </c>
      <c r="AF199" s="87" t="s">
        <v>243</v>
      </c>
      <c r="AG199" s="87"/>
      <c r="AH199" s="87"/>
      <c r="AI199" s="87"/>
      <c r="AJ199" s="18"/>
      <c r="AK199" s="18"/>
      <c r="AL199" s="26"/>
      <c r="AM199" s="18"/>
      <c r="AN199" s="18"/>
    </row>
    <row r="200" spans="1:40" ht="13.5" customHeight="1" x14ac:dyDescent="0.35">
      <c r="A200" s="26" t="s">
        <v>925</v>
      </c>
      <c r="B200" s="101" t="s">
        <v>931</v>
      </c>
      <c r="C200" s="110" t="s">
        <v>593</v>
      </c>
      <c r="D200" s="116" t="s">
        <v>597</v>
      </c>
      <c r="E200" s="86" t="s">
        <v>598</v>
      </c>
      <c r="F200" s="86" t="s">
        <v>105</v>
      </c>
      <c r="G200" s="86" t="s">
        <v>901</v>
      </c>
      <c r="H200" s="86"/>
      <c r="I200" s="86" t="s">
        <v>5</v>
      </c>
      <c r="J200" s="86" t="s">
        <v>599</v>
      </c>
      <c r="K200" s="86">
        <v>1</v>
      </c>
      <c r="L200" s="86">
        <v>7</v>
      </c>
      <c r="M200" s="87">
        <v>1971</v>
      </c>
      <c r="N200" s="88">
        <f t="shared" si="4"/>
        <v>26115</v>
      </c>
      <c r="O200" s="25" t="e">
        <f>IF(L200&gt;#REF!,#REF!-M200-1,#REF!-M200)</f>
        <v>#REF!</v>
      </c>
      <c r="P200" s="25" t="e">
        <f t="shared" si="0"/>
        <v>#REF!</v>
      </c>
      <c r="Q200" s="87" t="s">
        <v>40</v>
      </c>
      <c r="R200" s="121" t="s">
        <v>31</v>
      </c>
      <c r="S200" s="87" t="s">
        <v>54</v>
      </c>
      <c r="T200" s="87" t="s">
        <v>67</v>
      </c>
      <c r="U200" s="87" t="s">
        <v>906</v>
      </c>
      <c r="V200" s="87" t="s">
        <v>907</v>
      </c>
      <c r="W200" s="87" t="s">
        <v>909</v>
      </c>
      <c r="X200" s="87" t="s">
        <v>916</v>
      </c>
      <c r="Y200" s="87"/>
      <c r="Z200" s="87"/>
      <c r="AA200" s="87"/>
      <c r="AB200" s="87"/>
      <c r="AC200" s="87"/>
      <c r="AD200" s="87"/>
      <c r="AE200" s="87" t="s">
        <v>243</v>
      </c>
      <c r="AF200" s="87" t="s">
        <v>243</v>
      </c>
      <c r="AG200" s="87"/>
      <c r="AH200" s="87"/>
      <c r="AI200" s="87"/>
      <c r="AJ200" s="18"/>
      <c r="AK200" s="18"/>
      <c r="AL200" s="26"/>
      <c r="AM200" s="18"/>
      <c r="AN200" s="18"/>
    </row>
    <row r="201" spans="1:40" ht="13.5" customHeight="1" x14ac:dyDescent="0.35">
      <c r="A201" s="26" t="s">
        <v>925</v>
      </c>
      <c r="B201" s="101" t="s">
        <v>931</v>
      </c>
      <c r="C201" s="110" t="s">
        <v>593</v>
      </c>
      <c r="D201" s="116" t="s">
        <v>600</v>
      </c>
      <c r="E201" s="86" t="s">
        <v>601</v>
      </c>
      <c r="F201" s="86" t="s">
        <v>108</v>
      </c>
      <c r="G201" s="86" t="s">
        <v>901</v>
      </c>
      <c r="H201" s="86"/>
      <c r="I201" s="86" t="s">
        <v>5</v>
      </c>
      <c r="J201" s="86" t="s">
        <v>602</v>
      </c>
      <c r="K201" s="86">
        <v>22</v>
      </c>
      <c r="L201" s="86">
        <v>8</v>
      </c>
      <c r="M201" s="87">
        <v>1994</v>
      </c>
      <c r="N201" s="88">
        <f t="shared" si="4"/>
        <v>34568</v>
      </c>
      <c r="O201" s="25" t="e">
        <f>IF(L201&gt;#REF!,#REF!-M201-1,#REF!-M201)</f>
        <v>#REF!</v>
      </c>
      <c r="P201" s="25" t="e">
        <f t="shared" si="0"/>
        <v>#REF!</v>
      </c>
      <c r="Q201" s="87" t="s">
        <v>40</v>
      </c>
      <c r="R201" s="121" t="s">
        <v>33</v>
      </c>
      <c r="S201" s="87" t="s">
        <v>57</v>
      </c>
      <c r="T201" s="87" t="s">
        <v>65</v>
      </c>
      <c r="U201" s="87" t="s">
        <v>906</v>
      </c>
      <c r="V201" s="87" t="s">
        <v>907</v>
      </c>
      <c r="W201" s="87" t="s">
        <v>909</v>
      </c>
      <c r="X201" s="87" t="s">
        <v>916</v>
      </c>
      <c r="Y201" s="87"/>
      <c r="Z201" s="87"/>
      <c r="AA201" s="87"/>
      <c r="AB201" s="87"/>
      <c r="AC201" s="87"/>
      <c r="AD201" s="87"/>
      <c r="AE201" s="87" t="s">
        <v>243</v>
      </c>
      <c r="AF201" s="87" t="s">
        <v>243</v>
      </c>
      <c r="AG201" s="87"/>
      <c r="AH201" s="87"/>
      <c r="AI201" s="87"/>
      <c r="AJ201" s="18"/>
      <c r="AK201" s="18"/>
      <c r="AL201" s="26"/>
      <c r="AM201" s="18"/>
      <c r="AN201" s="18"/>
    </row>
    <row r="202" spans="1:40" ht="13.5" customHeight="1" x14ac:dyDescent="0.35">
      <c r="A202" s="26" t="s">
        <v>925</v>
      </c>
      <c r="B202" s="101" t="s">
        <v>931</v>
      </c>
      <c r="C202" s="110" t="s">
        <v>593</v>
      </c>
      <c r="D202" s="116" t="s">
        <v>603</v>
      </c>
      <c r="E202" s="86" t="s">
        <v>604</v>
      </c>
      <c r="F202" s="86" t="s">
        <v>108</v>
      </c>
      <c r="G202" s="86" t="s">
        <v>901</v>
      </c>
      <c r="H202" s="86"/>
      <c r="I202" s="86" t="s">
        <v>4</v>
      </c>
      <c r="J202" s="86" t="s">
        <v>98</v>
      </c>
      <c r="K202" s="86">
        <v>15</v>
      </c>
      <c r="L202" s="86">
        <v>7</v>
      </c>
      <c r="M202" s="87">
        <v>2001</v>
      </c>
      <c r="N202" s="88">
        <f t="shared" si="4"/>
        <v>37087</v>
      </c>
      <c r="O202" s="25" t="e">
        <f>IF(L202&gt;#REF!,#REF!-M202-1,#REF!-M202)</f>
        <v>#REF!</v>
      </c>
      <c r="P202" s="25" t="e">
        <f t="shared" si="0"/>
        <v>#REF!</v>
      </c>
      <c r="Q202" s="87" t="s">
        <v>40</v>
      </c>
      <c r="R202" s="121" t="s">
        <v>31</v>
      </c>
      <c r="S202" s="87" t="s">
        <v>57</v>
      </c>
      <c r="T202" s="87" t="s">
        <v>65</v>
      </c>
      <c r="U202" s="87" t="s">
        <v>906</v>
      </c>
      <c r="V202" s="87" t="s">
        <v>907</v>
      </c>
      <c r="W202" s="87" t="s">
        <v>909</v>
      </c>
      <c r="X202" s="87" t="s">
        <v>916</v>
      </c>
      <c r="Y202" s="87"/>
      <c r="Z202" s="87"/>
      <c r="AA202" s="87"/>
      <c r="AB202" s="87"/>
      <c r="AC202" s="87"/>
      <c r="AD202" s="87"/>
      <c r="AE202" s="87" t="s">
        <v>243</v>
      </c>
      <c r="AF202" s="87" t="s">
        <v>243</v>
      </c>
      <c r="AG202" s="87"/>
      <c r="AH202" s="87"/>
      <c r="AI202" s="87"/>
      <c r="AJ202" s="18"/>
      <c r="AK202" s="18"/>
      <c r="AL202" s="26"/>
      <c r="AM202" s="18"/>
      <c r="AN202" s="18"/>
    </row>
    <row r="203" spans="1:40" ht="13.5" customHeight="1" x14ac:dyDescent="0.35">
      <c r="A203" s="26" t="s">
        <v>925</v>
      </c>
      <c r="B203" s="101" t="s">
        <v>931</v>
      </c>
      <c r="C203" s="111" t="s">
        <v>605</v>
      </c>
      <c r="D203" s="117" t="s">
        <v>606</v>
      </c>
      <c r="E203" s="90" t="s">
        <v>607</v>
      </c>
      <c r="F203" s="90" t="s">
        <v>97</v>
      </c>
      <c r="G203" s="86" t="s">
        <v>901</v>
      </c>
      <c r="H203" s="90"/>
      <c r="I203" s="90" t="s">
        <v>4</v>
      </c>
      <c r="J203" s="90" t="s">
        <v>98</v>
      </c>
      <c r="K203" s="90">
        <v>13</v>
      </c>
      <c r="L203" s="90">
        <v>7</v>
      </c>
      <c r="M203" s="28">
        <v>1975</v>
      </c>
      <c r="N203" s="88">
        <f t="shared" si="4"/>
        <v>27588</v>
      </c>
      <c r="O203" s="28" t="e">
        <f>IF(L203&gt;#REF!,#REF!-M203-1,#REF!-M203)</f>
        <v>#REF!</v>
      </c>
      <c r="P203" s="28" t="e">
        <f t="shared" si="0"/>
        <v>#REF!</v>
      </c>
      <c r="Q203" s="28" t="s">
        <v>40</v>
      </c>
      <c r="R203" s="122" t="s">
        <v>31</v>
      </c>
      <c r="S203" s="28" t="s">
        <v>62</v>
      </c>
      <c r="T203" s="28" t="s">
        <v>66</v>
      </c>
      <c r="U203" s="87" t="s">
        <v>906</v>
      </c>
      <c r="V203" s="87" t="s">
        <v>907</v>
      </c>
      <c r="W203" s="87" t="s">
        <v>909</v>
      </c>
      <c r="X203" s="87" t="s">
        <v>916</v>
      </c>
      <c r="Y203" s="87"/>
      <c r="Z203" s="87"/>
      <c r="AA203" s="87"/>
      <c r="AB203" s="87"/>
      <c r="AC203" s="87"/>
      <c r="AD203" s="87"/>
      <c r="AE203" s="28" t="s">
        <v>387</v>
      </c>
      <c r="AF203" s="28" t="s">
        <v>387</v>
      </c>
      <c r="AG203" s="28"/>
      <c r="AH203" s="28"/>
      <c r="AI203" s="28"/>
      <c r="AJ203" s="30"/>
      <c r="AK203" s="30"/>
      <c r="AL203" s="29"/>
      <c r="AM203" s="30"/>
      <c r="AN203" s="30"/>
    </row>
    <row r="204" spans="1:40" ht="13.5" customHeight="1" x14ac:dyDescent="0.35">
      <c r="A204" s="26" t="s">
        <v>925</v>
      </c>
      <c r="B204" s="101" t="s">
        <v>931</v>
      </c>
      <c r="C204" s="110" t="s">
        <v>605</v>
      </c>
      <c r="D204" s="116" t="s">
        <v>608</v>
      </c>
      <c r="E204" s="86" t="s">
        <v>609</v>
      </c>
      <c r="F204" s="86" t="s">
        <v>105</v>
      </c>
      <c r="G204" s="86" t="s">
        <v>901</v>
      </c>
      <c r="H204" s="86"/>
      <c r="I204" s="86" t="s">
        <v>5</v>
      </c>
      <c r="J204" s="86" t="s">
        <v>610</v>
      </c>
      <c r="K204" s="86">
        <v>17</v>
      </c>
      <c r="L204" s="86">
        <v>4</v>
      </c>
      <c r="M204" s="87">
        <v>1986</v>
      </c>
      <c r="N204" s="88">
        <f t="shared" si="4"/>
        <v>31519</v>
      </c>
      <c r="O204" s="25" t="e">
        <f>IF(L204&gt;#REF!,#REF!-M204-1,#REF!-M204)</f>
        <v>#REF!</v>
      </c>
      <c r="P204" s="25" t="e">
        <f t="shared" si="0"/>
        <v>#REF!</v>
      </c>
      <c r="Q204" s="87" t="s">
        <v>40</v>
      </c>
      <c r="R204" s="121" t="s">
        <v>31</v>
      </c>
      <c r="S204" s="87" t="s">
        <v>54</v>
      </c>
      <c r="T204" s="87" t="s">
        <v>66</v>
      </c>
      <c r="U204" s="87" t="s">
        <v>906</v>
      </c>
      <c r="V204" s="87" t="s">
        <v>907</v>
      </c>
      <c r="W204" s="87" t="s">
        <v>909</v>
      </c>
      <c r="X204" s="87" t="s">
        <v>916</v>
      </c>
      <c r="Y204" s="87"/>
      <c r="Z204" s="87"/>
      <c r="AA204" s="87"/>
      <c r="AB204" s="87"/>
      <c r="AC204" s="87"/>
      <c r="AD204" s="87"/>
      <c r="AE204" s="87" t="s">
        <v>387</v>
      </c>
      <c r="AF204" s="87" t="s">
        <v>387</v>
      </c>
      <c r="AG204" s="87"/>
      <c r="AH204" s="87"/>
      <c r="AI204" s="87"/>
      <c r="AJ204" s="18"/>
      <c r="AK204" s="18"/>
      <c r="AL204" s="26"/>
      <c r="AM204" s="18"/>
      <c r="AN204" s="18"/>
    </row>
    <row r="205" spans="1:40" ht="13.5" customHeight="1" x14ac:dyDescent="0.35">
      <c r="A205" s="26" t="s">
        <v>925</v>
      </c>
      <c r="B205" s="101" t="s">
        <v>931</v>
      </c>
      <c r="C205" s="110" t="s">
        <v>605</v>
      </c>
      <c r="D205" s="116" t="s">
        <v>611</v>
      </c>
      <c r="E205" s="86" t="s">
        <v>612</v>
      </c>
      <c r="F205" s="86" t="s">
        <v>108</v>
      </c>
      <c r="G205" s="86" t="s">
        <v>901</v>
      </c>
      <c r="H205" s="86"/>
      <c r="I205" s="86" t="s">
        <v>4</v>
      </c>
      <c r="J205" s="86" t="s">
        <v>98</v>
      </c>
      <c r="K205" s="86">
        <v>5</v>
      </c>
      <c r="L205" s="86">
        <v>7</v>
      </c>
      <c r="M205" s="87">
        <v>2010</v>
      </c>
      <c r="N205" s="88">
        <f t="shared" si="4"/>
        <v>40364</v>
      </c>
      <c r="O205" s="25" t="e">
        <f>IF(L205&gt;#REF!,#REF!-M205-1,#REF!-M205)</f>
        <v>#REF!</v>
      </c>
      <c r="P205" s="25" t="e">
        <f t="shared" si="0"/>
        <v>#REF!</v>
      </c>
      <c r="Q205" s="87" t="s">
        <v>40</v>
      </c>
      <c r="R205" s="121" t="s">
        <v>30</v>
      </c>
      <c r="S205" s="87" t="s">
        <v>57</v>
      </c>
      <c r="T205" s="87" t="s">
        <v>65</v>
      </c>
      <c r="U205" s="87" t="s">
        <v>906</v>
      </c>
      <c r="V205" s="87" t="s">
        <v>907</v>
      </c>
      <c r="W205" s="87" t="s">
        <v>909</v>
      </c>
      <c r="X205" s="87" t="s">
        <v>916</v>
      </c>
      <c r="Y205" s="87"/>
      <c r="Z205" s="87"/>
      <c r="AA205" s="87"/>
      <c r="AB205" s="87"/>
      <c r="AC205" s="87"/>
      <c r="AD205" s="87"/>
      <c r="AE205" s="87" t="s">
        <v>387</v>
      </c>
      <c r="AF205" s="87" t="s">
        <v>387</v>
      </c>
      <c r="AG205" s="87"/>
      <c r="AH205" s="87"/>
      <c r="AI205" s="87"/>
      <c r="AJ205" s="18"/>
      <c r="AK205" s="18"/>
      <c r="AL205" s="26"/>
      <c r="AM205" s="18"/>
      <c r="AN205" s="18"/>
    </row>
    <row r="206" spans="1:40" ht="13.5" customHeight="1" x14ac:dyDescent="0.35">
      <c r="A206" s="26" t="s">
        <v>925</v>
      </c>
      <c r="B206" s="101" t="s">
        <v>931</v>
      </c>
      <c r="C206" s="110" t="s">
        <v>605</v>
      </c>
      <c r="D206" s="116" t="s">
        <v>613</v>
      </c>
      <c r="E206" s="86" t="s">
        <v>614</v>
      </c>
      <c r="F206" s="86" t="s">
        <v>108</v>
      </c>
      <c r="G206" s="86" t="s">
        <v>901</v>
      </c>
      <c r="H206" s="86"/>
      <c r="I206" s="86" t="s">
        <v>4</v>
      </c>
      <c r="J206" s="86" t="s">
        <v>615</v>
      </c>
      <c r="K206" s="86">
        <v>30</v>
      </c>
      <c r="L206" s="86">
        <v>3</v>
      </c>
      <c r="M206" s="87">
        <v>2020</v>
      </c>
      <c r="N206" s="88">
        <f t="shared" si="4"/>
        <v>43920</v>
      </c>
      <c r="O206" s="25" t="e">
        <f>IF(L206&gt;#REF!,#REF!-M206-1,#REF!-M206)</f>
        <v>#REF!</v>
      </c>
      <c r="P206" s="25" t="e">
        <f t="shared" si="0"/>
        <v>#REF!</v>
      </c>
      <c r="Q206" s="87" t="s">
        <v>40</v>
      </c>
      <c r="R206" s="121" t="s">
        <v>28</v>
      </c>
      <c r="S206" s="87" t="s">
        <v>48</v>
      </c>
      <c r="T206" s="87" t="s">
        <v>65</v>
      </c>
      <c r="U206" s="87" t="s">
        <v>906</v>
      </c>
      <c r="V206" s="87" t="s">
        <v>907</v>
      </c>
      <c r="W206" s="87" t="s">
        <v>909</v>
      </c>
      <c r="X206" s="87" t="s">
        <v>916</v>
      </c>
      <c r="Y206" s="87"/>
      <c r="Z206" s="87"/>
      <c r="AA206" s="87"/>
      <c r="AB206" s="87"/>
      <c r="AC206" s="87"/>
      <c r="AD206" s="87"/>
      <c r="AE206" s="87" t="s">
        <v>387</v>
      </c>
      <c r="AF206" s="87" t="s">
        <v>387</v>
      </c>
      <c r="AG206" s="87"/>
      <c r="AH206" s="87"/>
      <c r="AI206" s="87"/>
      <c r="AJ206" s="18"/>
      <c r="AK206" s="18"/>
      <c r="AL206" s="26"/>
      <c r="AM206" s="18"/>
      <c r="AN206" s="18"/>
    </row>
    <row r="207" spans="1:40" ht="13.5" customHeight="1" x14ac:dyDescent="0.35">
      <c r="A207" s="26" t="s">
        <v>925</v>
      </c>
      <c r="B207" s="101" t="s">
        <v>931</v>
      </c>
      <c r="C207" s="110" t="s">
        <v>616</v>
      </c>
      <c r="D207" s="116" t="s">
        <v>617</v>
      </c>
      <c r="E207" s="86" t="s">
        <v>618</v>
      </c>
      <c r="F207" s="86" t="s">
        <v>97</v>
      </c>
      <c r="G207" s="86" t="s">
        <v>901</v>
      </c>
      <c r="H207" s="86"/>
      <c r="I207" s="86" t="s">
        <v>4</v>
      </c>
      <c r="J207" s="86" t="s">
        <v>98</v>
      </c>
      <c r="K207" s="86">
        <v>2</v>
      </c>
      <c r="L207" s="86">
        <v>12</v>
      </c>
      <c r="M207" s="87">
        <v>1974</v>
      </c>
      <c r="N207" s="88">
        <f t="shared" si="4"/>
        <v>27365</v>
      </c>
      <c r="O207" s="25" t="e">
        <f>IF(L207&gt;#REF!,#REF!-M207-1,#REF!-M207)</f>
        <v>#REF!</v>
      </c>
      <c r="P207" s="25" t="e">
        <f t="shared" si="0"/>
        <v>#REF!</v>
      </c>
      <c r="Q207" s="87" t="s">
        <v>40</v>
      </c>
      <c r="R207" s="121" t="s">
        <v>35</v>
      </c>
      <c r="S207" s="87" t="s">
        <v>55</v>
      </c>
      <c r="T207" s="87" t="s">
        <v>66</v>
      </c>
      <c r="U207" s="87" t="s">
        <v>906</v>
      </c>
      <c r="V207" s="87" t="s">
        <v>907</v>
      </c>
      <c r="W207" s="87" t="s">
        <v>909</v>
      </c>
      <c r="X207" s="87" t="s">
        <v>916</v>
      </c>
      <c r="Y207" s="87"/>
      <c r="Z207" s="87"/>
      <c r="AA207" s="87"/>
      <c r="AB207" s="87"/>
      <c r="AC207" s="87"/>
      <c r="AD207" s="87"/>
      <c r="AE207" s="87" t="s">
        <v>243</v>
      </c>
      <c r="AF207" s="87" t="s">
        <v>243</v>
      </c>
      <c r="AG207" s="87"/>
      <c r="AH207" s="87"/>
      <c r="AI207" s="87"/>
      <c r="AJ207" s="18"/>
      <c r="AK207" s="18"/>
      <c r="AL207" s="26"/>
      <c r="AM207" s="18"/>
      <c r="AN207" s="18"/>
    </row>
    <row r="208" spans="1:40" ht="13.5" customHeight="1" x14ac:dyDescent="0.35">
      <c r="A208" s="26" t="s">
        <v>925</v>
      </c>
      <c r="B208" s="101" t="s">
        <v>931</v>
      </c>
      <c r="C208" s="110" t="s">
        <v>616</v>
      </c>
      <c r="D208" s="116" t="s">
        <v>619</v>
      </c>
      <c r="E208" s="86" t="s">
        <v>620</v>
      </c>
      <c r="F208" s="86" t="s">
        <v>105</v>
      </c>
      <c r="G208" s="86" t="s">
        <v>901</v>
      </c>
      <c r="H208" s="86"/>
      <c r="I208" s="86" t="s">
        <v>5</v>
      </c>
      <c r="J208" s="86" t="s">
        <v>98</v>
      </c>
      <c r="K208" s="86">
        <v>23</v>
      </c>
      <c r="L208" s="86">
        <v>11</v>
      </c>
      <c r="M208" s="87">
        <v>1981</v>
      </c>
      <c r="N208" s="88">
        <f t="shared" si="4"/>
        <v>29913</v>
      </c>
      <c r="O208" s="25" t="e">
        <f>IF(L208&gt;#REF!,#REF!-M208-1,#REF!-M208)</f>
        <v>#REF!</v>
      </c>
      <c r="P208" s="25" t="e">
        <f t="shared" si="0"/>
        <v>#REF!</v>
      </c>
      <c r="Q208" s="87" t="s">
        <v>40</v>
      </c>
      <c r="R208" s="121" t="s">
        <v>33</v>
      </c>
      <c r="S208" s="87" t="s">
        <v>54</v>
      </c>
      <c r="T208" s="87" t="s">
        <v>66</v>
      </c>
      <c r="U208" s="87" t="s">
        <v>906</v>
      </c>
      <c r="V208" s="87" t="s">
        <v>907</v>
      </c>
      <c r="W208" s="87" t="s">
        <v>909</v>
      </c>
      <c r="X208" s="87" t="s">
        <v>916</v>
      </c>
      <c r="Y208" s="87"/>
      <c r="Z208" s="87"/>
      <c r="AA208" s="87"/>
      <c r="AB208" s="87"/>
      <c r="AC208" s="87"/>
      <c r="AD208" s="87"/>
      <c r="AE208" s="87" t="s">
        <v>243</v>
      </c>
      <c r="AF208" s="87" t="s">
        <v>243</v>
      </c>
      <c r="AG208" s="87"/>
      <c r="AH208" s="87"/>
      <c r="AI208" s="87"/>
      <c r="AJ208" s="18"/>
      <c r="AK208" s="18"/>
      <c r="AL208" s="26"/>
      <c r="AM208" s="18"/>
      <c r="AN208" s="18"/>
    </row>
    <row r="209" spans="1:40" ht="13.5" customHeight="1" x14ac:dyDescent="0.35">
      <c r="A209" s="26" t="s">
        <v>925</v>
      </c>
      <c r="B209" s="101" t="s">
        <v>931</v>
      </c>
      <c r="C209" s="110" t="s">
        <v>616</v>
      </c>
      <c r="D209" s="116" t="s">
        <v>621</v>
      </c>
      <c r="E209" s="86" t="s">
        <v>622</v>
      </c>
      <c r="F209" s="86" t="s">
        <v>108</v>
      </c>
      <c r="G209" s="86" t="s">
        <v>901</v>
      </c>
      <c r="H209" s="86"/>
      <c r="I209" s="86" t="s">
        <v>4</v>
      </c>
      <c r="J209" s="86" t="s">
        <v>98</v>
      </c>
      <c r="K209" s="86">
        <v>27</v>
      </c>
      <c r="L209" s="86">
        <v>2</v>
      </c>
      <c r="M209" s="87">
        <v>2009</v>
      </c>
      <c r="N209" s="88">
        <f t="shared" si="4"/>
        <v>39871</v>
      </c>
      <c r="O209" s="25" t="e">
        <f>IF(L209&gt;#REF!,#REF!-M209-1,#REF!-M209)</f>
        <v>#REF!</v>
      </c>
      <c r="P209" s="25" t="e">
        <f t="shared" si="0"/>
        <v>#REF!</v>
      </c>
      <c r="Q209" s="87" t="s">
        <v>40</v>
      </c>
      <c r="R209" s="121" t="s">
        <v>28</v>
      </c>
      <c r="S209" s="87" t="s">
        <v>48</v>
      </c>
      <c r="T209" s="87" t="s">
        <v>65</v>
      </c>
      <c r="U209" s="87" t="s">
        <v>906</v>
      </c>
      <c r="V209" s="87" t="s">
        <v>907</v>
      </c>
      <c r="W209" s="87" t="s">
        <v>909</v>
      </c>
      <c r="X209" s="87" t="s">
        <v>916</v>
      </c>
      <c r="Y209" s="87"/>
      <c r="Z209" s="87"/>
      <c r="AA209" s="87"/>
      <c r="AB209" s="87"/>
      <c r="AC209" s="87"/>
      <c r="AD209" s="87"/>
      <c r="AE209" s="87" t="s">
        <v>243</v>
      </c>
      <c r="AF209" s="87" t="s">
        <v>243</v>
      </c>
      <c r="AG209" s="87"/>
      <c r="AH209" s="87"/>
      <c r="AI209" s="87"/>
      <c r="AJ209" s="18"/>
      <c r="AK209" s="18"/>
      <c r="AL209" s="26"/>
      <c r="AM209" s="18"/>
      <c r="AN209" s="18"/>
    </row>
    <row r="210" spans="1:40" ht="13.5" customHeight="1" x14ac:dyDescent="0.35">
      <c r="A210" s="26" t="s">
        <v>925</v>
      </c>
      <c r="B210" s="101" t="s">
        <v>931</v>
      </c>
      <c r="C210" s="110" t="s">
        <v>623</v>
      </c>
      <c r="D210" s="116" t="s">
        <v>624</v>
      </c>
      <c r="E210" s="86" t="s">
        <v>625</v>
      </c>
      <c r="F210" s="86" t="s">
        <v>97</v>
      </c>
      <c r="G210" s="86" t="s">
        <v>901</v>
      </c>
      <c r="H210" s="86"/>
      <c r="I210" s="86" t="s">
        <v>4</v>
      </c>
      <c r="J210" s="86" t="s">
        <v>626</v>
      </c>
      <c r="K210" s="86">
        <v>6</v>
      </c>
      <c r="L210" s="86">
        <v>7</v>
      </c>
      <c r="M210" s="87">
        <v>1972</v>
      </c>
      <c r="N210" s="88">
        <f t="shared" si="4"/>
        <v>26486</v>
      </c>
      <c r="O210" s="25" t="e">
        <f>IF(L210&gt;#REF!,#REF!-M210-1,#REF!-M210)</f>
        <v>#REF!</v>
      </c>
      <c r="P210" s="25" t="e">
        <f t="shared" si="0"/>
        <v>#REF!</v>
      </c>
      <c r="Q210" s="87" t="s">
        <v>40</v>
      </c>
      <c r="R210" s="121" t="s">
        <v>35</v>
      </c>
      <c r="S210" s="87" t="s">
        <v>50</v>
      </c>
      <c r="T210" s="87" t="s">
        <v>71</v>
      </c>
      <c r="U210" s="87" t="s">
        <v>906</v>
      </c>
      <c r="V210" s="87" t="s">
        <v>907</v>
      </c>
      <c r="W210" s="87" t="s">
        <v>909</v>
      </c>
      <c r="X210" s="87" t="s">
        <v>916</v>
      </c>
      <c r="Y210" s="87"/>
      <c r="Z210" s="87"/>
      <c r="AA210" s="87"/>
      <c r="AB210" s="87"/>
      <c r="AC210" s="87"/>
      <c r="AD210" s="87"/>
      <c r="AE210" s="87" t="s">
        <v>627</v>
      </c>
      <c r="AF210" s="87" t="s">
        <v>627</v>
      </c>
      <c r="AG210" s="87"/>
      <c r="AH210" s="87"/>
      <c r="AI210" s="87"/>
      <c r="AJ210" s="18"/>
      <c r="AK210" s="18"/>
      <c r="AL210" s="26"/>
      <c r="AM210" s="18"/>
      <c r="AN210" s="18"/>
    </row>
    <row r="211" spans="1:40" ht="13.5" customHeight="1" x14ac:dyDescent="0.35">
      <c r="A211" s="26" t="s">
        <v>925</v>
      </c>
      <c r="B211" s="101" t="s">
        <v>931</v>
      </c>
      <c r="C211" s="110" t="s">
        <v>623</v>
      </c>
      <c r="D211" s="116" t="s">
        <v>628</v>
      </c>
      <c r="E211" s="86" t="s">
        <v>629</v>
      </c>
      <c r="F211" s="86" t="s">
        <v>105</v>
      </c>
      <c r="G211" s="86" t="s">
        <v>901</v>
      </c>
      <c r="H211" s="86"/>
      <c r="I211" s="86" t="s">
        <v>5</v>
      </c>
      <c r="J211" s="86" t="s">
        <v>98</v>
      </c>
      <c r="K211" s="86">
        <v>15</v>
      </c>
      <c r="L211" s="86">
        <v>2</v>
      </c>
      <c r="M211" s="87">
        <v>1974</v>
      </c>
      <c r="N211" s="88">
        <f t="shared" si="4"/>
        <v>27075</v>
      </c>
      <c r="O211" s="25" t="e">
        <f>IF(L211&gt;#REF!,#REF!-M211-1,#REF!-M211)</f>
        <v>#REF!</v>
      </c>
      <c r="P211" s="25" t="e">
        <f t="shared" si="0"/>
        <v>#REF!</v>
      </c>
      <c r="Q211" s="87" t="s">
        <v>40</v>
      </c>
      <c r="R211" s="121" t="s">
        <v>35</v>
      </c>
      <c r="S211" s="87" t="s">
        <v>31</v>
      </c>
      <c r="T211" s="87" t="s">
        <v>71</v>
      </c>
      <c r="U211" s="87" t="s">
        <v>906</v>
      </c>
      <c r="V211" s="87" t="s">
        <v>907</v>
      </c>
      <c r="W211" s="87" t="s">
        <v>909</v>
      </c>
      <c r="X211" s="87" t="s">
        <v>916</v>
      </c>
      <c r="Y211" s="87"/>
      <c r="Z211" s="87"/>
      <c r="AA211" s="87"/>
      <c r="AB211" s="87"/>
      <c r="AC211" s="87"/>
      <c r="AD211" s="87"/>
      <c r="AE211" s="87" t="s">
        <v>627</v>
      </c>
      <c r="AF211" s="87" t="s">
        <v>627</v>
      </c>
      <c r="AG211" s="87"/>
      <c r="AH211" s="87"/>
      <c r="AI211" s="87"/>
      <c r="AJ211" s="18"/>
      <c r="AK211" s="18"/>
      <c r="AL211" s="26"/>
      <c r="AM211" s="18"/>
      <c r="AN211" s="18"/>
    </row>
    <row r="212" spans="1:40" ht="13.5" customHeight="1" x14ac:dyDescent="0.35">
      <c r="A212" s="26" t="s">
        <v>925</v>
      </c>
      <c r="B212" s="101" t="s">
        <v>931</v>
      </c>
      <c r="C212" s="110" t="s">
        <v>623</v>
      </c>
      <c r="D212" s="116" t="s">
        <v>630</v>
      </c>
      <c r="E212" s="86" t="s">
        <v>631</v>
      </c>
      <c r="F212" s="86" t="s">
        <v>108</v>
      </c>
      <c r="G212" s="86" t="s">
        <v>901</v>
      </c>
      <c r="H212" s="86"/>
      <c r="I212" s="86" t="s">
        <v>5</v>
      </c>
      <c r="J212" s="86" t="s">
        <v>632</v>
      </c>
      <c r="K212" s="86">
        <v>13</v>
      </c>
      <c r="L212" s="86">
        <v>1</v>
      </c>
      <c r="M212" s="87">
        <v>1995</v>
      </c>
      <c r="N212" s="88">
        <f t="shared" si="4"/>
        <v>34712</v>
      </c>
      <c r="O212" s="25" t="e">
        <f>IF(L212&gt;#REF!,#REF!-M212-1,#REF!-M212)</f>
        <v>#REF!</v>
      </c>
      <c r="P212" s="25" t="e">
        <f t="shared" si="0"/>
        <v>#REF!</v>
      </c>
      <c r="Q212" s="87" t="s">
        <v>40</v>
      </c>
      <c r="R212" s="121" t="s">
        <v>34</v>
      </c>
      <c r="S212" s="87" t="s">
        <v>48</v>
      </c>
      <c r="T212" s="87" t="s">
        <v>65</v>
      </c>
      <c r="U212" s="87" t="s">
        <v>906</v>
      </c>
      <c r="V212" s="87" t="s">
        <v>907</v>
      </c>
      <c r="W212" s="87" t="s">
        <v>909</v>
      </c>
      <c r="X212" s="87" t="s">
        <v>916</v>
      </c>
      <c r="Y212" s="87"/>
      <c r="Z212" s="87"/>
      <c r="AA212" s="87"/>
      <c r="AB212" s="87"/>
      <c r="AC212" s="87"/>
      <c r="AD212" s="87"/>
      <c r="AE212" s="87" t="s">
        <v>627</v>
      </c>
      <c r="AF212" s="87" t="s">
        <v>627</v>
      </c>
      <c r="AG212" s="87"/>
      <c r="AH212" s="87"/>
      <c r="AI212" s="87"/>
      <c r="AJ212" s="18"/>
      <c r="AK212" s="18"/>
      <c r="AL212" s="26"/>
      <c r="AM212" s="18"/>
      <c r="AN212" s="18"/>
    </row>
    <row r="213" spans="1:40" ht="13.5" customHeight="1" x14ac:dyDescent="0.35">
      <c r="A213" s="26" t="s">
        <v>925</v>
      </c>
      <c r="B213" s="101" t="s">
        <v>931</v>
      </c>
      <c r="C213" s="110" t="s">
        <v>426</v>
      </c>
      <c r="D213" s="116" t="s">
        <v>427</v>
      </c>
      <c r="E213" s="86" t="s">
        <v>428</v>
      </c>
      <c r="F213" s="86" t="s">
        <v>97</v>
      </c>
      <c r="G213" s="86" t="s">
        <v>901</v>
      </c>
      <c r="H213" s="86"/>
      <c r="I213" s="86" t="s">
        <v>4</v>
      </c>
      <c r="J213" s="86" t="s">
        <v>98</v>
      </c>
      <c r="K213" s="86">
        <v>7</v>
      </c>
      <c r="L213" s="86">
        <v>7</v>
      </c>
      <c r="M213" s="87">
        <v>1978</v>
      </c>
      <c r="N213" s="88">
        <f t="shared" si="4"/>
        <v>28678</v>
      </c>
      <c r="O213" s="25" t="e">
        <f>IF(L213&gt;#REF!,#REF!-M213-1,#REF!-M213)</f>
        <v>#REF!</v>
      </c>
      <c r="P213" s="25" t="e">
        <f t="shared" si="0"/>
        <v>#REF!</v>
      </c>
      <c r="Q213" s="87" t="s">
        <v>40</v>
      </c>
      <c r="R213" s="121" t="s">
        <v>33</v>
      </c>
      <c r="S213" s="87" t="s">
        <v>62</v>
      </c>
      <c r="T213" s="87" t="s">
        <v>66</v>
      </c>
      <c r="U213" s="87" t="s">
        <v>906</v>
      </c>
      <c r="V213" s="87" t="s">
        <v>907</v>
      </c>
      <c r="W213" s="87" t="s">
        <v>909</v>
      </c>
      <c r="X213" s="87" t="s">
        <v>916</v>
      </c>
      <c r="Y213" s="87"/>
      <c r="Z213" s="87"/>
      <c r="AA213" s="87"/>
      <c r="AB213" s="87"/>
      <c r="AC213" s="87"/>
      <c r="AD213" s="87"/>
      <c r="AE213" s="87" t="s">
        <v>400</v>
      </c>
      <c r="AF213" s="87" t="s">
        <v>400</v>
      </c>
      <c r="AG213" s="87"/>
      <c r="AH213" s="87"/>
      <c r="AI213" s="87"/>
      <c r="AJ213" s="18"/>
      <c r="AK213" s="18"/>
      <c r="AL213" s="26"/>
      <c r="AM213" s="18"/>
      <c r="AN213" s="18"/>
    </row>
    <row r="214" spans="1:40" ht="13.5" customHeight="1" x14ac:dyDescent="0.35">
      <c r="A214" s="26" t="s">
        <v>925</v>
      </c>
      <c r="B214" s="101" t="s">
        <v>931</v>
      </c>
      <c r="C214" s="110" t="s">
        <v>426</v>
      </c>
      <c r="D214" s="116" t="s">
        <v>429</v>
      </c>
      <c r="E214" s="86" t="s">
        <v>430</v>
      </c>
      <c r="F214" s="86" t="s">
        <v>105</v>
      </c>
      <c r="G214" s="86" t="s">
        <v>901</v>
      </c>
      <c r="H214" s="86"/>
      <c r="I214" s="86" t="s">
        <v>5</v>
      </c>
      <c r="J214" s="86" t="s">
        <v>98</v>
      </c>
      <c r="K214" s="86">
        <v>16</v>
      </c>
      <c r="L214" s="86">
        <v>3</v>
      </c>
      <c r="M214" s="87">
        <v>1985</v>
      </c>
      <c r="N214" s="88">
        <f t="shared" si="4"/>
        <v>31122</v>
      </c>
      <c r="O214" s="25" t="e">
        <f>IF(L214&gt;#REF!,#REF!-M214-1,#REF!-M214)</f>
        <v>#REF!</v>
      </c>
      <c r="P214" s="25" t="e">
        <f t="shared" si="0"/>
        <v>#REF!</v>
      </c>
      <c r="Q214" s="87" t="s">
        <v>40</v>
      </c>
      <c r="R214" s="121" t="s">
        <v>33</v>
      </c>
      <c r="S214" s="87" t="s">
        <v>62</v>
      </c>
      <c r="T214" s="87" t="s">
        <v>66</v>
      </c>
      <c r="U214" s="87" t="s">
        <v>906</v>
      </c>
      <c r="V214" s="87" t="s">
        <v>907</v>
      </c>
      <c r="W214" s="87" t="s">
        <v>909</v>
      </c>
      <c r="X214" s="87" t="s">
        <v>916</v>
      </c>
      <c r="Y214" s="87"/>
      <c r="Z214" s="87"/>
      <c r="AA214" s="87"/>
      <c r="AB214" s="87"/>
      <c r="AC214" s="87"/>
      <c r="AD214" s="87"/>
      <c r="AE214" s="87" t="s">
        <v>400</v>
      </c>
      <c r="AF214" s="87" t="s">
        <v>400</v>
      </c>
      <c r="AG214" s="87"/>
      <c r="AH214" s="87"/>
      <c r="AI214" s="87"/>
      <c r="AJ214" s="18"/>
      <c r="AK214" s="18"/>
      <c r="AL214" s="26"/>
      <c r="AM214" s="18"/>
      <c r="AN214" s="18"/>
    </row>
    <row r="215" spans="1:40" ht="13.5" customHeight="1" x14ac:dyDescent="0.35">
      <c r="A215" s="26" t="s">
        <v>925</v>
      </c>
      <c r="B215" s="101" t="s">
        <v>931</v>
      </c>
      <c r="C215" s="110" t="s">
        <v>426</v>
      </c>
      <c r="D215" s="116" t="s">
        <v>431</v>
      </c>
      <c r="E215" s="86" t="s">
        <v>432</v>
      </c>
      <c r="F215" s="86" t="s">
        <v>108</v>
      </c>
      <c r="G215" s="86" t="s">
        <v>901</v>
      </c>
      <c r="H215" s="86"/>
      <c r="I215" s="86" t="s">
        <v>5</v>
      </c>
      <c r="J215" s="86" t="s">
        <v>98</v>
      </c>
      <c r="K215" s="86">
        <v>27</v>
      </c>
      <c r="L215" s="86">
        <v>4</v>
      </c>
      <c r="M215" s="87">
        <v>2008</v>
      </c>
      <c r="N215" s="88">
        <f t="shared" si="4"/>
        <v>39565</v>
      </c>
      <c r="O215" s="25" t="e">
        <f>IF(L215&gt;#REF!,#REF!-M215-1,#REF!-M215)</f>
        <v>#REF!</v>
      </c>
      <c r="P215" s="25" t="e">
        <f t="shared" si="0"/>
        <v>#REF!</v>
      </c>
      <c r="Q215" s="87" t="s">
        <v>40</v>
      </c>
      <c r="R215" s="121" t="s">
        <v>31</v>
      </c>
      <c r="S215" s="87" t="s">
        <v>57</v>
      </c>
      <c r="T215" s="87" t="s">
        <v>65</v>
      </c>
      <c r="U215" s="87" t="s">
        <v>906</v>
      </c>
      <c r="V215" s="87" t="s">
        <v>907</v>
      </c>
      <c r="W215" s="87" t="s">
        <v>909</v>
      </c>
      <c r="X215" s="87" t="s">
        <v>916</v>
      </c>
      <c r="Y215" s="87"/>
      <c r="Z215" s="87"/>
      <c r="AA215" s="87"/>
      <c r="AB215" s="87"/>
      <c r="AC215" s="87"/>
      <c r="AD215" s="87"/>
      <c r="AE215" s="87" t="s">
        <v>400</v>
      </c>
      <c r="AF215" s="87" t="s">
        <v>400</v>
      </c>
      <c r="AG215" s="87"/>
      <c r="AH215" s="87"/>
      <c r="AI215" s="87"/>
      <c r="AJ215" s="18"/>
      <c r="AK215" s="18"/>
      <c r="AL215" s="26"/>
      <c r="AM215" s="18"/>
      <c r="AN215" s="18"/>
    </row>
    <row r="216" spans="1:40" ht="13.5" customHeight="1" x14ac:dyDescent="0.35">
      <c r="A216" s="26" t="s">
        <v>925</v>
      </c>
      <c r="B216" s="101" t="s">
        <v>931</v>
      </c>
      <c r="C216" s="110" t="s">
        <v>426</v>
      </c>
      <c r="D216" s="116" t="s">
        <v>433</v>
      </c>
      <c r="E216" s="86" t="s">
        <v>434</v>
      </c>
      <c r="F216" s="86" t="s">
        <v>108</v>
      </c>
      <c r="G216" s="86" t="s">
        <v>901</v>
      </c>
      <c r="H216" s="86"/>
      <c r="I216" s="86" t="s">
        <v>4</v>
      </c>
      <c r="J216" s="86" t="s">
        <v>98</v>
      </c>
      <c r="K216" s="86">
        <v>15</v>
      </c>
      <c r="L216" s="86">
        <v>11</v>
      </c>
      <c r="M216" s="87">
        <v>2011</v>
      </c>
      <c r="N216" s="88">
        <f t="shared" si="4"/>
        <v>40862</v>
      </c>
      <c r="O216" s="25" t="e">
        <f>IF(L216&gt;#REF!,#REF!-M216-1,#REF!-M216)</f>
        <v>#REF!</v>
      </c>
      <c r="P216" s="25" t="e">
        <f t="shared" si="0"/>
        <v>#REF!</v>
      </c>
      <c r="Q216" s="87" t="s">
        <v>40</v>
      </c>
      <c r="R216" s="121" t="s">
        <v>30</v>
      </c>
      <c r="S216" s="87" t="s">
        <v>57</v>
      </c>
      <c r="T216" s="87" t="s">
        <v>65</v>
      </c>
      <c r="U216" s="87" t="s">
        <v>906</v>
      </c>
      <c r="V216" s="87" t="s">
        <v>907</v>
      </c>
      <c r="W216" s="87" t="s">
        <v>909</v>
      </c>
      <c r="X216" s="87" t="s">
        <v>916</v>
      </c>
      <c r="Y216" s="87"/>
      <c r="Z216" s="87"/>
      <c r="AA216" s="87"/>
      <c r="AB216" s="87"/>
      <c r="AC216" s="87"/>
      <c r="AD216" s="87"/>
      <c r="AE216" s="87" t="s">
        <v>400</v>
      </c>
      <c r="AF216" s="87" t="s">
        <v>400</v>
      </c>
      <c r="AG216" s="87"/>
      <c r="AH216" s="87"/>
      <c r="AI216" s="87"/>
      <c r="AJ216" s="18"/>
      <c r="AK216" s="18"/>
      <c r="AL216" s="26"/>
      <c r="AM216" s="18"/>
      <c r="AN216" s="18"/>
    </row>
    <row r="217" spans="1:40" ht="13.5" customHeight="1" x14ac:dyDescent="0.35">
      <c r="A217" s="26" t="s">
        <v>925</v>
      </c>
      <c r="B217" s="101" t="s">
        <v>931</v>
      </c>
      <c r="C217" s="110" t="s">
        <v>426</v>
      </c>
      <c r="D217" s="116" t="s">
        <v>435</v>
      </c>
      <c r="E217" s="86" t="s">
        <v>436</v>
      </c>
      <c r="F217" s="86" t="s">
        <v>108</v>
      </c>
      <c r="G217" s="86" t="s">
        <v>901</v>
      </c>
      <c r="H217" s="86"/>
      <c r="I217" s="86" t="s">
        <v>5</v>
      </c>
      <c r="J217" s="86" t="s">
        <v>98</v>
      </c>
      <c r="K217" s="86">
        <v>13</v>
      </c>
      <c r="L217" s="86">
        <v>8</v>
      </c>
      <c r="M217" s="87">
        <v>2015</v>
      </c>
      <c r="N217" s="88">
        <f t="shared" si="4"/>
        <v>42229</v>
      </c>
      <c r="O217" s="25" t="e">
        <f>IF(L217&gt;#REF!,#REF!-M217-1,#REF!-M217)</f>
        <v>#REF!</v>
      </c>
      <c r="P217" s="25" t="e">
        <f t="shared" si="0"/>
        <v>#REF!</v>
      </c>
      <c r="Q217" s="87" t="s">
        <v>40</v>
      </c>
      <c r="R217" s="121" t="s">
        <v>30</v>
      </c>
      <c r="S217" s="87" t="s">
        <v>57</v>
      </c>
      <c r="T217" s="87" t="s">
        <v>65</v>
      </c>
      <c r="U217" s="87" t="s">
        <v>906</v>
      </c>
      <c r="V217" s="87" t="s">
        <v>907</v>
      </c>
      <c r="W217" s="87" t="s">
        <v>909</v>
      </c>
      <c r="X217" s="87" t="s">
        <v>916</v>
      </c>
      <c r="Y217" s="87"/>
      <c r="Z217" s="87"/>
      <c r="AA217" s="87"/>
      <c r="AB217" s="87"/>
      <c r="AC217" s="87"/>
      <c r="AD217" s="87"/>
      <c r="AE217" s="87" t="s">
        <v>400</v>
      </c>
      <c r="AF217" s="87" t="s">
        <v>400</v>
      </c>
      <c r="AG217" s="87"/>
      <c r="AH217" s="87"/>
      <c r="AI217" s="87"/>
      <c r="AJ217" s="18"/>
      <c r="AK217" s="18"/>
      <c r="AL217" s="26"/>
      <c r="AM217" s="18"/>
      <c r="AN217" s="18"/>
    </row>
    <row r="218" spans="1:40" ht="13.5" customHeight="1" x14ac:dyDescent="0.35">
      <c r="A218" s="26" t="s">
        <v>925</v>
      </c>
      <c r="B218" s="101" t="s">
        <v>931</v>
      </c>
      <c r="C218" s="110" t="s">
        <v>426</v>
      </c>
      <c r="D218" s="116" t="s">
        <v>437</v>
      </c>
      <c r="E218" s="86" t="s">
        <v>438</v>
      </c>
      <c r="F218" s="86" t="s">
        <v>108</v>
      </c>
      <c r="G218" s="86" t="s">
        <v>901</v>
      </c>
      <c r="H218" s="86"/>
      <c r="I218" s="86" t="s">
        <v>5</v>
      </c>
      <c r="J218" s="86" t="s">
        <v>98</v>
      </c>
      <c r="K218" s="86">
        <v>25</v>
      </c>
      <c r="L218" s="86">
        <v>9</v>
      </c>
      <c r="M218" s="87">
        <v>2022</v>
      </c>
      <c r="N218" s="88">
        <f t="shared" si="4"/>
        <v>44829</v>
      </c>
      <c r="O218" s="25" t="e">
        <f>IF(L218&gt;#REF!,#REF!-M218-1,#REF!-M218)</f>
        <v>#REF!</v>
      </c>
      <c r="P218" s="25" t="e">
        <f t="shared" si="0"/>
        <v>#REF!</v>
      </c>
      <c r="Q218" s="87" t="s">
        <v>40</v>
      </c>
      <c r="R218" s="121" t="s">
        <v>28</v>
      </c>
      <c r="S218" s="87" t="s">
        <v>48</v>
      </c>
      <c r="T218" s="87" t="s">
        <v>65</v>
      </c>
      <c r="U218" s="87" t="s">
        <v>906</v>
      </c>
      <c r="V218" s="87" t="s">
        <v>907</v>
      </c>
      <c r="W218" s="87" t="s">
        <v>909</v>
      </c>
      <c r="X218" s="87" t="s">
        <v>916</v>
      </c>
      <c r="Y218" s="87"/>
      <c r="Z218" s="87"/>
      <c r="AA218" s="87"/>
      <c r="AB218" s="87"/>
      <c r="AC218" s="87"/>
      <c r="AD218" s="87"/>
      <c r="AE218" s="87" t="s">
        <v>400</v>
      </c>
      <c r="AF218" s="87" t="s">
        <v>400</v>
      </c>
      <c r="AG218" s="87"/>
      <c r="AH218" s="87"/>
      <c r="AI218" s="87"/>
      <c r="AJ218" s="18"/>
      <c r="AK218" s="18"/>
      <c r="AL218" s="26"/>
      <c r="AM218" s="18"/>
      <c r="AN218" s="18"/>
    </row>
    <row r="219" spans="1:40" ht="15.75" customHeight="1" x14ac:dyDescent="0.35">
      <c r="A219" s="26" t="s">
        <v>925</v>
      </c>
      <c r="B219" s="101" t="s">
        <v>931</v>
      </c>
      <c r="C219" s="112" t="s">
        <v>633</v>
      </c>
      <c r="D219" s="106" t="s">
        <v>634</v>
      </c>
      <c r="E219" s="106" t="s">
        <v>635</v>
      </c>
      <c r="F219" s="86" t="s">
        <v>97</v>
      </c>
      <c r="G219" s="86" t="s">
        <v>901</v>
      </c>
      <c r="H219" s="86"/>
      <c r="I219" s="92" t="s">
        <v>4</v>
      </c>
      <c r="J219" s="92" t="s">
        <v>129</v>
      </c>
      <c r="K219" s="92">
        <v>18</v>
      </c>
      <c r="L219" s="92">
        <v>8</v>
      </c>
      <c r="M219" s="93">
        <v>1992</v>
      </c>
      <c r="N219" s="88">
        <f t="shared" si="4"/>
        <v>33834</v>
      </c>
      <c r="O219" s="25" t="e">
        <f>IF(L219&gt;#REF!,#REF!-M219-1,#REF!-M219)</f>
        <v>#REF!</v>
      </c>
      <c r="P219" s="25" t="e">
        <f t="shared" si="0"/>
        <v>#REF!</v>
      </c>
      <c r="Q219" s="93" t="s">
        <v>40</v>
      </c>
      <c r="R219" s="121" t="s">
        <v>30</v>
      </c>
      <c r="S219" s="93" t="s">
        <v>55</v>
      </c>
      <c r="T219" s="93" t="s">
        <v>66</v>
      </c>
      <c r="U219" s="87" t="s">
        <v>906</v>
      </c>
      <c r="V219" s="87" t="s">
        <v>907</v>
      </c>
      <c r="W219" s="87" t="s">
        <v>909</v>
      </c>
      <c r="X219" s="87" t="s">
        <v>916</v>
      </c>
      <c r="Y219" s="87"/>
      <c r="Z219" s="87"/>
      <c r="AA219" s="87"/>
      <c r="AB219" s="87"/>
      <c r="AC219" s="87"/>
      <c r="AD219" s="87"/>
      <c r="AE219" s="93" t="s">
        <v>387</v>
      </c>
      <c r="AF219" s="93" t="s">
        <v>387</v>
      </c>
      <c r="AG219" s="94"/>
      <c r="AH219" s="94"/>
      <c r="AI219" s="94"/>
    </row>
    <row r="220" spans="1:40" ht="15.75" customHeight="1" x14ac:dyDescent="0.35">
      <c r="A220" s="26" t="s">
        <v>925</v>
      </c>
      <c r="B220" s="101" t="s">
        <v>931</v>
      </c>
      <c r="C220" s="112" t="s">
        <v>633</v>
      </c>
      <c r="D220" s="106" t="s">
        <v>636</v>
      </c>
      <c r="E220" s="106" t="s">
        <v>637</v>
      </c>
      <c r="F220" s="86" t="s">
        <v>105</v>
      </c>
      <c r="G220" s="86" t="s">
        <v>901</v>
      </c>
      <c r="H220" s="86"/>
      <c r="I220" s="92" t="s">
        <v>5</v>
      </c>
      <c r="J220" s="92" t="s">
        <v>98</v>
      </c>
      <c r="K220" s="92">
        <v>30</v>
      </c>
      <c r="L220" s="92">
        <v>1</v>
      </c>
      <c r="M220" s="93">
        <v>2000</v>
      </c>
      <c r="N220" s="88">
        <f t="shared" si="4"/>
        <v>36555</v>
      </c>
      <c r="O220" s="25" t="e">
        <f>IF(L220&gt;#REF!,#REF!-M220-1,#REF!-M220)</f>
        <v>#REF!</v>
      </c>
      <c r="P220" s="25" t="e">
        <f t="shared" si="0"/>
        <v>#REF!</v>
      </c>
      <c r="Q220" s="93" t="s">
        <v>40</v>
      </c>
      <c r="R220" s="121" t="s">
        <v>33</v>
      </c>
      <c r="S220" s="93" t="s">
        <v>54</v>
      </c>
      <c r="T220" s="93" t="s">
        <v>66</v>
      </c>
      <c r="U220" s="87" t="s">
        <v>906</v>
      </c>
      <c r="V220" s="87" t="s">
        <v>907</v>
      </c>
      <c r="W220" s="87" t="s">
        <v>909</v>
      </c>
      <c r="X220" s="87" t="s">
        <v>916</v>
      </c>
      <c r="Y220" s="87"/>
      <c r="Z220" s="87"/>
      <c r="AA220" s="87"/>
      <c r="AB220" s="87"/>
      <c r="AC220" s="87"/>
      <c r="AD220" s="87"/>
      <c r="AE220" s="93" t="s">
        <v>387</v>
      </c>
      <c r="AF220" s="93" t="s">
        <v>387</v>
      </c>
      <c r="AG220" s="94"/>
      <c r="AH220" s="94"/>
      <c r="AI220" s="94"/>
    </row>
    <row r="221" spans="1:40" ht="15.75" customHeight="1" x14ac:dyDescent="0.35">
      <c r="A221" s="26" t="s">
        <v>925</v>
      </c>
      <c r="B221" s="101" t="s">
        <v>931</v>
      </c>
      <c r="C221" s="112" t="s">
        <v>633</v>
      </c>
      <c r="D221" s="118" t="s">
        <v>638</v>
      </c>
      <c r="E221" s="106" t="s">
        <v>639</v>
      </c>
      <c r="F221" s="86" t="s">
        <v>108</v>
      </c>
      <c r="G221" s="86" t="s">
        <v>901</v>
      </c>
      <c r="H221" s="86"/>
      <c r="I221" s="92" t="s">
        <v>4</v>
      </c>
      <c r="J221" s="92" t="s">
        <v>129</v>
      </c>
      <c r="K221" s="95"/>
      <c r="L221" s="95"/>
      <c r="M221" s="93">
        <v>2016</v>
      </c>
      <c r="N221" s="88">
        <f t="shared" si="4"/>
        <v>42338</v>
      </c>
      <c r="O221" s="25" t="e">
        <f>IF(L221&gt;#REF!,#REF!-M221-1,#REF!-M221)</f>
        <v>#REF!</v>
      </c>
      <c r="P221" s="25" t="e">
        <f t="shared" si="0"/>
        <v>#REF!</v>
      </c>
      <c r="Q221" s="93" t="s">
        <v>40</v>
      </c>
      <c r="R221" s="121" t="s">
        <v>28</v>
      </c>
      <c r="S221" s="93" t="s">
        <v>48</v>
      </c>
      <c r="T221" s="93" t="s">
        <v>65</v>
      </c>
      <c r="U221" s="87" t="s">
        <v>906</v>
      </c>
      <c r="V221" s="87" t="s">
        <v>907</v>
      </c>
      <c r="W221" s="87" t="s">
        <v>909</v>
      </c>
      <c r="X221" s="87" t="s">
        <v>916</v>
      </c>
      <c r="Y221" s="87"/>
      <c r="Z221" s="87"/>
      <c r="AA221" s="87"/>
      <c r="AB221" s="87"/>
      <c r="AC221" s="87"/>
      <c r="AD221" s="87"/>
      <c r="AE221" s="93" t="s">
        <v>387</v>
      </c>
      <c r="AF221" s="93" t="s">
        <v>387</v>
      </c>
      <c r="AG221" s="94"/>
      <c r="AH221" s="94"/>
      <c r="AI221" s="94"/>
    </row>
    <row r="222" spans="1:40" ht="15.75" customHeight="1" x14ac:dyDescent="0.35">
      <c r="A222" s="26" t="s">
        <v>925</v>
      </c>
      <c r="B222" s="101" t="s">
        <v>931</v>
      </c>
      <c r="C222" s="112" t="s">
        <v>633</v>
      </c>
      <c r="D222" s="106" t="s">
        <v>640</v>
      </c>
      <c r="E222" s="106" t="s">
        <v>641</v>
      </c>
      <c r="F222" s="86" t="s">
        <v>108</v>
      </c>
      <c r="G222" s="86" t="s">
        <v>901</v>
      </c>
      <c r="H222" s="86"/>
      <c r="I222" s="92" t="s">
        <v>4</v>
      </c>
      <c r="J222" s="92" t="s">
        <v>98</v>
      </c>
      <c r="K222" s="92">
        <v>31</v>
      </c>
      <c r="L222" s="92">
        <v>1</v>
      </c>
      <c r="M222" s="93">
        <v>2020</v>
      </c>
      <c r="N222" s="88">
        <f t="shared" si="4"/>
        <v>43861</v>
      </c>
      <c r="O222" s="25" t="e">
        <f>IF(L222&gt;#REF!,#REF!-M222-1,#REF!-M222)</f>
        <v>#REF!</v>
      </c>
      <c r="P222" s="25" t="e">
        <f t="shared" si="0"/>
        <v>#REF!</v>
      </c>
      <c r="Q222" s="93" t="s">
        <v>40</v>
      </c>
      <c r="R222" s="121" t="s">
        <v>28</v>
      </c>
      <c r="S222" s="93" t="s">
        <v>48</v>
      </c>
      <c r="T222" s="93" t="s">
        <v>65</v>
      </c>
      <c r="U222" s="87" t="s">
        <v>906</v>
      </c>
      <c r="V222" s="87" t="s">
        <v>907</v>
      </c>
      <c r="W222" s="87" t="s">
        <v>909</v>
      </c>
      <c r="X222" s="87" t="s">
        <v>916</v>
      </c>
      <c r="Y222" s="87"/>
      <c r="Z222" s="87"/>
      <c r="AA222" s="87"/>
      <c r="AB222" s="87"/>
      <c r="AC222" s="87"/>
      <c r="AD222" s="87"/>
      <c r="AE222" s="93" t="s">
        <v>387</v>
      </c>
      <c r="AF222" s="93" t="s">
        <v>387</v>
      </c>
      <c r="AG222" s="94"/>
      <c r="AH222" s="94"/>
      <c r="AI222" s="94"/>
    </row>
    <row r="223" spans="1:40" ht="15.75" customHeight="1" x14ac:dyDescent="0.35">
      <c r="A223" s="26" t="s">
        <v>925</v>
      </c>
      <c r="B223" s="101" t="s">
        <v>931</v>
      </c>
      <c r="C223" s="112" t="s">
        <v>642</v>
      </c>
      <c r="D223" s="106" t="s">
        <v>643</v>
      </c>
      <c r="E223" s="106" t="s">
        <v>644</v>
      </c>
      <c r="F223" s="86" t="s">
        <v>97</v>
      </c>
      <c r="G223" s="86" t="s">
        <v>901</v>
      </c>
      <c r="H223" s="86"/>
      <c r="I223" s="92" t="s">
        <v>5</v>
      </c>
      <c r="J223" s="92" t="s">
        <v>98</v>
      </c>
      <c r="K223" s="92">
        <v>20</v>
      </c>
      <c r="L223" s="92">
        <v>12</v>
      </c>
      <c r="M223" s="93">
        <v>1949</v>
      </c>
      <c r="N223" s="88">
        <f t="shared" si="4"/>
        <v>18252</v>
      </c>
      <c r="O223" s="25" t="e">
        <f>IF(L223&gt;#REF!,#REF!-M223-1,#REF!-M223)</f>
        <v>#REF!</v>
      </c>
      <c r="P223" s="25" t="e">
        <f t="shared" si="0"/>
        <v>#REF!</v>
      </c>
      <c r="Q223" s="93" t="s">
        <v>40</v>
      </c>
      <c r="R223" s="121" t="s">
        <v>30</v>
      </c>
      <c r="S223" s="93" t="s">
        <v>54</v>
      </c>
      <c r="T223" s="93" t="s">
        <v>70</v>
      </c>
      <c r="U223" s="87" t="s">
        <v>906</v>
      </c>
      <c r="V223" s="87" t="s">
        <v>907</v>
      </c>
      <c r="W223" s="87" t="s">
        <v>909</v>
      </c>
      <c r="X223" s="87" t="s">
        <v>916</v>
      </c>
      <c r="Y223" s="87"/>
      <c r="Z223" s="87"/>
      <c r="AA223" s="87"/>
      <c r="AB223" s="87"/>
      <c r="AC223" s="87"/>
      <c r="AD223" s="87"/>
      <c r="AE223" s="93" t="s">
        <v>243</v>
      </c>
      <c r="AF223" s="93" t="s">
        <v>243</v>
      </c>
      <c r="AG223" s="94"/>
      <c r="AH223" s="94"/>
      <c r="AI223" s="94"/>
    </row>
    <row r="224" spans="1:40" ht="15.75" customHeight="1" x14ac:dyDescent="0.35">
      <c r="A224" s="26" t="s">
        <v>925</v>
      </c>
      <c r="B224" s="101" t="s">
        <v>931</v>
      </c>
      <c r="C224" s="112" t="s">
        <v>642</v>
      </c>
      <c r="D224" s="106" t="s">
        <v>645</v>
      </c>
      <c r="E224" s="106" t="s">
        <v>646</v>
      </c>
      <c r="F224" s="86" t="s">
        <v>105</v>
      </c>
      <c r="G224" s="86" t="s">
        <v>901</v>
      </c>
      <c r="H224" s="86"/>
      <c r="I224" s="92" t="s">
        <v>4</v>
      </c>
      <c r="J224" s="92" t="s">
        <v>98</v>
      </c>
      <c r="K224" s="92">
        <v>7</v>
      </c>
      <c r="L224" s="92">
        <v>12</v>
      </c>
      <c r="M224" s="93">
        <v>1974</v>
      </c>
      <c r="N224" s="88">
        <f t="shared" si="4"/>
        <v>27370</v>
      </c>
      <c r="O224" s="25" t="e">
        <f>IF(L224&gt;#REF!,#REF!-M224-1,#REF!-M224)</f>
        <v>#REF!</v>
      </c>
      <c r="P224" s="25" t="e">
        <f t="shared" si="0"/>
        <v>#REF!</v>
      </c>
      <c r="Q224" s="93" t="s">
        <v>40</v>
      </c>
      <c r="R224" s="121" t="s">
        <v>33</v>
      </c>
      <c r="S224" s="93" t="s">
        <v>49</v>
      </c>
      <c r="T224" s="93" t="s">
        <v>65</v>
      </c>
      <c r="U224" s="87" t="s">
        <v>906</v>
      </c>
      <c r="V224" s="87" t="s">
        <v>907</v>
      </c>
      <c r="W224" s="87" t="s">
        <v>909</v>
      </c>
      <c r="X224" s="87" t="s">
        <v>916</v>
      </c>
      <c r="Y224" s="87"/>
      <c r="Z224" s="87"/>
      <c r="AA224" s="87"/>
      <c r="AB224" s="87"/>
      <c r="AC224" s="87"/>
      <c r="AD224" s="87"/>
      <c r="AE224" s="93" t="s">
        <v>243</v>
      </c>
      <c r="AF224" s="93" t="s">
        <v>243</v>
      </c>
      <c r="AG224" s="94"/>
      <c r="AH224" s="94"/>
      <c r="AI224" s="94"/>
    </row>
    <row r="225" spans="1:35" ht="15.75" customHeight="1" x14ac:dyDescent="0.35">
      <c r="A225" s="26" t="s">
        <v>925</v>
      </c>
      <c r="B225" s="101" t="s">
        <v>931</v>
      </c>
      <c r="C225" s="112" t="s">
        <v>642</v>
      </c>
      <c r="D225" s="106" t="s">
        <v>647</v>
      </c>
      <c r="E225" s="106" t="s">
        <v>648</v>
      </c>
      <c r="F225" s="86" t="s">
        <v>108</v>
      </c>
      <c r="G225" s="86" t="s">
        <v>901</v>
      </c>
      <c r="H225" s="86"/>
      <c r="I225" s="92" t="s">
        <v>4</v>
      </c>
      <c r="J225" s="92" t="s">
        <v>98</v>
      </c>
      <c r="K225" s="92">
        <v>4</v>
      </c>
      <c r="L225" s="92">
        <v>10</v>
      </c>
      <c r="M225" s="93">
        <v>1984</v>
      </c>
      <c r="N225" s="88">
        <f t="shared" si="4"/>
        <v>30959</v>
      </c>
      <c r="O225" s="25" t="e">
        <f>IF(L225&gt;#REF!,#REF!-M225-1,#REF!-M225)</f>
        <v>#REF!</v>
      </c>
      <c r="P225" s="25" t="e">
        <f t="shared" si="0"/>
        <v>#REF!</v>
      </c>
      <c r="Q225" s="93" t="s">
        <v>40</v>
      </c>
      <c r="R225" s="121" t="s">
        <v>33</v>
      </c>
      <c r="S225" s="93" t="s">
        <v>49</v>
      </c>
      <c r="T225" s="93" t="s">
        <v>65</v>
      </c>
      <c r="U225" s="87" t="s">
        <v>906</v>
      </c>
      <c r="V225" s="87" t="s">
        <v>907</v>
      </c>
      <c r="W225" s="87" t="s">
        <v>909</v>
      </c>
      <c r="X225" s="87" t="s">
        <v>916</v>
      </c>
      <c r="Y225" s="87"/>
      <c r="Z225" s="87"/>
      <c r="AA225" s="87"/>
      <c r="AB225" s="87"/>
      <c r="AC225" s="87"/>
      <c r="AD225" s="87"/>
      <c r="AE225" s="93" t="s">
        <v>243</v>
      </c>
      <c r="AF225" s="93" t="s">
        <v>243</v>
      </c>
      <c r="AG225" s="94"/>
      <c r="AH225" s="94"/>
      <c r="AI225" s="94"/>
    </row>
    <row r="226" spans="1:35" ht="15.75" customHeight="1" x14ac:dyDescent="0.35">
      <c r="A226" s="26" t="s">
        <v>925</v>
      </c>
      <c r="B226" s="101" t="s">
        <v>931</v>
      </c>
      <c r="C226" s="112" t="s">
        <v>649</v>
      </c>
      <c r="D226" s="106" t="s">
        <v>650</v>
      </c>
      <c r="E226" s="106" t="s">
        <v>651</v>
      </c>
      <c r="F226" s="86" t="s">
        <v>97</v>
      </c>
      <c r="G226" s="86" t="s">
        <v>901</v>
      </c>
      <c r="H226" s="86"/>
      <c r="I226" s="92" t="s">
        <v>4</v>
      </c>
      <c r="J226" s="92" t="s">
        <v>652</v>
      </c>
      <c r="K226" s="92">
        <v>4</v>
      </c>
      <c r="L226" s="92">
        <v>5</v>
      </c>
      <c r="M226" s="93">
        <v>1967</v>
      </c>
      <c r="N226" s="88">
        <f t="shared" si="4"/>
        <v>24596</v>
      </c>
      <c r="O226" s="25" t="e">
        <f>IF(L226&gt;#REF!,#REF!-M226-1,#REF!-M226)</f>
        <v>#REF!</v>
      </c>
      <c r="P226" s="25" t="e">
        <f t="shared" si="0"/>
        <v>#REF!</v>
      </c>
      <c r="Q226" s="93" t="s">
        <v>40</v>
      </c>
      <c r="R226" s="121" t="s">
        <v>34</v>
      </c>
      <c r="S226" s="93" t="s">
        <v>56</v>
      </c>
      <c r="T226" s="93" t="s">
        <v>67</v>
      </c>
      <c r="U226" s="87" t="s">
        <v>906</v>
      </c>
      <c r="V226" s="87" t="s">
        <v>907</v>
      </c>
      <c r="W226" s="87" t="s">
        <v>909</v>
      </c>
      <c r="X226" s="87" t="s">
        <v>916</v>
      </c>
      <c r="Y226" s="87"/>
      <c r="Z226" s="87"/>
      <c r="AA226" s="87"/>
      <c r="AB226" s="87"/>
      <c r="AC226" s="87"/>
      <c r="AD226" s="87"/>
      <c r="AE226" s="93" t="s">
        <v>653</v>
      </c>
      <c r="AF226" s="93" t="s">
        <v>653</v>
      </c>
      <c r="AG226" s="94"/>
      <c r="AH226" s="94"/>
      <c r="AI226" s="94"/>
    </row>
    <row r="227" spans="1:35" ht="15.75" customHeight="1" x14ac:dyDescent="0.35">
      <c r="A227" s="26" t="s">
        <v>925</v>
      </c>
      <c r="B227" s="101" t="s">
        <v>931</v>
      </c>
      <c r="C227" s="112" t="s">
        <v>649</v>
      </c>
      <c r="D227" s="106" t="s">
        <v>654</v>
      </c>
      <c r="E227" s="106" t="s">
        <v>655</v>
      </c>
      <c r="F227" s="86" t="s">
        <v>105</v>
      </c>
      <c r="G227" s="86" t="s">
        <v>901</v>
      </c>
      <c r="H227" s="86"/>
      <c r="I227" s="92" t="s">
        <v>5</v>
      </c>
      <c r="J227" s="92" t="s">
        <v>656</v>
      </c>
      <c r="K227" s="92">
        <v>1</v>
      </c>
      <c r="L227" s="92">
        <v>9</v>
      </c>
      <c r="M227" s="93">
        <v>1975</v>
      </c>
      <c r="N227" s="88">
        <f t="shared" si="4"/>
        <v>27638</v>
      </c>
      <c r="O227" s="25" t="e">
        <f>IF(L227&gt;#REF!,#REF!-M227-1,#REF!-M227)</f>
        <v>#REF!</v>
      </c>
      <c r="P227" s="25" t="e">
        <f t="shared" si="0"/>
        <v>#REF!</v>
      </c>
      <c r="Q227" s="93" t="s">
        <v>40</v>
      </c>
      <c r="R227" s="121" t="s">
        <v>33</v>
      </c>
      <c r="S227" s="93" t="s">
        <v>54</v>
      </c>
      <c r="T227" s="93" t="s">
        <v>67</v>
      </c>
      <c r="U227" s="87" t="s">
        <v>906</v>
      </c>
      <c r="V227" s="87" t="s">
        <v>907</v>
      </c>
      <c r="W227" s="87" t="s">
        <v>909</v>
      </c>
      <c r="X227" s="87" t="s">
        <v>916</v>
      </c>
      <c r="Y227" s="87"/>
      <c r="Z227" s="87"/>
      <c r="AA227" s="87"/>
      <c r="AB227" s="87"/>
      <c r="AC227" s="87"/>
      <c r="AD227" s="87"/>
      <c r="AE227" s="93" t="s">
        <v>653</v>
      </c>
      <c r="AF227" s="93" t="s">
        <v>653</v>
      </c>
      <c r="AG227" s="94"/>
      <c r="AH227" s="94"/>
      <c r="AI227" s="94"/>
    </row>
    <row r="228" spans="1:35" ht="15.75" customHeight="1" x14ac:dyDescent="0.35">
      <c r="A228" s="26" t="s">
        <v>925</v>
      </c>
      <c r="B228" s="101" t="s">
        <v>931</v>
      </c>
      <c r="C228" s="112" t="s">
        <v>649</v>
      </c>
      <c r="D228" s="106" t="s">
        <v>657</v>
      </c>
      <c r="E228" s="106" t="s">
        <v>658</v>
      </c>
      <c r="F228" s="86" t="s">
        <v>108</v>
      </c>
      <c r="G228" s="86" t="s">
        <v>901</v>
      </c>
      <c r="H228" s="86"/>
      <c r="I228" s="92" t="s">
        <v>5</v>
      </c>
      <c r="J228" s="92" t="s">
        <v>98</v>
      </c>
      <c r="K228" s="92">
        <v>6</v>
      </c>
      <c r="L228" s="92">
        <v>2</v>
      </c>
      <c r="M228" s="93">
        <v>1995</v>
      </c>
      <c r="N228" s="88">
        <f t="shared" si="4"/>
        <v>34736</v>
      </c>
      <c r="O228" s="25" t="e">
        <f>IF(L228&gt;#REF!,#REF!-M228-1,#REF!-M228)</f>
        <v>#REF!</v>
      </c>
      <c r="P228" s="25" t="e">
        <f t="shared" si="0"/>
        <v>#REF!</v>
      </c>
      <c r="Q228" s="93" t="s">
        <v>40</v>
      </c>
      <c r="R228" s="121" t="s">
        <v>34</v>
      </c>
      <c r="S228" s="93" t="s">
        <v>52</v>
      </c>
      <c r="T228" s="93" t="s">
        <v>65</v>
      </c>
      <c r="U228" s="87" t="s">
        <v>906</v>
      </c>
      <c r="V228" s="87" t="s">
        <v>907</v>
      </c>
      <c r="W228" s="87" t="s">
        <v>909</v>
      </c>
      <c r="X228" s="87" t="s">
        <v>916</v>
      </c>
      <c r="Y228" s="87"/>
      <c r="Z228" s="87"/>
      <c r="AA228" s="87"/>
      <c r="AB228" s="87"/>
      <c r="AC228" s="87"/>
      <c r="AD228" s="87"/>
      <c r="AE228" s="93" t="s">
        <v>653</v>
      </c>
      <c r="AF228" s="93" t="s">
        <v>653</v>
      </c>
      <c r="AG228" s="94"/>
      <c r="AH228" s="94"/>
      <c r="AI228" s="94"/>
    </row>
    <row r="229" spans="1:35" ht="15.75" customHeight="1" x14ac:dyDescent="0.35">
      <c r="A229" s="26" t="s">
        <v>925</v>
      </c>
      <c r="B229" s="101" t="s">
        <v>931</v>
      </c>
      <c r="C229" s="112" t="s">
        <v>649</v>
      </c>
      <c r="D229" s="106" t="s">
        <v>659</v>
      </c>
      <c r="E229" s="106" t="s">
        <v>660</v>
      </c>
      <c r="F229" s="86" t="s">
        <v>108</v>
      </c>
      <c r="G229" s="86" t="s">
        <v>901</v>
      </c>
      <c r="H229" s="86"/>
      <c r="I229" s="92" t="s">
        <v>5</v>
      </c>
      <c r="J229" s="92" t="s">
        <v>98</v>
      </c>
      <c r="K229" s="92">
        <v>23</v>
      </c>
      <c r="L229" s="92">
        <v>9</v>
      </c>
      <c r="M229" s="93">
        <v>2000</v>
      </c>
      <c r="N229" s="88">
        <f t="shared" si="4"/>
        <v>36792</v>
      </c>
      <c r="O229" s="25" t="e">
        <f>IF(L229&gt;#REF!,#REF!-M229-1,#REF!-M229)</f>
        <v>#REF!</v>
      </c>
      <c r="P229" s="25" t="e">
        <f t="shared" si="0"/>
        <v>#REF!</v>
      </c>
      <c r="Q229" s="93" t="s">
        <v>40</v>
      </c>
      <c r="R229" s="121" t="s">
        <v>33</v>
      </c>
      <c r="S229" s="93" t="s">
        <v>57</v>
      </c>
      <c r="T229" s="93" t="s">
        <v>65</v>
      </c>
      <c r="U229" s="87" t="s">
        <v>906</v>
      </c>
      <c r="V229" s="87" t="s">
        <v>907</v>
      </c>
      <c r="W229" s="87" t="s">
        <v>909</v>
      </c>
      <c r="X229" s="87" t="s">
        <v>916</v>
      </c>
      <c r="Y229" s="87"/>
      <c r="Z229" s="87"/>
      <c r="AA229" s="87"/>
      <c r="AB229" s="87"/>
      <c r="AC229" s="87"/>
      <c r="AD229" s="87"/>
      <c r="AE229" s="93" t="s">
        <v>653</v>
      </c>
      <c r="AF229" s="93" t="s">
        <v>653</v>
      </c>
      <c r="AG229" s="94"/>
      <c r="AH229" s="94"/>
      <c r="AI229" s="94"/>
    </row>
    <row r="230" spans="1:35" ht="15.75" customHeight="1" x14ac:dyDescent="0.35">
      <c r="A230" s="26" t="s">
        <v>925</v>
      </c>
      <c r="B230" s="101" t="s">
        <v>931</v>
      </c>
      <c r="C230" s="112" t="s">
        <v>649</v>
      </c>
      <c r="D230" s="106" t="s">
        <v>661</v>
      </c>
      <c r="E230" s="106" t="s">
        <v>662</v>
      </c>
      <c r="F230" s="86" t="s">
        <v>108</v>
      </c>
      <c r="G230" s="86" t="s">
        <v>901</v>
      </c>
      <c r="H230" s="86"/>
      <c r="I230" s="92" t="s">
        <v>5</v>
      </c>
      <c r="J230" s="92" t="s">
        <v>98</v>
      </c>
      <c r="K230" s="92">
        <v>21</v>
      </c>
      <c r="L230" s="92">
        <v>12</v>
      </c>
      <c r="M230" s="93">
        <v>2006</v>
      </c>
      <c r="N230" s="88">
        <f t="shared" si="4"/>
        <v>39072</v>
      </c>
      <c r="O230" s="25" t="e">
        <f>IF(L230&gt;#REF!,#REF!-M230-1,#REF!-M230)</f>
        <v>#REF!</v>
      </c>
      <c r="P230" s="25" t="e">
        <f t="shared" si="0"/>
        <v>#REF!</v>
      </c>
      <c r="Q230" s="93" t="s">
        <v>40</v>
      </c>
      <c r="R230" s="121" t="s">
        <v>30</v>
      </c>
      <c r="S230" s="93" t="s">
        <v>57</v>
      </c>
      <c r="T230" s="93" t="s">
        <v>65</v>
      </c>
      <c r="U230" s="87" t="s">
        <v>906</v>
      </c>
      <c r="V230" s="87" t="s">
        <v>907</v>
      </c>
      <c r="W230" s="87" t="s">
        <v>909</v>
      </c>
      <c r="X230" s="87" t="s">
        <v>916</v>
      </c>
      <c r="Y230" s="87"/>
      <c r="Z230" s="87"/>
      <c r="AA230" s="87"/>
      <c r="AB230" s="87"/>
      <c r="AC230" s="87"/>
      <c r="AD230" s="87"/>
      <c r="AE230" s="93" t="s">
        <v>653</v>
      </c>
      <c r="AF230" s="93" t="s">
        <v>653</v>
      </c>
      <c r="AG230" s="94"/>
      <c r="AH230" s="94"/>
      <c r="AI230" s="94"/>
    </row>
    <row r="231" spans="1:35" ht="15.75" customHeight="1" x14ac:dyDescent="0.35">
      <c r="A231" s="26" t="s">
        <v>925</v>
      </c>
      <c r="B231" s="101" t="s">
        <v>931</v>
      </c>
      <c r="C231" s="112" t="s">
        <v>663</v>
      </c>
      <c r="D231" s="106" t="s">
        <v>664</v>
      </c>
      <c r="E231" s="106" t="s">
        <v>665</v>
      </c>
      <c r="F231" s="86" t="s">
        <v>97</v>
      </c>
      <c r="G231" s="86" t="s">
        <v>901</v>
      </c>
      <c r="H231" s="86"/>
      <c r="I231" s="92" t="s">
        <v>4</v>
      </c>
      <c r="J231" s="92" t="s">
        <v>266</v>
      </c>
      <c r="K231" s="92">
        <v>31</v>
      </c>
      <c r="L231" s="92">
        <v>12</v>
      </c>
      <c r="M231" s="93">
        <v>1961</v>
      </c>
      <c r="N231" s="88">
        <f t="shared" si="4"/>
        <v>22646</v>
      </c>
      <c r="O231" s="25" t="e">
        <f>IF(L231&gt;#REF!,#REF!-M231-1,#REF!-M231)</f>
        <v>#REF!</v>
      </c>
      <c r="P231" s="25" t="e">
        <f t="shared" si="0"/>
        <v>#REF!</v>
      </c>
      <c r="Q231" s="93" t="s">
        <v>40</v>
      </c>
      <c r="R231" s="121" t="s">
        <v>31</v>
      </c>
      <c r="S231" s="93" t="s">
        <v>55</v>
      </c>
      <c r="T231" s="93" t="s">
        <v>66</v>
      </c>
      <c r="U231" s="87" t="s">
        <v>906</v>
      </c>
      <c r="V231" s="87" t="s">
        <v>907</v>
      </c>
      <c r="W231" s="87" t="s">
        <v>909</v>
      </c>
      <c r="X231" s="87" t="s">
        <v>916</v>
      </c>
      <c r="Y231" s="87"/>
      <c r="Z231" s="87"/>
      <c r="AA231" s="87"/>
      <c r="AB231" s="87"/>
      <c r="AC231" s="87"/>
      <c r="AD231" s="87"/>
      <c r="AE231" s="93" t="s">
        <v>666</v>
      </c>
      <c r="AF231" s="93" t="s">
        <v>666</v>
      </c>
      <c r="AG231" s="94"/>
      <c r="AH231" s="94"/>
      <c r="AI231" s="94"/>
    </row>
    <row r="232" spans="1:35" ht="15.75" customHeight="1" x14ac:dyDescent="0.35">
      <c r="A232" s="26" t="s">
        <v>925</v>
      </c>
      <c r="B232" s="101" t="s">
        <v>931</v>
      </c>
      <c r="C232" s="112" t="s">
        <v>663</v>
      </c>
      <c r="D232" s="106" t="s">
        <v>667</v>
      </c>
      <c r="E232" s="106" t="s">
        <v>668</v>
      </c>
      <c r="F232" s="86" t="s">
        <v>105</v>
      </c>
      <c r="G232" s="86" t="s">
        <v>901</v>
      </c>
      <c r="H232" s="86"/>
      <c r="I232" s="92" t="s">
        <v>5</v>
      </c>
      <c r="J232" s="92" t="s">
        <v>98</v>
      </c>
      <c r="K232" s="92">
        <v>20</v>
      </c>
      <c r="L232" s="92">
        <v>7</v>
      </c>
      <c r="M232" s="93">
        <v>1963</v>
      </c>
      <c r="N232" s="88">
        <f t="shared" si="4"/>
        <v>23212</v>
      </c>
      <c r="O232" s="25" t="e">
        <f>IF(L232&gt;#REF!,#REF!-M232-1,#REF!-M232)</f>
        <v>#REF!</v>
      </c>
      <c r="P232" s="25" t="e">
        <f t="shared" si="0"/>
        <v>#REF!</v>
      </c>
      <c r="Q232" s="93" t="s">
        <v>40</v>
      </c>
      <c r="R232" s="121" t="s">
        <v>31</v>
      </c>
      <c r="S232" s="93" t="s">
        <v>54</v>
      </c>
      <c r="T232" s="93" t="s">
        <v>66</v>
      </c>
      <c r="U232" s="87" t="s">
        <v>906</v>
      </c>
      <c r="V232" s="87" t="s">
        <v>907</v>
      </c>
      <c r="W232" s="87" t="s">
        <v>909</v>
      </c>
      <c r="X232" s="87" t="s">
        <v>916</v>
      </c>
      <c r="Y232" s="87"/>
      <c r="Z232" s="87"/>
      <c r="AA232" s="87"/>
      <c r="AB232" s="87"/>
      <c r="AC232" s="87"/>
      <c r="AD232" s="87"/>
      <c r="AE232" s="93" t="s">
        <v>666</v>
      </c>
      <c r="AF232" s="93" t="s">
        <v>666</v>
      </c>
      <c r="AG232" s="94"/>
      <c r="AH232" s="94"/>
      <c r="AI232" s="94"/>
    </row>
    <row r="233" spans="1:35" ht="15.75" customHeight="1" x14ac:dyDescent="0.35">
      <c r="A233" s="26" t="s">
        <v>925</v>
      </c>
      <c r="B233" s="101" t="s">
        <v>931</v>
      </c>
      <c r="C233" s="112" t="s">
        <v>669</v>
      </c>
      <c r="D233" s="106" t="s">
        <v>670</v>
      </c>
      <c r="E233" s="106" t="s">
        <v>671</v>
      </c>
      <c r="F233" s="86" t="s">
        <v>97</v>
      </c>
      <c r="G233" s="86" t="s">
        <v>901</v>
      </c>
      <c r="H233" s="86"/>
      <c r="I233" s="92" t="s">
        <v>4</v>
      </c>
      <c r="J233" s="92" t="s">
        <v>672</v>
      </c>
      <c r="K233" s="92">
        <v>19</v>
      </c>
      <c r="L233" s="92">
        <v>1</v>
      </c>
      <c r="M233" s="93">
        <v>1968</v>
      </c>
      <c r="N233" s="88">
        <f t="shared" si="4"/>
        <v>24856</v>
      </c>
      <c r="O233" s="25" t="e">
        <f>IF(L233&gt;#REF!,#REF!-M233-1,#REF!-M233)</f>
        <v>#REF!</v>
      </c>
      <c r="P233" s="25" t="e">
        <f t="shared" si="0"/>
        <v>#REF!</v>
      </c>
      <c r="Q233" s="93" t="s">
        <v>40</v>
      </c>
      <c r="R233" s="121" t="s">
        <v>34</v>
      </c>
      <c r="S233" s="93" t="s">
        <v>55</v>
      </c>
      <c r="T233" s="93" t="s">
        <v>67</v>
      </c>
      <c r="U233" s="87" t="s">
        <v>906</v>
      </c>
      <c r="V233" s="87" t="s">
        <v>907</v>
      </c>
      <c r="W233" s="87" t="s">
        <v>909</v>
      </c>
      <c r="X233" s="87" t="s">
        <v>916</v>
      </c>
      <c r="Y233" s="87"/>
      <c r="Z233" s="87"/>
      <c r="AA233" s="87"/>
      <c r="AB233" s="87"/>
      <c r="AC233" s="87"/>
      <c r="AD233" s="87"/>
      <c r="AE233" s="93" t="s">
        <v>673</v>
      </c>
      <c r="AF233" s="93" t="s">
        <v>673</v>
      </c>
      <c r="AG233" s="94"/>
      <c r="AH233" s="94"/>
      <c r="AI233" s="94"/>
    </row>
    <row r="234" spans="1:35" ht="15.75" customHeight="1" x14ac:dyDescent="0.35">
      <c r="A234" s="26" t="s">
        <v>925</v>
      </c>
      <c r="B234" s="101" t="s">
        <v>931</v>
      </c>
      <c r="C234" s="112" t="s">
        <v>669</v>
      </c>
      <c r="D234" s="106" t="s">
        <v>674</v>
      </c>
      <c r="E234" s="106" t="s">
        <v>675</v>
      </c>
      <c r="F234" s="86" t="s">
        <v>105</v>
      </c>
      <c r="G234" s="86" t="s">
        <v>901</v>
      </c>
      <c r="H234" s="86"/>
      <c r="I234" s="92" t="s">
        <v>5</v>
      </c>
      <c r="J234" s="92" t="s">
        <v>98</v>
      </c>
      <c r="K234" s="92">
        <v>7</v>
      </c>
      <c r="L234" s="92">
        <v>8</v>
      </c>
      <c r="M234" s="93">
        <v>1974</v>
      </c>
      <c r="N234" s="88">
        <f t="shared" si="4"/>
        <v>27248</v>
      </c>
      <c r="O234" s="25" t="e">
        <f>IF(L234&gt;#REF!,#REF!-M234-1,#REF!-M234)</f>
        <v>#REF!</v>
      </c>
      <c r="P234" s="25" t="e">
        <f t="shared" si="0"/>
        <v>#REF!</v>
      </c>
      <c r="Q234" s="93" t="s">
        <v>40</v>
      </c>
      <c r="R234" s="121" t="s">
        <v>35</v>
      </c>
      <c r="S234" s="93" t="s">
        <v>54</v>
      </c>
      <c r="T234" s="93" t="s">
        <v>67</v>
      </c>
      <c r="U234" s="87" t="s">
        <v>906</v>
      </c>
      <c r="V234" s="87" t="s">
        <v>907</v>
      </c>
      <c r="W234" s="87" t="s">
        <v>909</v>
      </c>
      <c r="X234" s="87" t="s">
        <v>916</v>
      </c>
      <c r="Y234" s="87"/>
      <c r="Z234" s="87"/>
      <c r="AA234" s="87"/>
      <c r="AB234" s="87"/>
      <c r="AC234" s="87"/>
      <c r="AD234" s="87"/>
      <c r="AE234" s="93" t="s">
        <v>673</v>
      </c>
      <c r="AF234" s="93" t="s">
        <v>673</v>
      </c>
      <c r="AG234" s="94"/>
      <c r="AH234" s="94"/>
      <c r="AI234" s="94"/>
    </row>
    <row r="235" spans="1:35" ht="15.75" customHeight="1" x14ac:dyDescent="0.35">
      <c r="A235" s="26" t="s">
        <v>925</v>
      </c>
      <c r="B235" s="101" t="s">
        <v>931</v>
      </c>
      <c r="C235" s="112" t="s">
        <v>669</v>
      </c>
      <c r="D235" s="106" t="s">
        <v>676</v>
      </c>
      <c r="E235" s="106" t="s">
        <v>677</v>
      </c>
      <c r="F235" s="86" t="s">
        <v>108</v>
      </c>
      <c r="G235" s="86" t="s">
        <v>901</v>
      </c>
      <c r="H235" s="86"/>
      <c r="I235" s="92" t="s">
        <v>5</v>
      </c>
      <c r="J235" s="92" t="s">
        <v>678</v>
      </c>
      <c r="K235" s="92">
        <v>2</v>
      </c>
      <c r="L235" s="92">
        <v>9</v>
      </c>
      <c r="M235" s="93">
        <v>2001</v>
      </c>
      <c r="N235" s="88">
        <f t="shared" si="4"/>
        <v>37136</v>
      </c>
      <c r="O235" s="25" t="e">
        <f>IF(L235&gt;#REF!,#REF!-M235-1,#REF!-M235)</f>
        <v>#REF!</v>
      </c>
      <c r="P235" s="25" t="e">
        <f t="shared" si="0"/>
        <v>#REF!</v>
      </c>
      <c r="Q235" s="93" t="s">
        <v>40</v>
      </c>
      <c r="R235" s="121" t="s">
        <v>31</v>
      </c>
      <c r="S235" s="93" t="s">
        <v>57</v>
      </c>
      <c r="T235" s="93" t="s">
        <v>65</v>
      </c>
      <c r="U235" s="87" t="s">
        <v>906</v>
      </c>
      <c r="V235" s="87" t="s">
        <v>907</v>
      </c>
      <c r="W235" s="87" t="s">
        <v>909</v>
      </c>
      <c r="X235" s="87" t="s">
        <v>916</v>
      </c>
      <c r="Y235" s="87"/>
      <c r="Z235" s="87"/>
      <c r="AA235" s="87"/>
      <c r="AB235" s="87"/>
      <c r="AC235" s="87"/>
      <c r="AD235" s="87"/>
      <c r="AE235" s="93" t="s">
        <v>673</v>
      </c>
      <c r="AF235" s="93" t="s">
        <v>673</v>
      </c>
      <c r="AG235" s="94"/>
      <c r="AH235" s="94"/>
      <c r="AI235" s="94"/>
    </row>
    <row r="236" spans="1:35" ht="15.75" customHeight="1" x14ac:dyDescent="0.35">
      <c r="A236" s="26" t="s">
        <v>925</v>
      </c>
      <c r="B236" s="101" t="s">
        <v>931</v>
      </c>
      <c r="C236" s="112" t="s">
        <v>679</v>
      </c>
      <c r="D236" s="106" t="s">
        <v>680</v>
      </c>
      <c r="E236" s="106" t="s">
        <v>681</v>
      </c>
      <c r="F236" s="86" t="s">
        <v>97</v>
      </c>
      <c r="G236" s="86" t="s">
        <v>901</v>
      </c>
      <c r="H236" s="86"/>
      <c r="I236" s="92" t="s">
        <v>4</v>
      </c>
      <c r="J236" s="92" t="s">
        <v>98</v>
      </c>
      <c r="K236" s="92">
        <v>2</v>
      </c>
      <c r="L236" s="92">
        <v>7</v>
      </c>
      <c r="M236" s="93">
        <v>1974</v>
      </c>
      <c r="N236" s="88">
        <f t="shared" si="4"/>
        <v>27212</v>
      </c>
      <c r="O236" s="25" t="e">
        <f>IF(L236&gt;#REF!,#REF!-M236-1,#REF!-M236)</f>
        <v>#REF!</v>
      </c>
      <c r="P236" s="25" t="e">
        <f t="shared" si="0"/>
        <v>#REF!</v>
      </c>
      <c r="Q236" s="93" t="s">
        <v>40</v>
      </c>
      <c r="R236" s="121" t="s">
        <v>35</v>
      </c>
      <c r="S236" s="93" t="s">
        <v>49</v>
      </c>
      <c r="T236" s="93" t="s">
        <v>67</v>
      </c>
      <c r="U236" s="87" t="s">
        <v>906</v>
      </c>
      <c r="V236" s="87" t="s">
        <v>907</v>
      </c>
      <c r="W236" s="87" t="s">
        <v>909</v>
      </c>
      <c r="X236" s="87" t="s">
        <v>916</v>
      </c>
      <c r="Y236" s="87"/>
      <c r="Z236" s="87"/>
      <c r="AA236" s="87"/>
      <c r="AB236" s="87"/>
      <c r="AC236" s="87"/>
      <c r="AD236" s="87"/>
      <c r="AE236" s="93" t="s">
        <v>243</v>
      </c>
      <c r="AF236" s="93" t="s">
        <v>243</v>
      </c>
      <c r="AG236" s="94"/>
      <c r="AH236" s="94"/>
      <c r="AI236" s="94"/>
    </row>
    <row r="237" spans="1:35" ht="15.75" customHeight="1" x14ac:dyDescent="0.35">
      <c r="A237" s="26" t="s">
        <v>925</v>
      </c>
      <c r="B237" s="101" t="s">
        <v>931</v>
      </c>
      <c r="C237" s="112" t="s">
        <v>679</v>
      </c>
      <c r="D237" s="106" t="s">
        <v>682</v>
      </c>
      <c r="E237" s="106" t="s">
        <v>683</v>
      </c>
      <c r="F237" s="86" t="s">
        <v>105</v>
      </c>
      <c r="G237" s="86" t="s">
        <v>901</v>
      </c>
      <c r="H237" s="86"/>
      <c r="I237" s="92" t="s">
        <v>5</v>
      </c>
      <c r="J237" s="92" t="s">
        <v>98</v>
      </c>
      <c r="K237" s="92">
        <v>7</v>
      </c>
      <c r="L237" s="92">
        <v>1</v>
      </c>
      <c r="M237" s="93">
        <v>1982</v>
      </c>
      <c r="N237" s="88">
        <f t="shared" si="4"/>
        <v>29958</v>
      </c>
      <c r="O237" s="25" t="e">
        <f>IF(L237&gt;#REF!,#REF!-M237-1,#REF!-M237)</f>
        <v>#REF!</v>
      </c>
      <c r="P237" s="25" t="e">
        <f t="shared" si="0"/>
        <v>#REF!</v>
      </c>
      <c r="Q237" s="93" t="s">
        <v>40</v>
      </c>
      <c r="R237" s="121" t="s">
        <v>31</v>
      </c>
      <c r="S237" s="93" t="s">
        <v>54</v>
      </c>
      <c r="T237" s="93" t="s">
        <v>67</v>
      </c>
      <c r="U237" s="87" t="s">
        <v>906</v>
      </c>
      <c r="V237" s="87" t="s">
        <v>907</v>
      </c>
      <c r="W237" s="87" t="s">
        <v>909</v>
      </c>
      <c r="X237" s="87" t="s">
        <v>916</v>
      </c>
      <c r="Y237" s="87"/>
      <c r="Z237" s="87"/>
      <c r="AA237" s="87"/>
      <c r="AB237" s="87"/>
      <c r="AC237" s="87"/>
      <c r="AD237" s="87"/>
      <c r="AE237" s="93" t="s">
        <v>243</v>
      </c>
      <c r="AF237" s="93" t="s">
        <v>243</v>
      </c>
      <c r="AG237" s="94"/>
      <c r="AH237" s="94"/>
      <c r="AI237" s="94"/>
    </row>
    <row r="238" spans="1:35" ht="15.75" customHeight="1" x14ac:dyDescent="0.35">
      <c r="A238" s="26" t="s">
        <v>925</v>
      </c>
      <c r="B238" s="101" t="s">
        <v>931</v>
      </c>
      <c r="C238" s="112" t="s">
        <v>679</v>
      </c>
      <c r="D238" s="106" t="s">
        <v>684</v>
      </c>
      <c r="E238" s="106" t="s">
        <v>685</v>
      </c>
      <c r="F238" s="86" t="s">
        <v>108</v>
      </c>
      <c r="G238" s="86" t="s">
        <v>901</v>
      </c>
      <c r="H238" s="86"/>
      <c r="I238" s="92" t="s">
        <v>5</v>
      </c>
      <c r="J238" s="92" t="s">
        <v>98</v>
      </c>
      <c r="K238" s="92">
        <v>7</v>
      </c>
      <c r="L238" s="92">
        <v>1</v>
      </c>
      <c r="M238" s="93">
        <v>2003</v>
      </c>
      <c r="N238" s="88">
        <f t="shared" si="4"/>
        <v>37628</v>
      </c>
      <c r="O238" s="25" t="e">
        <f>IF(L238&gt;#REF!,#REF!-M238-1,#REF!-M238)</f>
        <v>#REF!</v>
      </c>
      <c r="P238" s="25" t="e">
        <f t="shared" si="0"/>
        <v>#REF!</v>
      </c>
      <c r="Q238" s="93" t="s">
        <v>40</v>
      </c>
      <c r="R238" s="121" t="s">
        <v>30</v>
      </c>
      <c r="S238" s="93" t="s">
        <v>48</v>
      </c>
      <c r="T238" s="93" t="s">
        <v>65</v>
      </c>
      <c r="U238" s="87" t="s">
        <v>906</v>
      </c>
      <c r="V238" s="87" t="s">
        <v>907</v>
      </c>
      <c r="W238" s="87" t="s">
        <v>909</v>
      </c>
      <c r="X238" s="87" t="s">
        <v>916</v>
      </c>
      <c r="Y238" s="87"/>
      <c r="Z238" s="87"/>
      <c r="AA238" s="87"/>
      <c r="AB238" s="87"/>
      <c r="AC238" s="87"/>
      <c r="AD238" s="87"/>
      <c r="AE238" s="93" t="s">
        <v>243</v>
      </c>
      <c r="AF238" s="93" t="s">
        <v>243</v>
      </c>
      <c r="AG238" s="94"/>
      <c r="AH238" s="94"/>
      <c r="AI238" s="94"/>
    </row>
    <row r="239" spans="1:35" ht="15.75" customHeight="1" x14ac:dyDescent="0.35">
      <c r="A239" s="26" t="s">
        <v>925</v>
      </c>
      <c r="B239" s="101" t="s">
        <v>931</v>
      </c>
      <c r="C239" s="112" t="s">
        <v>679</v>
      </c>
      <c r="D239" s="106" t="s">
        <v>686</v>
      </c>
      <c r="E239" s="106" t="s">
        <v>687</v>
      </c>
      <c r="F239" s="86" t="s">
        <v>108</v>
      </c>
      <c r="G239" s="86" t="s">
        <v>901</v>
      </c>
      <c r="H239" s="86"/>
      <c r="I239" s="92" t="s">
        <v>4</v>
      </c>
      <c r="J239" s="92" t="s">
        <v>98</v>
      </c>
      <c r="K239" s="92">
        <v>25</v>
      </c>
      <c r="L239" s="92">
        <v>9</v>
      </c>
      <c r="M239" s="93">
        <v>2010</v>
      </c>
      <c r="N239" s="88">
        <f t="shared" si="4"/>
        <v>40446</v>
      </c>
      <c r="O239" s="25" t="e">
        <f>IF(L239&gt;#REF!,#REF!-M239-1,#REF!-M239)</f>
        <v>#REF!</v>
      </c>
      <c r="P239" s="25" t="e">
        <f t="shared" si="0"/>
        <v>#REF!</v>
      </c>
      <c r="Q239" s="93" t="s">
        <v>40</v>
      </c>
      <c r="R239" s="121" t="s">
        <v>28</v>
      </c>
      <c r="S239" s="93" t="s">
        <v>48</v>
      </c>
      <c r="T239" s="93" t="s">
        <v>65</v>
      </c>
      <c r="U239" s="87" t="s">
        <v>906</v>
      </c>
      <c r="V239" s="87" t="s">
        <v>907</v>
      </c>
      <c r="W239" s="87" t="s">
        <v>909</v>
      </c>
      <c r="X239" s="87" t="s">
        <v>916</v>
      </c>
      <c r="Y239" s="87"/>
      <c r="Z239" s="87"/>
      <c r="AA239" s="87"/>
      <c r="AB239" s="87"/>
      <c r="AC239" s="87"/>
      <c r="AD239" s="87"/>
      <c r="AE239" s="93" t="s">
        <v>243</v>
      </c>
      <c r="AF239" s="93" t="s">
        <v>243</v>
      </c>
      <c r="AG239" s="94"/>
      <c r="AH239" s="94"/>
      <c r="AI239" s="94"/>
    </row>
    <row r="240" spans="1:35" ht="15.75" customHeight="1" x14ac:dyDescent="0.35">
      <c r="A240" s="26" t="s">
        <v>925</v>
      </c>
      <c r="B240" s="101" t="s">
        <v>931</v>
      </c>
      <c r="C240" s="112" t="s">
        <v>679</v>
      </c>
      <c r="D240" s="106" t="s">
        <v>688</v>
      </c>
      <c r="E240" s="106" t="s">
        <v>689</v>
      </c>
      <c r="F240" s="86" t="s">
        <v>108</v>
      </c>
      <c r="G240" s="86" t="s">
        <v>901</v>
      </c>
      <c r="H240" s="86"/>
      <c r="I240" s="92" t="s">
        <v>4</v>
      </c>
      <c r="J240" s="92" t="s">
        <v>98</v>
      </c>
      <c r="K240" s="92">
        <v>16</v>
      </c>
      <c r="L240" s="92">
        <v>1</v>
      </c>
      <c r="M240" s="93">
        <v>2015</v>
      </c>
      <c r="N240" s="88">
        <f t="shared" si="4"/>
        <v>42020</v>
      </c>
      <c r="O240" s="25" t="e">
        <f>IF(L240&gt;#REF!,#REF!-M240-1,#REF!-M240)</f>
        <v>#REF!</v>
      </c>
      <c r="P240" s="25" t="e">
        <f t="shared" si="0"/>
        <v>#REF!</v>
      </c>
      <c r="Q240" s="93" t="s">
        <v>40</v>
      </c>
      <c r="R240" s="121" t="s">
        <v>28</v>
      </c>
      <c r="S240" s="93" t="s">
        <v>48</v>
      </c>
      <c r="T240" s="93" t="s">
        <v>65</v>
      </c>
      <c r="U240" s="87" t="s">
        <v>906</v>
      </c>
      <c r="V240" s="87" t="s">
        <v>907</v>
      </c>
      <c r="W240" s="87" t="s">
        <v>909</v>
      </c>
      <c r="X240" s="87" t="s">
        <v>916</v>
      </c>
      <c r="Y240" s="87"/>
      <c r="Z240" s="87"/>
      <c r="AA240" s="87"/>
      <c r="AB240" s="87"/>
      <c r="AC240" s="87"/>
      <c r="AD240" s="87"/>
      <c r="AE240" s="93" t="s">
        <v>243</v>
      </c>
      <c r="AF240" s="93" t="s">
        <v>243</v>
      </c>
      <c r="AG240" s="94"/>
      <c r="AH240" s="94"/>
      <c r="AI240" s="94"/>
    </row>
    <row r="241" spans="1:35" ht="15.75" customHeight="1" x14ac:dyDescent="0.35">
      <c r="A241" s="26" t="s">
        <v>925</v>
      </c>
      <c r="B241" s="101" t="s">
        <v>931</v>
      </c>
      <c r="C241" s="112" t="s">
        <v>679</v>
      </c>
      <c r="D241" s="106" t="s">
        <v>690</v>
      </c>
      <c r="E241" s="106" t="s">
        <v>691</v>
      </c>
      <c r="F241" s="86" t="s">
        <v>125</v>
      </c>
      <c r="G241" s="86" t="s">
        <v>901</v>
      </c>
      <c r="H241" s="86"/>
      <c r="I241" s="92" t="s">
        <v>5</v>
      </c>
      <c r="J241" s="92" t="s">
        <v>98</v>
      </c>
      <c r="K241" s="92">
        <v>20</v>
      </c>
      <c r="L241" s="92">
        <v>2</v>
      </c>
      <c r="M241" s="93">
        <v>1939</v>
      </c>
      <c r="N241" s="88">
        <f t="shared" si="4"/>
        <v>14296</v>
      </c>
      <c r="O241" s="25" t="e">
        <f>IF(L241&gt;#REF!,#REF!-M241-1,#REF!-M241)</f>
        <v>#REF!</v>
      </c>
      <c r="P241" s="25" t="e">
        <f t="shared" si="0"/>
        <v>#REF!</v>
      </c>
      <c r="Q241" s="93" t="s">
        <v>40</v>
      </c>
      <c r="R241" s="121" t="s">
        <v>31</v>
      </c>
      <c r="S241" s="93" t="s">
        <v>48</v>
      </c>
      <c r="T241" s="93" t="s">
        <v>70</v>
      </c>
      <c r="U241" s="87" t="s">
        <v>906</v>
      </c>
      <c r="V241" s="87" t="s">
        <v>907</v>
      </c>
      <c r="W241" s="87" t="s">
        <v>909</v>
      </c>
      <c r="X241" s="87" t="s">
        <v>916</v>
      </c>
      <c r="Y241" s="87"/>
      <c r="Z241" s="87"/>
      <c r="AA241" s="87"/>
      <c r="AB241" s="87"/>
      <c r="AC241" s="87"/>
      <c r="AD241" s="87"/>
      <c r="AE241" s="93" t="s">
        <v>243</v>
      </c>
      <c r="AF241" s="93" t="s">
        <v>243</v>
      </c>
      <c r="AG241" s="94"/>
      <c r="AH241" s="94"/>
      <c r="AI241" s="94"/>
    </row>
    <row r="242" spans="1:35" ht="15.75" customHeight="1" x14ac:dyDescent="0.35">
      <c r="A242" s="26" t="s">
        <v>925</v>
      </c>
      <c r="B242" s="101" t="s">
        <v>931</v>
      </c>
      <c r="C242" s="112" t="s">
        <v>679</v>
      </c>
      <c r="D242" s="106" t="s">
        <v>692</v>
      </c>
      <c r="E242" s="106" t="s">
        <v>693</v>
      </c>
      <c r="F242" s="86" t="s">
        <v>125</v>
      </c>
      <c r="G242" s="86" t="s">
        <v>901</v>
      </c>
      <c r="H242" s="86"/>
      <c r="I242" s="92" t="s">
        <v>5</v>
      </c>
      <c r="J242" s="92" t="s">
        <v>98</v>
      </c>
      <c r="K242" s="92">
        <v>8</v>
      </c>
      <c r="L242" s="92">
        <v>4</v>
      </c>
      <c r="M242" s="93">
        <v>1914</v>
      </c>
      <c r="N242" s="88">
        <f t="shared" si="4"/>
        <v>5212</v>
      </c>
      <c r="O242" s="25" t="e">
        <f>IF(L242&gt;#REF!,#REF!-M242-1,#REF!-M242)</f>
        <v>#REF!</v>
      </c>
      <c r="P242" s="25" t="e">
        <f t="shared" si="0"/>
        <v>#REF!</v>
      </c>
      <c r="Q242" s="93" t="s">
        <v>40</v>
      </c>
      <c r="R242" s="121" t="s">
        <v>31</v>
      </c>
      <c r="S242" s="93" t="s">
        <v>48</v>
      </c>
      <c r="T242" s="93" t="s">
        <v>70</v>
      </c>
      <c r="U242" s="87" t="s">
        <v>906</v>
      </c>
      <c r="V242" s="87" t="s">
        <v>907</v>
      </c>
      <c r="W242" s="87" t="s">
        <v>909</v>
      </c>
      <c r="X242" s="87" t="s">
        <v>916</v>
      </c>
      <c r="Y242" s="87"/>
      <c r="Z242" s="87"/>
      <c r="AA242" s="87"/>
      <c r="AB242" s="87"/>
      <c r="AC242" s="87"/>
      <c r="AD242" s="87"/>
      <c r="AE242" s="93" t="s">
        <v>243</v>
      </c>
      <c r="AF242" s="93" t="s">
        <v>243</v>
      </c>
      <c r="AG242" s="94"/>
      <c r="AH242" s="94"/>
      <c r="AI242" s="94"/>
    </row>
    <row r="243" spans="1:35" ht="15.75" customHeight="1" x14ac:dyDescent="0.35">
      <c r="A243" s="26" t="s">
        <v>925</v>
      </c>
      <c r="B243" s="101" t="s">
        <v>931</v>
      </c>
      <c r="C243" s="112" t="s">
        <v>694</v>
      </c>
      <c r="D243" s="106" t="s">
        <v>695</v>
      </c>
      <c r="E243" s="106" t="s">
        <v>696</v>
      </c>
      <c r="F243" s="86" t="s">
        <v>97</v>
      </c>
      <c r="G243" s="86" t="s">
        <v>901</v>
      </c>
      <c r="H243" s="86"/>
      <c r="I243" s="92" t="s">
        <v>4</v>
      </c>
      <c r="J243" s="92" t="s">
        <v>599</v>
      </c>
      <c r="K243" s="92">
        <v>28</v>
      </c>
      <c r="L243" s="92">
        <v>3</v>
      </c>
      <c r="M243" s="93">
        <v>1965</v>
      </c>
      <c r="N243" s="88">
        <f t="shared" si="4"/>
        <v>23829</v>
      </c>
      <c r="O243" s="25" t="e">
        <f>IF(L243&gt;#REF!,#REF!-M243-1,#REF!-M243)</f>
        <v>#REF!</v>
      </c>
      <c r="P243" s="25" t="e">
        <f t="shared" si="0"/>
        <v>#REF!</v>
      </c>
      <c r="Q243" s="93" t="s">
        <v>40</v>
      </c>
      <c r="R243" s="121" t="s">
        <v>32</v>
      </c>
      <c r="S243" s="93" t="s">
        <v>62</v>
      </c>
      <c r="T243" s="93" t="s">
        <v>67</v>
      </c>
      <c r="U243" s="87" t="s">
        <v>906</v>
      </c>
      <c r="V243" s="87" t="s">
        <v>907</v>
      </c>
      <c r="W243" s="87" t="s">
        <v>909</v>
      </c>
      <c r="X243" s="87" t="s">
        <v>916</v>
      </c>
      <c r="Y243" s="87"/>
      <c r="Z243" s="87"/>
      <c r="AA243" s="87"/>
      <c r="AB243" s="87"/>
      <c r="AC243" s="87"/>
      <c r="AD243" s="87"/>
      <c r="AE243" s="93" t="s">
        <v>697</v>
      </c>
      <c r="AF243" s="93" t="s">
        <v>697</v>
      </c>
      <c r="AG243" s="94"/>
      <c r="AH243" s="94"/>
      <c r="AI243" s="94"/>
    </row>
    <row r="244" spans="1:35" ht="15.75" customHeight="1" x14ac:dyDescent="0.35">
      <c r="A244" s="26" t="s">
        <v>925</v>
      </c>
      <c r="B244" s="101" t="s">
        <v>931</v>
      </c>
      <c r="C244" s="112" t="s">
        <v>694</v>
      </c>
      <c r="D244" s="106" t="s">
        <v>698</v>
      </c>
      <c r="E244" s="106" t="s">
        <v>699</v>
      </c>
      <c r="F244" s="86" t="s">
        <v>105</v>
      </c>
      <c r="G244" s="86" t="s">
        <v>901</v>
      </c>
      <c r="H244" s="86"/>
      <c r="I244" s="92" t="s">
        <v>5</v>
      </c>
      <c r="J244" s="92" t="s">
        <v>98</v>
      </c>
      <c r="K244" s="92">
        <v>17</v>
      </c>
      <c r="L244" s="92">
        <v>4</v>
      </c>
      <c r="M244" s="93">
        <v>1971</v>
      </c>
      <c r="N244" s="88">
        <f t="shared" si="4"/>
        <v>26040</v>
      </c>
      <c r="O244" s="25" t="e">
        <f>IF(L244&gt;#REF!,#REF!-M244-1,#REF!-M244)</f>
        <v>#REF!</v>
      </c>
      <c r="P244" s="25" t="e">
        <f t="shared" si="0"/>
        <v>#REF!</v>
      </c>
      <c r="Q244" s="93" t="s">
        <v>40</v>
      </c>
      <c r="R244" s="121" t="s">
        <v>33</v>
      </c>
      <c r="S244" s="93" t="s">
        <v>62</v>
      </c>
      <c r="T244" s="93" t="s">
        <v>67</v>
      </c>
      <c r="U244" s="87" t="s">
        <v>906</v>
      </c>
      <c r="V244" s="87" t="s">
        <v>907</v>
      </c>
      <c r="W244" s="87" t="s">
        <v>909</v>
      </c>
      <c r="X244" s="87" t="s">
        <v>916</v>
      </c>
      <c r="Y244" s="87"/>
      <c r="Z244" s="87"/>
      <c r="AA244" s="87"/>
      <c r="AB244" s="87"/>
      <c r="AC244" s="87"/>
      <c r="AD244" s="87"/>
      <c r="AE244" s="93" t="s">
        <v>697</v>
      </c>
      <c r="AF244" s="93" t="s">
        <v>697</v>
      </c>
      <c r="AG244" s="94"/>
      <c r="AH244" s="94"/>
      <c r="AI244" s="94"/>
    </row>
    <row r="245" spans="1:35" ht="15.75" customHeight="1" x14ac:dyDescent="0.35">
      <c r="A245" s="26" t="s">
        <v>925</v>
      </c>
      <c r="B245" s="101" t="s">
        <v>931</v>
      </c>
      <c r="C245" s="112" t="s">
        <v>694</v>
      </c>
      <c r="D245" s="106" t="s">
        <v>700</v>
      </c>
      <c r="E245" s="106" t="s">
        <v>701</v>
      </c>
      <c r="F245" s="86" t="s">
        <v>108</v>
      </c>
      <c r="G245" s="86" t="s">
        <v>901</v>
      </c>
      <c r="H245" s="86"/>
      <c r="I245" s="92" t="s">
        <v>5</v>
      </c>
      <c r="J245" s="92" t="s">
        <v>98</v>
      </c>
      <c r="K245" s="92">
        <v>21</v>
      </c>
      <c r="L245" s="92">
        <v>7</v>
      </c>
      <c r="M245" s="93">
        <v>1999</v>
      </c>
      <c r="N245" s="88">
        <f t="shared" si="4"/>
        <v>36362</v>
      </c>
      <c r="O245" s="25" t="e">
        <f>IF(L245&gt;#REF!,#REF!-M245-1,#REF!-M245)</f>
        <v>#REF!</v>
      </c>
      <c r="P245" s="25" t="e">
        <f t="shared" si="0"/>
        <v>#REF!</v>
      </c>
      <c r="Q245" s="93" t="s">
        <v>40</v>
      </c>
      <c r="R245" s="121" t="s">
        <v>33</v>
      </c>
      <c r="S245" s="93" t="s">
        <v>57</v>
      </c>
      <c r="T245" s="93" t="s">
        <v>65</v>
      </c>
      <c r="U245" s="87" t="s">
        <v>906</v>
      </c>
      <c r="V245" s="87" t="s">
        <v>907</v>
      </c>
      <c r="W245" s="87" t="s">
        <v>909</v>
      </c>
      <c r="X245" s="87" t="s">
        <v>916</v>
      </c>
      <c r="Y245" s="87"/>
      <c r="Z245" s="87"/>
      <c r="AA245" s="87"/>
      <c r="AB245" s="87"/>
      <c r="AC245" s="87"/>
      <c r="AD245" s="87"/>
      <c r="AE245" s="93" t="s">
        <v>697</v>
      </c>
      <c r="AF245" s="93" t="s">
        <v>697</v>
      </c>
      <c r="AG245" s="94"/>
      <c r="AH245" s="94"/>
      <c r="AI245" s="94"/>
    </row>
    <row r="246" spans="1:35" ht="15.75" customHeight="1" x14ac:dyDescent="0.35">
      <c r="A246" s="26" t="s">
        <v>925</v>
      </c>
      <c r="B246" s="101" t="s">
        <v>931</v>
      </c>
      <c r="C246" s="112" t="s">
        <v>694</v>
      </c>
      <c r="D246" s="106" t="s">
        <v>702</v>
      </c>
      <c r="E246" s="106" t="s">
        <v>703</v>
      </c>
      <c r="F246" s="86" t="s">
        <v>108</v>
      </c>
      <c r="G246" s="86" t="s">
        <v>901</v>
      </c>
      <c r="H246" s="86"/>
      <c r="I246" s="92" t="s">
        <v>4</v>
      </c>
      <c r="J246" s="92" t="s">
        <v>98</v>
      </c>
      <c r="K246" s="92">
        <v>18</v>
      </c>
      <c r="L246" s="92">
        <v>3</v>
      </c>
      <c r="M246" s="93">
        <v>2007</v>
      </c>
      <c r="N246" s="88">
        <f t="shared" si="4"/>
        <v>39159</v>
      </c>
      <c r="O246" s="25" t="e">
        <f>IF(L246&gt;#REF!,#REF!-M246-1,#REF!-M246)</f>
        <v>#REF!</v>
      </c>
      <c r="P246" s="25" t="e">
        <f t="shared" si="0"/>
        <v>#REF!</v>
      </c>
      <c r="Q246" s="93" t="s">
        <v>40</v>
      </c>
      <c r="R246" s="121" t="s">
        <v>28</v>
      </c>
      <c r="S246" s="93" t="s">
        <v>48</v>
      </c>
      <c r="T246" s="93" t="s">
        <v>65</v>
      </c>
      <c r="U246" s="87" t="s">
        <v>906</v>
      </c>
      <c r="V246" s="87" t="s">
        <v>907</v>
      </c>
      <c r="W246" s="87" t="s">
        <v>909</v>
      </c>
      <c r="X246" s="87" t="s">
        <v>916</v>
      </c>
      <c r="Y246" s="87"/>
      <c r="Z246" s="87"/>
      <c r="AA246" s="87"/>
      <c r="AB246" s="87"/>
      <c r="AC246" s="87"/>
      <c r="AD246" s="87"/>
      <c r="AE246" s="93" t="s">
        <v>697</v>
      </c>
      <c r="AF246" s="93" t="s">
        <v>697</v>
      </c>
      <c r="AG246" s="94"/>
      <c r="AH246" s="94"/>
      <c r="AI246" s="94"/>
    </row>
    <row r="247" spans="1:35" ht="15.75" customHeight="1" x14ac:dyDescent="0.35">
      <c r="A247" s="26" t="s">
        <v>925</v>
      </c>
      <c r="B247" s="101" t="s">
        <v>931</v>
      </c>
      <c r="C247" s="112" t="s">
        <v>704</v>
      </c>
      <c r="D247" s="106" t="s">
        <v>705</v>
      </c>
      <c r="E247" s="106" t="s">
        <v>706</v>
      </c>
      <c r="F247" s="86" t="s">
        <v>97</v>
      </c>
      <c r="G247" s="86" t="s">
        <v>901</v>
      </c>
      <c r="H247" s="86"/>
      <c r="I247" s="92" t="s">
        <v>4</v>
      </c>
      <c r="J247" s="92" t="s">
        <v>98</v>
      </c>
      <c r="K247" s="92">
        <v>19</v>
      </c>
      <c r="L247" s="92">
        <v>11</v>
      </c>
      <c r="M247" s="93">
        <v>1985</v>
      </c>
      <c r="N247" s="88">
        <f t="shared" si="4"/>
        <v>31370</v>
      </c>
      <c r="O247" s="25" t="e">
        <f>IF(L247&gt;#REF!,#REF!-M247-1,#REF!-M247)</f>
        <v>#REF!</v>
      </c>
      <c r="P247" s="25" t="e">
        <f t="shared" si="0"/>
        <v>#REF!</v>
      </c>
      <c r="Q247" s="93" t="s">
        <v>40</v>
      </c>
      <c r="R247" s="121" t="s">
        <v>35</v>
      </c>
      <c r="S247" s="93" t="s">
        <v>62</v>
      </c>
      <c r="T247" s="93" t="s">
        <v>66</v>
      </c>
      <c r="U247" s="87" t="s">
        <v>906</v>
      </c>
      <c r="V247" s="87" t="s">
        <v>907</v>
      </c>
      <c r="W247" s="87" t="s">
        <v>909</v>
      </c>
      <c r="X247" s="87" t="s">
        <v>916</v>
      </c>
      <c r="Y247" s="87"/>
      <c r="Z247" s="87"/>
      <c r="AA247" s="87"/>
      <c r="AB247" s="87"/>
      <c r="AC247" s="87"/>
      <c r="AD247" s="87"/>
      <c r="AE247" s="93" t="s">
        <v>243</v>
      </c>
      <c r="AF247" s="93" t="s">
        <v>243</v>
      </c>
      <c r="AG247" s="94"/>
      <c r="AH247" s="94"/>
      <c r="AI247" s="94"/>
    </row>
    <row r="248" spans="1:35" ht="15.75" customHeight="1" x14ac:dyDescent="0.35">
      <c r="A248" s="26" t="s">
        <v>925</v>
      </c>
      <c r="B248" s="101" t="s">
        <v>931</v>
      </c>
      <c r="C248" s="112" t="s">
        <v>704</v>
      </c>
      <c r="D248" s="106" t="s">
        <v>707</v>
      </c>
      <c r="E248" s="106" t="s">
        <v>708</v>
      </c>
      <c r="F248" s="86" t="s">
        <v>105</v>
      </c>
      <c r="G248" s="86" t="s">
        <v>901</v>
      </c>
      <c r="H248" s="86"/>
      <c r="I248" s="92" t="s">
        <v>5</v>
      </c>
      <c r="J248" s="92" t="s">
        <v>98</v>
      </c>
      <c r="K248" s="92">
        <v>12</v>
      </c>
      <c r="L248" s="92">
        <v>10</v>
      </c>
      <c r="M248" s="93">
        <v>1987</v>
      </c>
      <c r="N248" s="88">
        <f t="shared" si="4"/>
        <v>32062</v>
      </c>
      <c r="O248" s="25" t="e">
        <f>IF(L248&gt;#REF!,#REF!-M248-1,#REF!-M248)</f>
        <v>#REF!</v>
      </c>
      <c r="P248" s="25" t="e">
        <f t="shared" si="0"/>
        <v>#REF!</v>
      </c>
      <c r="Q248" s="93" t="s">
        <v>40</v>
      </c>
      <c r="R248" s="121" t="s">
        <v>33</v>
      </c>
      <c r="S248" s="93" t="s">
        <v>54</v>
      </c>
      <c r="T248" s="93" t="s">
        <v>66</v>
      </c>
      <c r="U248" s="87" t="s">
        <v>906</v>
      </c>
      <c r="V248" s="87" t="s">
        <v>907</v>
      </c>
      <c r="W248" s="87" t="s">
        <v>909</v>
      </c>
      <c r="X248" s="87" t="s">
        <v>916</v>
      </c>
      <c r="Y248" s="87"/>
      <c r="Z248" s="87"/>
      <c r="AA248" s="87"/>
      <c r="AB248" s="87"/>
      <c r="AC248" s="87"/>
      <c r="AD248" s="87"/>
      <c r="AE248" s="93" t="s">
        <v>243</v>
      </c>
      <c r="AF248" s="93" t="s">
        <v>243</v>
      </c>
      <c r="AG248" s="94"/>
      <c r="AH248" s="94"/>
      <c r="AI248" s="94"/>
    </row>
    <row r="249" spans="1:35" ht="15.75" customHeight="1" x14ac:dyDescent="0.35">
      <c r="A249" s="26" t="s">
        <v>925</v>
      </c>
      <c r="B249" s="101" t="s">
        <v>931</v>
      </c>
      <c r="C249" s="112" t="s">
        <v>704</v>
      </c>
      <c r="D249" s="106" t="s">
        <v>709</v>
      </c>
      <c r="E249" s="106" t="s">
        <v>710</v>
      </c>
      <c r="F249" s="86" t="s">
        <v>108</v>
      </c>
      <c r="G249" s="86" t="s">
        <v>901</v>
      </c>
      <c r="H249" s="86"/>
      <c r="I249" s="92" t="s">
        <v>5</v>
      </c>
      <c r="J249" s="92" t="s">
        <v>98</v>
      </c>
      <c r="K249" s="92">
        <v>28</v>
      </c>
      <c r="L249" s="92">
        <v>1</v>
      </c>
      <c r="M249" s="93">
        <v>2008</v>
      </c>
      <c r="N249" s="88">
        <f t="shared" si="4"/>
        <v>39475</v>
      </c>
      <c r="O249" s="25" t="e">
        <f>IF(L249&gt;#REF!,#REF!-M249-1,#REF!-M249)</f>
        <v>#REF!</v>
      </c>
      <c r="P249" s="25" t="e">
        <f t="shared" si="0"/>
        <v>#REF!</v>
      </c>
      <c r="Q249" s="93" t="s">
        <v>40</v>
      </c>
      <c r="R249" s="121" t="s">
        <v>30</v>
      </c>
      <c r="S249" s="93" t="s">
        <v>57</v>
      </c>
      <c r="T249" s="93" t="s">
        <v>65</v>
      </c>
      <c r="U249" s="87" t="s">
        <v>906</v>
      </c>
      <c r="V249" s="87" t="s">
        <v>907</v>
      </c>
      <c r="W249" s="87" t="s">
        <v>909</v>
      </c>
      <c r="X249" s="87" t="s">
        <v>916</v>
      </c>
      <c r="Y249" s="87"/>
      <c r="Z249" s="87"/>
      <c r="AA249" s="87"/>
      <c r="AB249" s="87"/>
      <c r="AC249" s="87"/>
      <c r="AD249" s="87"/>
      <c r="AE249" s="93" t="s">
        <v>243</v>
      </c>
      <c r="AF249" s="93" t="s">
        <v>243</v>
      </c>
      <c r="AG249" s="94"/>
      <c r="AH249" s="94"/>
      <c r="AI249" s="94"/>
    </row>
    <row r="250" spans="1:35" ht="15.75" customHeight="1" x14ac:dyDescent="0.35">
      <c r="A250" s="26" t="s">
        <v>925</v>
      </c>
      <c r="B250" s="101" t="s">
        <v>931</v>
      </c>
      <c r="C250" s="112" t="s">
        <v>704</v>
      </c>
      <c r="D250" s="106" t="s">
        <v>711</v>
      </c>
      <c r="E250" s="106" t="s">
        <v>712</v>
      </c>
      <c r="F250" s="86" t="s">
        <v>108</v>
      </c>
      <c r="G250" s="86" t="s">
        <v>901</v>
      </c>
      <c r="H250" s="86"/>
      <c r="I250" s="92" t="s">
        <v>5</v>
      </c>
      <c r="J250" s="92" t="s">
        <v>98</v>
      </c>
      <c r="K250" s="92">
        <v>25</v>
      </c>
      <c r="L250" s="92">
        <v>6</v>
      </c>
      <c r="M250" s="93">
        <v>2012</v>
      </c>
      <c r="N250" s="88">
        <f t="shared" si="4"/>
        <v>41085</v>
      </c>
      <c r="O250" s="25" t="e">
        <f>IF(L250&gt;#REF!,#REF!-M250-1,#REF!-M250)</f>
        <v>#REF!</v>
      </c>
      <c r="P250" s="25" t="e">
        <f t="shared" si="0"/>
        <v>#REF!</v>
      </c>
      <c r="Q250" s="93" t="s">
        <v>40</v>
      </c>
      <c r="R250" s="121" t="s">
        <v>28</v>
      </c>
      <c r="S250" s="93" t="s">
        <v>48</v>
      </c>
      <c r="T250" s="93" t="s">
        <v>65</v>
      </c>
      <c r="U250" s="87" t="s">
        <v>906</v>
      </c>
      <c r="V250" s="87" t="s">
        <v>907</v>
      </c>
      <c r="W250" s="87" t="s">
        <v>909</v>
      </c>
      <c r="X250" s="87" t="s">
        <v>916</v>
      </c>
      <c r="Y250" s="87"/>
      <c r="Z250" s="87"/>
      <c r="AA250" s="87"/>
      <c r="AB250" s="87"/>
      <c r="AC250" s="87"/>
      <c r="AD250" s="87"/>
      <c r="AE250" s="93" t="s">
        <v>243</v>
      </c>
      <c r="AF250" s="93" t="s">
        <v>243</v>
      </c>
      <c r="AG250" s="94"/>
      <c r="AH250" s="94"/>
      <c r="AI250" s="94"/>
    </row>
    <row r="251" spans="1:35" ht="15.75" customHeight="1" x14ac:dyDescent="0.35">
      <c r="A251" s="26" t="s">
        <v>925</v>
      </c>
      <c r="B251" s="101" t="s">
        <v>931</v>
      </c>
      <c r="C251" s="112" t="s">
        <v>704</v>
      </c>
      <c r="D251" s="106" t="s">
        <v>713</v>
      </c>
      <c r="E251" s="106" t="s">
        <v>714</v>
      </c>
      <c r="F251" s="86" t="s">
        <v>108</v>
      </c>
      <c r="G251" s="86" t="s">
        <v>901</v>
      </c>
      <c r="H251" s="86"/>
      <c r="I251" s="92" t="s">
        <v>5</v>
      </c>
      <c r="J251" s="92" t="s">
        <v>98</v>
      </c>
      <c r="K251" s="92">
        <v>20</v>
      </c>
      <c r="L251" s="92">
        <v>11</v>
      </c>
      <c r="M251" s="93">
        <v>2013</v>
      </c>
      <c r="N251" s="88">
        <f t="shared" si="4"/>
        <v>41598</v>
      </c>
      <c r="O251" s="25" t="e">
        <f>IF(L251&gt;#REF!,#REF!-M251-1,#REF!-M251)</f>
        <v>#REF!</v>
      </c>
      <c r="P251" s="25" t="e">
        <f t="shared" si="0"/>
        <v>#REF!</v>
      </c>
      <c r="Q251" s="93" t="s">
        <v>40</v>
      </c>
      <c r="R251" s="121" t="s">
        <v>28</v>
      </c>
      <c r="S251" s="93" t="s">
        <v>48</v>
      </c>
      <c r="T251" s="93" t="s">
        <v>65</v>
      </c>
      <c r="U251" s="87" t="s">
        <v>906</v>
      </c>
      <c r="V251" s="87" t="s">
        <v>907</v>
      </c>
      <c r="W251" s="87" t="s">
        <v>909</v>
      </c>
      <c r="X251" s="87" t="s">
        <v>916</v>
      </c>
      <c r="Y251" s="87"/>
      <c r="Z251" s="87"/>
      <c r="AA251" s="87"/>
      <c r="AB251" s="87"/>
      <c r="AC251" s="87"/>
      <c r="AD251" s="87"/>
      <c r="AE251" s="93" t="s">
        <v>243</v>
      </c>
      <c r="AF251" s="93" t="s">
        <v>243</v>
      </c>
      <c r="AG251" s="94"/>
      <c r="AH251" s="94"/>
      <c r="AI251" s="94"/>
    </row>
    <row r="252" spans="1:35" ht="15.75" customHeight="1" x14ac:dyDescent="0.35">
      <c r="A252" s="26" t="s">
        <v>925</v>
      </c>
      <c r="B252" s="101" t="s">
        <v>931</v>
      </c>
      <c r="C252" s="112" t="s">
        <v>704</v>
      </c>
      <c r="D252" s="106" t="s">
        <v>715</v>
      </c>
      <c r="E252" s="106" t="s">
        <v>716</v>
      </c>
      <c r="F252" s="86" t="s">
        <v>108</v>
      </c>
      <c r="G252" s="86" t="s">
        <v>901</v>
      </c>
      <c r="H252" s="86"/>
      <c r="I252" s="92" t="s">
        <v>4</v>
      </c>
      <c r="J252" s="92" t="s">
        <v>98</v>
      </c>
      <c r="K252" s="92">
        <v>7</v>
      </c>
      <c r="L252" s="92">
        <v>3</v>
      </c>
      <c r="M252" s="93">
        <v>2019</v>
      </c>
      <c r="N252" s="88">
        <f t="shared" si="4"/>
        <v>43531</v>
      </c>
      <c r="O252" s="25" t="e">
        <f>IF(L252&gt;#REF!,#REF!-M252-1,#REF!-M252)</f>
        <v>#REF!</v>
      </c>
      <c r="P252" s="25" t="e">
        <f t="shared" si="0"/>
        <v>#REF!</v>
      </c>
      <c r="Q252" s="93" t="s">
        <v>40</v>
      </c>
      <c r="R252" s="121" t="s">
        <v>28</v>
      </c>
      <c r="S252" s="93" t="s">
        <v>48</v>
      </c>
      <c r="T252" s="93" t="s">
        <v>65</v>
      </c>
      <c r="U252" s="87" t="s">
        <v>906</v>
      </c>
      <c r="V252" s="87" t="s">
        <v>907</v>
      </c>
      <c r="W252" s="87" t="s">
        <v>909</v>
      </c>
      <c r="X252" s="87" t="s">
        <v>916</v>
      </c>
      <c r="Y252" s="87"/>
      <c r="Z252" s="87"/>
      <c r="AA252" s="87"/>
      <c r="AB252" s="87"/>
      <c r="AC252" s="87"/>
      <c r="AD252" s="87"/>
      <c r="AE252" s="93" t="s">
        <v>243</v>
      </c>
      <c r="AF252" s="93" t="s">
        <v>243</v>
      </c>
      <c r="AG252" s="94"/>
      <c r="AH252" s="94"/>
      <c r="AI252" s="94"/>
    </row>
    <row r="253" spans="1:35" ht="15.75" customHeight="1" x14ac:dyDescent="0.35">
      <c r="A253" s="26" t="s">
        <v>925</v>
      </c>
      <c r="B253" s="101" t="s">
        <v>931</v>
      </c>
      <c r="C253" s="112" t="s">
        <v>717</v>
      </c>
      <c r="D253" s="106" t="s">
        <v>718</v>
      </c>
      <c r="E253" s="106" t="s">
        <v>719</v>
      </c>
      <c r="F253" s="86" t="s">
        <v>97</v>
      </c>
      <c r="G253" s="86" t="s">
        <v>901</v>
      </c>
      <c r="H253" s="86"/>
      <c r="I253" s="92" t="s">
        <v>4</v>
      </c>
      <c r="J253" s="92" t="s">
        <v>98</v>
      </c>
      <c r="K253" s="92">
        <v>26</v>
      </c>
      <c r="L253" s="92">
        <v>12</v>
      </c>
      <c r="M253" s="93">
        <v>1979</v>
      </c>
      <c r="N253" s="88">
        <f t="shared" si="4"/>
        <v>29215</v>
      </c>
      <c r="O253" s="25" t="e">
        <f>IF(L253&gt;#REF!,#REF!-M253-1,#REF!-M253)</f>
        <v>#REF!</v>
      </c>
      <c r="P253" s="25" t="e">
        <f t="shared" si="0"/>
        <v>#REF!</v>
      </c>
      <c r="Q253" s="93" t="s">
        <v>40</v>
      </c>
      <c r="R253" s="121" t="s">
        <v>35</v>
      </c>
      <c r="S253" s="93" t="s">
        <v>49</v>
      </c>
      <c r="T253" s="93" t="s">
        <v>66</v>
      </c>
      <c r="U253" s="87" t="s">
        <v>906</v>
      </c>
      <c r="V253" s="87" t="s">
        <v>907</v>
      </c>
      <c r="W253" s="87" t="s">
        <v>909</v>
      </c>
      <c r="X253" s="87" t="s">
        <v>916</v>
      </c>
      <c r="Y253" s="87"/>
      <c r="Z253" s="87"/>
      <c r="AA253" s="87"/>
      <c r="AB253" s="87"/>
      <c r="AC253" s="87"/>
      <c r="AD253" s="87"/>
      <c r="AE253" s="93" t="s">
        <v>243</v>
      </c>
      <c r="AF253" s="93" t="s">
        <v>243</v>
      </c>
      <c r="AG253" s="94"/>
      <c r="AH253" s="94"/>
      <c r="AI253" s="94"/>
    </row>
    <row r="254" spans="1:35" ht="15.75" customHeight="1" x14ac:dyDescent="0.35">
      <c r="A254" s="26" t="s">
        <v>925</v>
      </c>
      <c r="B254" s="101" t="s">
        <v>931</v>
      </c>
      <c r="C254" s="112" t="s">
        <v>717</v>
      </c>
      <c r="D254" s="106" t="s">
        <v>720</v>
      </c>
      <c r="E254" s="106" t="s">
        <v>721</v>
      </c>
      <c r="F254" s="86" t="s">
        <v>105</v>
      </c>
      <c r="G254" s="86" t="s">
        <v>901</v>
      </c>
      <c r="H254" s="86"/>
      <c r="I254" s="92" t="s">
        <v>5</v>
      </c>
      <c r="J254" s="92" t="s">
        <v>98</v>
      </c>
      <c r="K254" s="92">
        <v>3</v>
      </c>
      <c r="L254" s="92">
        <v>8</v>
      </c>
      <c r="M254" s="93">
        <v>1978</v>
      </c>
      <c r="N254" s="88">
        <f t="shared" si="4"/>
        <v>28705</v>
      </c>
      <c r="O254" s="25" t="e">
        <f>IF(L254&gt;#REF!,#REF!-M254-1,#REF!-M254)</f>
        <v>#REF!</v>
      </c>
      <c r="P254" s="25" t="e">
        <f t="shared" si="0"/>
        <v>#REF!</v>
      </c>
      <c r="Q254" s="93" t="s">
        <v>40</v>
      </c>
      <c r="R254" s="121" t="s">
        <v>35</v>
      </c>
      <c r="S254" s="93" t="s">
        <v>54</v>
      </c>
      <c r="T254" s="93" t="s">
        <v>66</v>
      </c>
      <c r="U254" s="87" t="s">
        <v>906</v>
      </c>
      <c r="V254" s="87" t="s">
        <v>907</v>
      </c>
      <c r="W254" s="87" t="s">
        <v>909</v>
      </c>
      <c r="X254" s="87" t="s">
        <v>916</v>
      </c>
      <c r="Y254" s="87"/>
      <c r="Z254" s="87"/>
      <c r="AA254" s="87"/>
      <c r="AB254" s="87"/>
      <c r="AC254" s="87"/>
      <c r="AD254" s="87"/>
      <c r="AE254" s="93" t="s">
        <v>243</v>
      </c>
      <c r="AF254" s="93" t="s">
        <v>243</v>
      </c>
      <c r="AG254" s="94"/>
      <c r="AH254" s="94"/>
      <c r="AI254" s="94"/>
    </row>
    <row r="255" spans="1:35" ht="15.75" customHeight="1" x14ac:dyDescent="0.35">
      <c r="A255" s="26" t="s">
        <v>925</v>
      </c>
      <c r="B255" s="101" t="s">
        <v>931</v>
      </c>
      <c r="C255" s="112" t="s">
        <v>717</v>
      </c>
      <c r="D255" s="106" t="s">
        <v>722</v>
      </c>
      <c r="E255" s="106" t="s">
        <v>723</v>
      </c>
      <c r="F255" s="86" t="s">
        <v>108</v>
      </c>
      <c r="G255" s="86" t="s">
        <v>901</v>
      </c>
      <c r="H255" s="86"/>
      <c r="I255" s="92" t="s">
        <v>4</v>
      </c>
      <c r="J255" s="92" t="s">
        <v>98</v>
      </c>
      <c r="K255" s="92">
        <v>31</v>
      </c>
      <c r="L255" s="92">
        <v>3</v>
      </c>
      <c r="M255" s="93">
        <v>2005</v>
      </c>
      <c r="N255" s="88">
        <f t="shared" si="4"/>
        <v>38442</v>
      </c>
      <c r="O255" s="25" t="e">
        <f>IF(L255&gt;#REF!,#REF!-M255-1,#REF!-M255)</f>
        <v>#REF!</v>
      </c>
      <c r="P255" s="25" t="e">
        <f t="shared" si="0"/>
        <v>#REF!</v>
      </c>
      <c r="Q255" s="93" t="s">
        <v>40</v>
      </c>
      <c r="R255" s="121" t="s">
        <v>33</v>
      </c>
      <c r="S255" s="93" t="s">
        <v>57</v>
      </c>
      <c r="T255" s="93" t="s">
        <v>65</v>
      </c>
      <c r="U255" s="87" t="s">
        <v>906</v>
      </c>
      <c r="V255" s="87" t="s">
        <v>907</v>
      </c>
      <c r="W255" s="87" t="s">
        <v>909</v>
      </c>
      <c r="X255" s="87" t="s">
        <v>916</v>
      </c>
      <c r="Y255" s="87"/>
      <c r="Z255" s="87"/>
      <c r="AA255" s="87"/>
      <c r="AB255" s="87"/>
      <c r="AC255" s="87"/>
      <c r="AD255" s="87"/>
      <c r="AE255" s="93" t="s">
        <v>243</v>
      </c>
      <c r="AF255" s="93" t="s">
        <v>243</v>
      </c>
      <c r="AG255" s="94"/>
      <c r="AH255" s="94"/>
      <c r="AI255" s="94"/>
    </row>
    <row r="256" spans="1:35" ht="15.75" customHeight="1" x14ac:dyDescent="0.35">
      <c r="A256" s="26" t="s">
        <v>925</v>
      </c>
      <c r="B256" s="101" t="s">
        <v>931</v>
      </c>
      <c r="C256" s="112" t="s">
        <v>717</v>
      </c>
      <c r="D256" s="106" t="s">
        <v>724</v>
      </c>
      <c r="E256" s="106" t="s">
        <v>725</v>
      </c>
      <c r="F256" s="86" t="s">
        <v>108</v>
      </c>
      <c r="G256" s="86" t="s">
        <v>901</v>
      </c>
      <c r="H256" s="86"/>
      <c r="I256" s="92" t="s">
        <v>5</v>
      </c>
      <c r="J256" s="92" t="s">
        <v>98</v>
      </c>
      <c r="K256" s="92">
        <v>28</v>
      </c>
      <c r="L256" s="92">
        <v>9</v>
      </c>
      <c r="M256" s="93">
        <v>2007</v>
      </c>
      <c r="N256" s="88">
        <f t="shared" si="4"/>
        <v>39353</v>
      </c>
      <c r="O256" s="25" t="e">
        <f>IF(L256&gt;#REF!,#REF!-M256-1,#REF!-M256)</f>
        <v>#REF!</v>
      </c>
      <c r="P256" s="25" t="e">
        <f t="shared" si="0"/>
        <v>#REF!</v>
      </c>
      <c r="Q256" s="93" t="s">
        <v>40</v>
      </c>
      <c r="R256" s="121" t="s">
        <v>28</v>
      </c>
      <c r="S256" s="93" t="s">
        <v>48</v>
      </c>
      <c r="T256" s="93" t="s">
        <v>65</v>
      </c>
      <c r="U256" s="87" t="s">
        <v>906</v>
      </c>
      <c r="V256" s="87" t="s">
        <v>907</v>
      </c>
      <c r="W256" s="87" t="s">
        <v>909</v>
      </c>
      <c r="X256" s="87" t="s">
        <v>916</v>
      </c>
      <c r="Y256" s="87"/>
      <c r="Z256" s="87"/>
      <c r="AA256" s="87"/>
      <c r="AB256" s="87"/>
      <c r="AC256" s="87"/>
      <c r="AD256" s="87"/>
      <c r="AE256" s="93" t="s">
        <v>243</v>
      </c>
      <c r="AF256" s="93" t="s">
        <v>243</v>
      </c>
      <c r="AG256" s="94"/>
      <c r="AH256" s="94"/>
      <c r="AI256" s="94"/>
    </row>
    <row r="257" spans="1:35" ht="15.75" customHeight="1" x14ac:dyDescent="0.35">
      <c r="A257" s="26" t="s">
        <v>925</v>
      </c>
      <c r="B257" s="101" t="s">
        <v>931</v>
      </c>
      <c r="C257" s="112" t="s">
        <v>717</v>
      </c>
      <c r="D257" s="106" t="s">
        <v>726</v>
      </c>
      <c r="E257" s="106" t="s">
        <v>727</v>
      </c>
      <c r="F257" s="86" t="s">
        <v>108</v>
      </c>
      <c r="G257" s="86" t="s">
        <v>901</v>
      </c>
      <c r="H257" s="86"/>
      <c r="I257" s="92" t="s">
        <v>5</v>
      </c>
      <c r="J257" s="92" t="s">
        <v>98</v>
      </c>
      <c r="K257" s="92">
        <v>12</v>
      </c>
      <c r="L257" s="92">
        <v>3</v>
      </c>
      <c r="M257" s="93">
        <v>2014</v>
      </c>
      <c r="N257" s="88">
        <f t="shared" si="4"/>
        <v>41710</v>
      </c>
      <c r="O257" s="25" t="e">
        <f>IF(L257&gt;#REF!,#REF!-M257-1,#REF!-M257)</f>
        <v>#REF!</v>
      </c>
      <c r="P257" s="25" t="e">
        <f t="shared" ref="P257:P296" si="5">IF(OR(O257="",ISTEXT(O257)),"",LOOKUP(O257,{0;5;10;15;20;25;30;35;40;45;50;55;60;65;70;75},{"0-4 TAHUN";"5-9 TAHUN";"10-14 TAHUN";"15-19 TAHUN";"20-24 TAHUN";"25-29 TAHUN";"30-34 TAHUN";"35-39 TAHUN";"40-44 TAHUN";"45-49 TAHUN";"50-54 TAHUN";"55-59 TAHUN";"60-64 TAHUN";"65-69 TAHUN";"70-74 TAHUN";"75+ TAHUN"}))</f>
        <v>#REF!</v>
      </c>
      <c r="Q257" s="93" t="s">
        <v>40</v>
      </c>
      <c r="R257" s="121" t="s">
        <v>28</v>
      </c>
      <c r="S257" s="93" t="s">
        <v>48</v>
      </c>
      <c r="T257" s="93" t="s">
        <v>65</v>
      </c>
      <c r="U257" s="87" t="s">
        <v>906</v>
      </c>
      <c r="V257" s="87" t="s">
        <v>907</v>
      </c>
      <c r="W257" s="87" t="s">
        <v>909</v>
      </c>
      <c r="X257" s="87" t="s">
        <v>916</v>
      </c>
      <c r="Y257" s="87"/>
      <c r="Z257" s="87"/>
      <c r="AA257" s="87"/>
      <c r="AB257" s="87"/>
      <c r="AC257" s="87"/>
      <c r="AD257" s="87"/>
      <c r="AE257" s="93" t="s">
        <v>243</v>
      </c>
      <c r="AF257" s="93" t="s">
        <v>243</v>
      </c>
      <c r="AG257" s="94"/>
      <c r="AH257" s="94"/>
      <c r="AI257" s="94"/>
    </row>
    <row r="258" spans="1:35" ht="15.75" customHeight="1" x14ac:dyDescent="0.35">
      <c r="A258" s="26" t="s">
        <v>925</v>
      </c>
      <c r="B258" s="101" t="s">
        <v>931</v>
      </c>
      <c r="C258" s="112" t="s">
        <v>717</v>
      </c>
      <c r="D258" s="106" t="s">
        <v>728</v>
      </c>
      <c r="E258" s="106" t="s">
        <v>729</v>
      </c>
      <c r="F258" s="86" t="s">
        <v>108</v>
      </c>
      <c r="G258" s="86" t="s">
        <v>901</v>
      </c>
      <c r="H258" s="86"/>
      <c r="I258" s="92" t="s">
        <v>5</v>
      </c>
      <c r="J258" s="92" t="s">
        <v>98</v>
      </c>
      <c r="K258" s="92">
        <v>8</v>
      </c>
      <c r="L258" s="92">
        <v>10</v>
      </c>
      <c r="M258" s="93">
        <v>2015</v>
      </c>
      <c r="N258" s="88">
        <f t="shared" si="4"/>
        <v>42285</v>
      </c>
      <c r="O258" s="25" t="e">
        <f>IF(L258&gt;#REF!,#REF!-M258-1,#REF!-M258)</f>
        <v>#REF!</v>
      </c>
      <c r="P258" s="25" t="e">
        <f t="shared" si="5"/>
        <v>#REF!</v>
      </c>
      <c r="Q258" s="93" t="s">
        <v>40</v>
      </c>
      <c r="R258" s="121" t="s">
        <v>28</v>
      </c>
      <c r="S258" s="93" t="s">
        <v>48</v>
      </c>
      <c r="T258" s="93" t="s">
        <v>65</v>
      </c>
      <c r="U258" s="87" t="s">
        <v>906</v>
      </c>
      <c r="V258" s="87" t="s">
        <v>907</v>
      </c>
      <c r="W258" s="87" t="s">
        <v>909</v>
      </c>
      <c r="X258" s="87" t="s">
        <v>916</v>
      </c>
      <c r="Y258" s="87"/>
      <c r="Z258" s="87"/>
      <c r="AA258" s="87"/>
      <c r="AB258" s="87"/>
      <c r="AC258" s="87"/>
      <c r="AD258" s="87"/>
      <c r="AE258" s="93" t="s">
        <v>243</v>
      </c>
      <c r="AF258" s="93" t="s">
        <v>243</v>
      </c>
      <c r="AG258" s="94"/>
      <c r="AH258" s="94"/>
      <c r="AI258" s="94"/>
    </row>
    <row r="259" spans="1:35" ht="15.75" customHeight="1" x14ac:dyDescent="0.35">
      <c r="A259" s="26" t="s">
        <v>925</v>
      </c>
      <c r="B259" s="101" t="s">
        <v>931</v>
      </c>
      <c r="C259" s="112" t="s">
        <v>730</v>
      </c>
      <c r="D259" s="106" t="s">
        <v>731</v>
      </c>
      <c r="E259" s="106" t="s">
        <v>732</v>
      </c>
      <c r="F259" s="86" t="s">
        <v>97</v>
      </c>
      <c r="G259" s="86" t="s">
        <v>901</v>
      </c>
      <c r="H259" s="86"/>
      <c r="I259" s="92" t="s">
        <v>4</v>
      </c>
      <c r="J259" s="92" t="s">
        <v>98</v>
      </c>
      <c r="K259" s="92">
        <v>12</v>
      </c>
      <c r="L259" s="92">
        <v>5</v>
      </c>
      <c r="M259" s="93">
        <v>1982</v>
      </c>
      <c r="N259" s="88">
        <f t="shared" ref="N259:N296" si="6">DATE(M259,L259,K259)</f>
        <v>30083</v>
      </c>
      <c r="O259" s="25" t="e">
        <f>IF(L259&gt;#REF!,#REF!-M259-1,#REF!-M259)</f>
        <v>#REF!</v>
      </c>
      <c r="P259" s="25" t="e">
        <f t="shared" si="5"/>
        <v>#REF!</v>
      </c>
      <c r="Q259" s="93" t="s">
        <v>40</v>
      </c>
      <c r="R259" s="121" t="s">
        <v>31</v>
      </c>
      <c r="S259" s="93" t="s">
        <v>62</v>
      </c>
      <c r="T259" s="93" t="s">
        <v>67</v>
      </c>
      <c r="U259" s="87" t="s">
        <v>906</v>
      </c>
      <c r="V259" s="87" t="s">
        <v>907</v>
      </c>
      <c r="W259" s="87" t="s">
        <v>909</v>
      </c>
      <c r="X259" s="87" t="s">
        <v>916</v>
      </c>
      <c r="Y259" s="87"/>
      <c r="Z259" s="87"/>
      <c r="AA259" s="87"/>
      <c r="AB259" s="87"/>
      <c r="AC259" s="87"/>
      <c r="AD259" s="87"/>
      <c r="AE259" s="93" t="s">
        <v>243</v>
      </c>
      <c r="AF259" s="93" t="s">
        <v>243</v>
      </c>
      <c r="AG259" s="94"/>
      <c r="AH259" s="94"/>
      <c r="AI259" s="94"/>
    </row>
    <row r="260" spans="1:35" ht="15.75" customHeight="1" x14ac:dyDescent="0.35">
      <c r="A260" s="26" t="s">
        <v>925</v>
      </c>
      <c r="B260" s="101" t="s">
        <v>931</v>
      </c>
      <c r="C260" s="112" t="s">
        <v>730</v>
      </c>
      <c r="D260" s="106" t="s">
        <v>733</v>
      </c>
      <c r="E260" s="106" t="s">
        <v>734</v>
      </c>
      <c r="F260" s="86" t="s">
        <v>105</v>
      </c>
      <c r="G260" s="86" t="s">
        <v>901</v>
      </c>
      <c r="H260" s="86"/>
      <c r="I260" s="92" t="s">
        <v>5</v>
      </c>
      <c r="J260" s="92" t="s">
        <v>98</v>
      </c>
      <c r="K260" s="92">
        <v>10</v>
      </c>
      <c r="L260" s="92">
        <v>7</v>
      </c>
      <c r="M260" s="93">
        <v>1983</v>
      </c>
      <c r="N260" s="88">
        <f t="shared" si="6"/>
        <v>30507</v>
      </c>
      <c r="O260" s="25" t="e">
        <f>IF(L260&gt;#REF!,#REF!-M260-1,#REF!-M260)</f>
        <v>#REF!</v>
      </c>
      <c r="P260" s="25" t="e">
        <f t="shared" si="5"/>
        <v>#REF!</v>
      </c>
      <c r="Q260" s="93" t="s">
        <v>40</v>
      </c>
      <c r="R260" s="121" t="s">
        <v>31</v>
      </c>
      <c r="S260" s="93" t="s">
        <v>54</v>
      </c>
      <c r="T260" s="93" t="s">
        <v>67</v>
      </c>
      <c r="U260" s="87" t="s">
        <v>906</v>
      </c>
      <c r="V260" s="87" t="s">
        <v>907</v>
      </c>
      <c r="W260" s="87" t="s">
        <v>909</v>
      </c>
      <c r="X260" s="87" t="s">
        <v>916</v>
      </c>
      <c r="Y260" s="87"/>
      <c r="Z260" s="87"/>
      <c r="AA260" s="87"/>
      <c r="AB260" s="87"/>
      <c r="AC260" s="87"/>
      <c r="AD260" s="87"/>
      <c r="AE260" s="93" t="s">
        <v>243</v>
      </c>
      <c r="AF260" s="93" t="s">
        <v>243</v>
      </c>
      <c r="AG260" s="94"/>
      <c r="AH260" s="94"/>
      <c r="AI260" s="94"/>
    </row>
    <row r="261" spans="1:35" ht="15.75" customHeight="1" x14ac:dyDescent="0.35">
      <c r="A261" s="26" t="s">
        <v>925</v>
      </c>
      <c r="B261" s="101" t="s">
        <v>931</v>
      </c>
      <c r="C261" s="112" t="s">
        <v>730</v>
      </c>
      <c r="D261" s="106" t="s">
        <v>735</v>
      </c>
      <c r="E261" s="106" t="s">
        <v>736</v>
      </c>
      <c r="F261" s="86" t="s">
        <v>108</v>
      </c>
      <c r="G261" s="86" t="s">
        <v>901</v>
      </c>
      <c r="H261" s="86"/>
      <c r="I261" s="92" t="s">
        <v>4</v>
      </c>
      <c r="J261" s="92" t="s">
        <v>98</v>
      </c>
      <c r="K261" s="92">
        <v>2</v>
      </c>
      <c r="L261" s="92">
        <v>1</v>
      </c>
      <c r="M261" s="93">
        <v>2006</v>
      </c>
      <c r="N261" s="88">
        <f t="shared" si="6"/>
        <v>38719</v>
      </c>
      <c r="O261" s="25" t="e">
        <f>IF(L261&gt;#REF!,#REF!-M261-1,#REF!-M261)</f>
        <v>#REF!</v>
      </c>
      <c r="P261" s="25" t="e">
        <f t="shared" si="5"/>
        <v>#REF!</v>
      </c>
      <c r="Q261" s="93" t="s">
        <v>40</v>
      </c>
      <c r="R261" s="121" t="s">
        <v>31</v>
      </c>
      <c r="S261" s="93" t="s">
        <v>57</v>
      </c>
      <c r="T261" s="93" t="s">
        <v>65</v>
      </c>
      <c r="U261" s="87" t="s">
        <v>906</v>
      </c>
      <c r="V261" s="87" t="s">
        <v>907</v>
      </c>
      <c r="W261" s="87" t="s">
        <v>909</v>
      </c>
      <c r="X261" s="87" t="s">
        <v>916</v>
      </c>
      <c r="Y261" s="87"/>
      <c r="Z261" s="87"/>
      <c r="AA261" s="87"/>
      <c r="AB261" s="87"/>
      <c r="AC261" s="87"/>
      <c r="AD261" s="87"/>
      <c r="AE261" s="93" t="s">
        <v>243</v>
      </c>
      <c r="AF261" s="93" t="s">
        <v>243</v>
      </c>
      <c r="AG261" s="94"/>
      <c r="AH261" s="94"/>
      <c r="AI261" s="94"/>
    </row>
    <row r="262" spans="1:35" ht="15.75" customHeight="1" x14ac:dyDescent="0.35">
      <c r="A262" s="26" t="s">
        <v>925</v>
      </c>
      <c r="B262" s="101" t="s">
        <v>931</v>
      </c>
      <c r="C262" s="112" t="s">
        <v>730</v>
      </c>
      <c r="D262" s="106" t="s">
        <v>737</v>
      </c>
      <c r="E262" s="106" t="s">
        <v>738</v>
      </c>
      <c r="F262" s="86" t="s">
        <v>108</v>
      </c>
      <c r="G262" s="86" t="s">
        <v>901</v>
      </c>
      <c r="H262" s="86"/>
      <c r="I262" s="92" t="s">
        <v>5</v>
      </c>
      <c r="J262" s="92" t="s">
        <v>98</v>
      </c>
      <c r="K262" s="92">
        <v>24</v>
      </c>
      <c r="L262" s="92">
        <v>2</v>
      </c>
      <c r="M262" s="93">
        <v>2011</v>
      </c>
      <c r="N262" s="88">
        <f t="shared" si="6"/>
        <v>40598</v>
      </c>
      <c r="O262" s="25" t="e">
        <f>IF(L262&gt;#REF!,#REF!-M262-1,#REF!-M262)</f>
        <v>#REF!</v>
      </c>
      <c r="P262" s="25" t="e">
        <f t="shared" si="5"/>
        <v>#REF!</v>
      </c>
      <c r="Q262" s="93" t="s">
        <v>40</v>
      </c>
      <c r="R262" s="121" t="s">
        <v>28</v>
      </c>
      <c r="S262" s="93" t="s">
        <v>48</v>
      </c>
      <c r="T262" s="93" t="s">
        <v>65</v>
      </c>
      <c r="U262" s="87" t="s">
        <v>906</v>
      </c>
      <c r="V262" s="87" t="s">
        <v>907</v>
      </c>
      <c r="W262" s="87" t="s">
        <v>909</v>
      </c>
      <c r="X262" s="87" t="s">
        <v>916</v>
      </c>
      <c r="Y262" s="87"/>
      <c r="Z262" s="87"/>
      <c r="AA262" s="87"/>
      <c r="AB262" s="87"/>
      <c r="AC262" s="87"/>
      <c r="AD262" s="87"/>
      <c r="AE262" s="93" t="s">
        <v>243</v>
      </c>
      <c r="AF262" s="93" t="s">
        <v>243</v>
      </c>
      <c r="AG262" s="94"/>
      <c r="AH262" s="94"/>
      <c r="AI262" s="94"/>
    </row>
    <row r="263" spans="1:35" ht="15.75" customHeight="1" x14ac:dyDescent="0.35">
      <c r="A263" s="26" t="s">
        <v>925</v>
      </c>
      <c r="B263" s="101" t="s">
        <v>931</v>
      </c>
      <c r="C263" s="112" t="s">
        <v>739</v>
      </c>
      <c r="D263" s="106" t="s">
        <v>740</v>
      </c>
      <c r="E263" s="106" t="s">
        <v>741</v>
      </c>
      <c r="F263" s="86" t="s">
        <v>97</v>
      </c>
      <c r="G263" s="86" t="s">
        <v>901</v>
      </c>
      <c r="H263" s="86"/>
      <c r="I263" s="92" t="s">
        <v>4</v>
      </c>
      <c r="J263" s="92" t="s">
        <v>742</v>
      </c>
      <c r="K263" s="92">
        <v>28</v>
      </c>
      <c r="L263" s="92">
        <v>11</v>
      </c>
      <c r="M263" s="93">
        <v>1978</v>
      </c>
      <c r="N263" s="88">
        <f t="shared" si="6"/>
        <v>28822</v>
      </c>
      <c r="O263" s="25" t="e">
        <f>IF(L263&gt;#REF!,#REF!-M263-1,#REF!-M263)</f>
        <v>#REF!</v>
      </c>
      <c r="P263" s="25" t="e">
        <f t="shared" si="5"/>
        <v>#REF!</v>
      </c>
      <c r="Q263" s="93" t="s">
        <v>40</v>
      </c>
      <c r="R263" s="121" t="s">
        <v>35</v>
      </c>
      <c r="S263" s="93" t="s">
        <v>62</v>
      </c>
      <c r="T263" s="93" t="s">
        <v>67</v>
      </c>
      <c r="U263" s="87" t="s">
        <v>906</v>
      </c>
      <c r="V263" s="87" t="s">
        <v>907</v>
      </c>
      <c r="W263" s="87" t="s">
        <v>909</v>
      </c>
      <c r="X263" s="87" t="s">
        <v>916</v>
      </c>
      <c r="Y263" s="87"/>
      <c r="Z263" s="87"/>
      <c r="AA263" s="87"/>
      <c r="AB263" s="87"/>
      <c r="AC263" s="87"/>
      <c r="AD263" s="87"/>
      <c r="AE263" s="93" t="s">
        <v>743</v>
      </c>
      <c r="AF263" s="93" t="s">
        <v>743</v>
      </c>
      <c r="AG263" s="94"/>
      <c r="AH263" s="94"/>
      <c r="AI263" s="94"/>
    </row>
    <row r="264" spans="1:35" ht="15.75" customHeight="1" x14ac:dyDescent="0.35">
      <c r="A264" s="26" t="s">
        <v>925</v>
      </c>
      <c r="B264" s="101" t="s">
        <v>931</v>
      </c>
      <c r="C264" s="112" t="s">
        <v>739</v>
      </c>
      <c r="D264" s="106" t="s">
        <v>744</v>
      </c>
      <c r="E264" s="106" t="s">
        <v>745</v>
      </c>
      <c r="F264" s="86" t="s">
        <v>105</v>
      </c>
      <c r="G264" s="86" t="s">
        <v>901</v>
      </c>
      <c r="H264" s="86"/>
      <c r="I264" s="92" t="s">
        <v>5</v>
      </c>
      <c r="J264" s="92" t="s">
        <v>98</v>
      </c>
      <c r="K264" s="92">
        <v>13</v>
      </c>
      <c r="L264" s="92">
        <v>8</v>
      </c>
      <c r="M264" s="93">
        <v>1973</v>
      </c>
      <c r="N264" s="88">
        <f t="shared" si="6"/>
        <v>26889</v>
      </c>
      <c r="O264" s="25" t="e">
        <f>IF(L264&gt;#REF!,#REF!-M264-1,#REF!-M264)</f>
        <v>#REF!</v>
      </c>
      <c r="P264" s="25" t="e">
        <f t="shared" si="5"/>
        <v>#REF!</v>
      </c>
      <c r="Q264" s="93" t="s">
        <v>40</v>
      </c>
      <c r="R264" s="121" t="s">
        <v>33</v>
      </c>
      <c r="S264" s="93" t="s">
        <v>51</v>
      </c>
      <c r="T264" s="93" t="s">
        <v>67</v>
      </c>
      <c r="U264" s="87" t="s">
        <v>906</v>
      </c>
      <c r="V264" s="87" t="s">
        <v>907</v>
      </c>
      <c r="W264" s="87" t="s">
        <v>909</v>
      </c>
      <c r="X264" s="87" t="s">
        <v>916</v>
      </c>
      <c r="Y264" s="87"/>
      <c r="Z264" s="87"/>
      <c r="AA264" s="87"/>
      <c r="AB264" s="87"/>
      <c r="AC264" s="87"/>
      <c r="AD264" s="87"/>
      <c r="AE264" s="93" t="s">
        <v>743</v>
      </c>
      <c r="AF264" s="93" t="s">
        <v>743</v>
      </c>
      <c r="AG264" s="94"/>
      <c r="AH264" s="94"/>
      <c r="AI264" s="94"/>
    </row>
    <row r="265" spans="1:35" ht="15.75" customHeight="1" x14ac:dyDescent="0.35">
      <c r="A265" s="26" t="s">
        <v>925</v>
      </c>
      <c r="B265" s="101" t="s">
        <v>931</v>
      </c>
      <c r="C265" s="112" t="s">
        <v>739</v>
      </c>
      <c r="D265" s="106" t="s">
        <v>746</v>
      </c>
      <c r="E265" s="106" t="s">
        <v>747</v>
      </c>
      <c r="F265" s="86" t="s">
        <v>108</v>
      </c>
      <c r="G265" s="86" t="s">
        <v>901</v>
      </c>
      <c r="H265" s="86"/>
      <c r="I265" s="92" t="s">
        <v>5</v>
      </c>
      <c r="J265" s="92" t="s">
        <v>98</v>
      </c>
      <c r="K265" s="92">
        <v>25</v>
      </c>
      <c r="L265" s="92">
        <v>3</v>
      </c>
      <c r="M265" s="93">
        <v>1998</v>
      </c>
      <c r="N265" s="88">
        <f t="shared" si="6"/>
        <v>35879</v>
      </c>
      <c r="O265" s="25" t="e">
        <f>IF(L265&gt;#REF!,#REF!-M265-1,#REF!-M265)</f>
        <v>#REF!</v>
      </c>
      <c r="P265" s="25" t="e">
        <f t="shared" si="5"/>
        <v>#REF!</v>
      </c>
      <c r="Q265" s="93" t="s">
        <v>40</v>
      </c>
      <c r="R265" s="121" t="s">
        <v>31</v>
      </c>
      <c r="S265" s="93" t="s">
        <v>48</v>
      </c>
      <c r="T265" s="93" t="s">
        <v>65</v>
      </c>
      <c r="U265" s="87" t="s">
        <v>906</v>
      </c>
      <c r="V265" s="87" t="s">
        <v>907</v>
      </c>
      <c r="W265" s="87" t="s">
        <v>909</v>
      </c>
      <c r="X265" s="87" t="s">
        <v>916</v>
      </c>
      <c r="Y265" s="87"/>
      <c r="Z265" s="87"/>
      <c r="AA265" s="87"/>
      <c r="AB265" s="87"/>
      <c r="AC265" s="87"/>
      <c r="AD265" s="87"/>
      <c r="AE265" s="93" t="s">
        <v>743</v>
      </c>
      <c r="AF265" s="93" t="s">
        <v>743</v>
      </c>
      <c r="AG265" s="94"/>
      <c r="AH265" s="94"/>
      <c r="AI265" s="94"/>
    </row>
    <row r="266" spans="1:35" ht="15.75" customHeight="1" x14ac:dyDescent="0.35">
      <c r="A266" s="26" t="s">
        <v>925</v>
      </c>
      <c r="B266" s="101" t="s">
        <v>931</v>
      </c>
      <c r="C266" s="112" t="s">
        <v>739</v>
      </c>
      <c r="D266" s="106" t="s">
        <v>748</v>
      </c>
      <c r="E266" s="106" t="s">
        <v>749</v>
      </c>
      <c r="F266" s="86" t="s">
        <v>108</v>
      </c>
      <c r="G266" s="86" t="s">
        <v>901</v>
      </c>
      <c r="H266" s="86"/>
      <c r="I266" s="92" t="s">
        <v>4</v>
      </c>
      <c r="J266" s="92" t="s">
        <v>98</v>
      </c>
      <c r="K266" s="92">
        <v>4</v>
      </c>
      <c r="L266" s="92">
        <v>4</v>
      </c>
      <c r="M266" s="93">
        <v>2010</v>
      </c>
      <c r="N266" s="88">
        <f t="shared" si="6"/>
        <v>40272</v>
      </c>
      <c r="O266" s="25" t="e">
        <f>IF(L266&gt;#REF!,#REF!-M266-1,#REF!-M266)</f>
        <v>#REF!</v>
      </c>
      <c r="P266" s="25" t="e">
        <f t="shared" si="5"/>
        <v>#REF!</v>
      </c>
      <c r="Q266" s="93" t="s">
        <v>40</v>
      </c>
      <c r="R266" s="121" t="s">
        <v>28</v>
      </c>
      <c r="S266" s="93" t="s">
        <v>48</v>
      </c>
      <c r="T266" s="93" t="s">
        <v>65</v>
      </c>
      <c r="U266" s="87" t="s">
        <v>906</v>
      </c>
      <c r="V266" s="87" t="s">
        <v>907</v>
      </c>
      <c r="W266" s="87" t="s">
        <v>909</v>
      </c>
      <c r="X266" s="87" t="s">
        <v>916</v>
      </c>
      <c r="Y266" s="87"/>
      <c r="Z266" s="87"/>
      <c r="AA266" s="87"/>
      <c r="AB266" s="87"/>
      <c r="AC266" s="87"/>
      <c r="AD266" s="87"/>
      <c r="AE266" s="93" t="s">
        <v>743</v>
      </c>
      <c r="AF266" s="93" t="s">
        <v>743</v>
      </c>
      <c r="AG266" s="94"/>
      <c r="AH266" s="94"/>
      <c r="AI266" s="94"/>
    </row>
    <row r="267" spans="1:35" ht="15.75" customHeight="1" x14ac:dyDescent="0.35">
      <c r="A267" s="26" t="s">
        <v>925</v>
      </c>
      <c r="B267" s="101" t="s">
        <v>931</v>
      </c>
      <c r="C267" s="112" t="s">
        <v>750</v>
      </c>
      <c r="D267" s="106" t="s">
        <v>751</v>
      </c>
      <c r="E267" s="106" t="s">
        <v>752</v>
      </c>
      <c r="F267" s="86" t="s">
        <v>97</v>
      </c>
      <c r="G267" s="86" t="s">
        <v>901</v>
      </c>
      <c r="H267" s="86"/>
      <c r="I267" s="92" t="s">
        <v>5</v>
      </c>
      <c r="J267" s="92" t="s">
        <v>98</v>
      </c>
      <c r="K267" s="92">
        <v>31</v>
      </c>
      <c r="L267" s="92">
        <v>12</v>
      </c>
      <c r="M267" s="93">
        <v>1955</v>
      </c>
      <c r="N267" s="88">
        <f t="shared" si="6"/>
        <v>20454</v>
      </c>
      <c r="O267" s="25" t="e">
        <f>IF(L267&gt;#REF!,#REF!-M267-1,#REF!-M267)</f>
        <v>#REF!</v>
      </c>
      <c r="P267" s="25" t="e">
        <f t="shared" si="5"/>
        <v>#REF!</v>
      </c>
      <c r="Q267" s="93" t="s">
        <v>40</v>
      </c>
      <c r="R267" s="121" t="s">
        <v>31</v>
      </c>
      <c r="S267" s="93" t="s">
        <v>54</v>
      </c>
      <c r="T267" s="93" t="s">
        <v>70</v>
      </c>
      <c r="U267" s="87" t="s">
        <v>906</v>
      </c>
      <c r="V267" s="87" t="s">
        <v>907</v>
      </c>
      <c r="W267" s="87" t="s">
        <v>909</v>
      </c>
      <c r="X267" s="87" t="s">
        <v>916</v>
      </c>
      <c r="Y267" s="87"/>
      <c r="Z267" s="87"/>
      <c r="AA267" s="87"/>
      <c r="AB267" s="87"/>
      <c r="AC267" s="87"/>
      <c r="AD267" s="87"/>
      <c r="AE267" s="93" t="s">
        <v>753</v>
      </c>
      <c r="AF267" s="93" t="s">
        <v>753</v>
      </c>
      <c r="AG267" s="94"/>
      <c r="AH267" s="94"/>
      <c r="AI267" s="94"/>
    </row>
    <row r="268" spans="1:35" ht="15.75" customHeight="1" x14ac:dyDescent="0.35">
      <c r="A268" s="26" t="s">
        <v>925</v>
      </c>
      <c r="B268" s="101" t="s">
        <v>931</v>
      </c>
      <c r="C268" s="112" t="s">
        <v>750</v>
      </c>
      <c r="D268" s="106" t="s">
        <v>754</v>
      </c>
      <c r="E268" s="106" t="s">
        <v>755</v>
      </c>
      <c r="F268" s="86" t="s">
        <v>105</v>
      </c>
      <c r="G268" s="86" t="s">
        <v>901</v>
      </c>
      <c r="H268" s="86"/>
      <c r="I268" s="92" t="s">
        <v>4</v>
      </c>
      <c r="J268" s="92" t="s">
        <v>98</v>
      </c>
      <c r="K268" s="92">
        <v>14</v>
      </c>
      <c r="L268" s="92">
        <v>2</v>
      </c>
      <c r="M268" s="93">
        <v>1978</v>
      </c>
      <c r="N268" s="88">
        <f t="shared" si="6"/>
        <v>28535</v>
      </c>
      <c r="O268" s="25" t="e">
        <f>IF(L268&gt;#REF!,#REF!-M268-1,#REF!-M268)</f>
        <v>#REF!</v>
      </c>
      <c r="P268" s="25" t="e">
        <f t="shared" si="5"/>
        <v>#REF!</v>
      </c>
      <c r="Q268" s="93" t="s">
        <v>40</v>
      </c>
      <c r="R268" s="121" t="s">
        <v>33</v>
      </c>
      <c r="S268" s="93" t="s">
        <v>62</v>
      </c>
      <c r="T268" s="93" t="s">
        <v>65</v>
      </c>
      <c r="U268" s="87" t="s">
        <v>906</v>
      </c>
      <c r="V268" s="87" t="s">
        <v>907</v>
      </c>
      <c r="W268" s="87" t="s">
        <v>909</v>
      </c>
      <c r="X268" s="87" t="s">
        <v>916</v>
      </c>
      <c r="Y268" s="87"/>
      <c r="Z268" s="87"/>
      <c r="AA268" s="87"/>
      <c r="AB268" s="87"/>
      <c r="AC268" s="87"/>
      <c r="AD268" s="87"/>
      <c r="AE268" s="93" t="s">
        <v>753</v>
      </c>
      <c r="AF268" s="93" t="s">
        <v>753</v>
      </c>
      <c r="AG268" s="94"/>
      <c r="AH268" s="94"/>
      <c r="AI268" s="94"/>
    </row>
    <row r="269" spans="1:35" ht="15.75" customHeight="1" x14ac:dyDescent="0.35">
      <c r="A269" s="26" t="s">
        <v>925</v>
      </c>
      <c r="B269" s="101" t="s">
        <v>931</v>
      </c>
      <c r="C269" s="112" t="s">
        <v>750</v>
      </c>
      <c r="D269" s="106" t="s">
        <v>756</v>
      </c>
      <c r="E269" s="106" t="s">
        <v>757</v>
      </c>
      <c r="F269" s="86" t="s">
        <v>108</v>
      </c>
      <c r="G269" s="86" t="s">
        <v>901</v>
      </c>
      <c r="H269" s="86"/>
      <c r="I269" s="92" t="s">
        <v>4</v>
      </c>
      <c r="J269" s="92" t="s">
        <v>98</v>
      </c>
      <c r="K269" s="92">
        <v>21</v>
      </c>
      <c r="L269" s="92">
        <v>11</v>
      </c>
      <c r="M269" s="93">
        <v>1980</v>
      </c>
      <c r="N269" s="88">
        <f t="shared" si="6"/>
        <v>29546</v>
      </c>
      <c r="O269" s="25" t="e">
        <f>IF(L269&gt;#REF!,#REF!-M269-1,#REF!-M269)</f>
        <v>#REF!</v>
      </c>
      <c r="P269" s="25" t="e">
        <f t="shared" si="5"/>
        <v>#REF!</v>
      </c>
      <c r="Q269" s="93" t="s">
        <v>40</v>
      </c>
      <c r="R269" s="121" t="s">
        <v>33</v>
      </c>
      <c r="S269" s="93" t="s">
        <v>62</v>
      </c>
      <c r="T269" s="93" t="s">
        <v>65</v>
      </c>
      <c r="U269" s="87" t="s">
        <v>906</v>
      </c>
      <c r="V269" s="87" t="s">
        <v>907</v>
      </c>
      <c r="W269" s="87" t="s">
        <v>909</v>
      </c>
      <c r="X269" s="87" t="s">
        <v>916</v>
      </c>
      <c r="Y269" s="87"/>
      <c r="Z269" s="87"/>
      <c r="AA269" s="87"/>
      <c r="AB269" s="87"/>
      <c r="AC269" s="87"/>
      <c r="AD269" s="87"/>
      <c r="AE269" s="93" t="s">
        <v>753</v>
      </c>
      <c r="AF269" s="93" t="s">
        <v>753</v>
      </c>
      <c r="AG269" s="94"/>
      <c r="AH269" s="94"/>
      <c r="AI269" s="94"/>
    </row>
    <row r="270" spans="1:35" ht="15.75" customHeight="1" x14ac:dyDescent="0.35">
      <c r="A270" s="26" t="s">
        <v>925</v>
      </c>
      <c r="B270" s="101" t="s">
        <v>931</v>
      </c>
      <c r="C270" s="112" t="s">
        <v>750</v>
      </c>
      <c r="D270" s="106" t="s">
        <v>758</v>
      </c>
      <c r="E270" s="106" t="s">
        <v>759</v>
      </c>
      <c r="F270" s="86" t="s">
        <v>108</v>
      </c>
      <c r="G270" s="86" t="s">
        <v>901</v>
      </c>
      <c r="H270" s="86"/>
      <c r="I270" s="92" t="s">
        <v>4</v>
      </c>
      <c r="J270" s="92" t="s">
        <v>98</v>
      </c>
      <c r="K270" s="92">
        <v>6</v>
      </c>
      <c r="L270" s="92">
        <v>1</v>
      </c>
      <c r="M270" s="93">
        <v>1987</v>
      </c>
      <c r="N270" s="88">
        <f t="shared" si="6"/>
        <v>31783</v>
      </c>
      <c r="O270" s="25" t="e">
        <f>IF(L270&gt;#REF!,#REF!-M270-1,#REF!-M270)</f>
        <v>#REF!</v>
      </c>
      <c r="P270" s="25" t="e">
        <f t="shared" si="5"/>
        <v>#REF!</v>
      </c>
      <c r="Q270" s="93" t="s">
        <v>40</v>
      </c>
      <c r="R270" s="121" t="s">
        <v>33</v>
      </c>
      <c r="S270" s="93" t="s">
        <v>62</v>
      </c>
      <c r="T270" s="93" t="s">
        <v>65</v>
      </c>
      <c r="U270" s="87" t="s">
        <v>906</v>
      </c>
      <c r="V270" s="87" t="s">
        <v>907</v>
      </c>
      <c r="W270" s="87" t="s">
        <v>909</v>
      </c>
      <c r="X270" s="87" t="s">
        <v>916</v>
      </c>
      <c r="Y270" s="87"/>
      <c r="Z270" s="87"/>
      <c r="AA270" s="87"/>
      <c r="AB270" s="87"/>
      <c r="AC270" s="87"/>
      <c r="AD270" s="87"/>
      <c r="AE270" s="93" t="s">
        <v>753</v>
      </c>
      <c r="AF270" s="93" t="s">
        <v>753</v>
      </c>
      <c r="AG270" s="94"/>
      <c r="AH270" s="94"/>
      <c r="AI270" s="94"/>
    </row>
    <row r="271" spans="1:35" ht="15.75" customHeight="1" x14ac:dyDescent="0.35">
      <c r="A271" s="26" t="s">
        <v>925</v>
      </c>
      <c r="B271" s="101" t="s">
        <v>931</v>
      </c>
      <c r="C271" s="112" t="s">
        <v>760</v>
      </c>
      <c r="D271" s="106" t="s">
        <v>761</v>
      </c>
      <c r="E271" s="106" t="s">
        <v>762</v>
      </c>
      <c r="F271" s="86" t="s">
        <v>97</v>
      </c>
      <c r="G271" s="86" t="s">
        <v>901</v>
      </c>
      <c r="H271" s="86"/>
      <c r="I271" s="92" t="s">
        <v>4</v>
      </c>
      <c r="J271" s="92" t="s">
        <v>98</v>
      </c>
      <c r="K271" s="92">
        <v>22</v>
      </c>
      <c r="L271" s="92">
        <v>2</v>
      </c>
      <c r="M271" s="93">
        <v>1960</v>
      </c>
      <c r="N271" s="88">
        <f t="shared" si="6"/>
        <v>21968</v>
      </c>
      <c r="O271" s="25" t="e">
        <f>IF(L271&gt;#REF!,#REF!-M271-1,#REF!-M271)</f>
        <v>#REF!</v>
      </c>
      <c r="P271" s="25" t="e">
        <f t="shared" si="5"/>
        <v>#REF!</v>
      </c>
      <c r="Q271" s="93" t="s">
        <v>40</v>
      </c>
      <c r="R271" s="121" t="s">
        <v>31</v>
      </c>
      <c r="S271" s="93" t="s">
        <v>55</v>
      </c>
      <c r="T271" s="93" t="s">
        <v>66</v>
      </c>
      <c r="U271" s="87" t="s">
        <v>906</v>
      </c>
      <c r="V271" s="87" t="s">
        <v>907</v>
      </c>
      <c r="W271" s="87" t="s">
        <v>909</v>
      </c>
      <c r="X271" s="87" t="s">
        <v>916</v>
      </c>
      <c r="Y271" s="87"/>
      <c r="Z271" s="87"/>
      <c r="AA271" s="87"/>
      <c r="AB271" s="87"/>
      <c r="AC271" s="87"/>
      <c r="AD271" s="87"/>
      <c r="AE271" s="93" t="s">
        <v>763</v>
      </c>
      <c r="AF271" s="93" t="s">
        <v>763</v>
      </c>
      <c r="AG271" s="94"/>
      <c r="AH271" s="94"/>
      <c r="AI271" s="94"/>
    </row>
    <row r="272" spans="1:35" ht="15.75" customHeight="1" x14ac:dyDescent="0.35">
      <c r="A272" s="26" t="s">
        <v>925</v>
      </c>
      <c r="B272" s="101" t="s">
        <v>931</v>
      </c>
      <c r="C272" s="112" t="s">
        <v>760</v>
      </c>
      <c r="D272" s="106" t="s">
        <v>764</v>
      </c>
      <c r="E272" s="106" t="s">
        <v>765</v>
      </c>
      <c r="F272" s="86" t="s">
        <v>105</v>
      </c>
      <c r="G272" s="86" t="s">
        <v>901</v>
      </c>
      <c r="H272" s="86"/>
      <c r="I272" s="92" t="s">
        <v>5</v>
      </c>
      <c r="J272" s="92" t="s">
        <v>98</v>
      </c>
      <c r="K272" s="92">
        <v>23</v>
      </c>
      <c r="L272" s="92">
        <v>3</v>
      </c>
      <c r="M272" s="93">
        <v>1969</v>
      </c>
      <c r="N272" s="88">
        <f t="shared" si="6"/>
        <v>25285</v>
      </c>
      <c r="O272" s="25" t="e">
        <f>IF(L272&gt;#REF!,#REF!-M272-1,#REF!-M272)</f>
        <v>#REF!</v>
      </c>
      <c r="P272" s="25" t="e">
        <f t="shared" si="5"/>
        <v>#REF!</v>
      </c>
      <c r="Q272" s="93" t="s">
        <v>40</v>
      </c>
      <c r="R272" s="121" t="s">
        <v>31</v>
      </c>
      <c r="S272" s="93" t="s">
        <v>54</v>
      </c>
      <c r="T272" s="93" t="s">
        <v>66</v>
      </c>
      <c r="U272" s="87" t="s">
        <v>906</v>
      </c>
      <c r="V272" s="87" t="s">
        <v>907</v>
      </c>
      <c r="W272" s="87" t="s">
        <v>909</v>
      </c>
      <c r="X272" s="87" t="s">
        <v>916</v>
      </c>
      <c r="Y272" s="87"/>
      <c r="Z272" s="87"/>
      <c r="AA272" s="87"/>
      <c r="AB272" s="87"/>
      <c r="AC272" s="87"/>
      <c r="AD272" s="87"/>
      <c r="AE272" s="93" t="s">
        <v>763</v>
      </c>
      <c r="AF272" s="93" t="s">
        <v>763</v>
      </c>
      <c r="AG272" s="94"/>
      <c r="AH272" s="94"/>
      <c r="AI272" s="94"/>
    </row>
    <row r="273" spans="1:35" ht="15.75" customHeight="1" x14ac:dyDescent="0.35">
      <c r="A273" s="26" t="s">
        <v>925</v>
      </c>
      <c r="B273" s="101" t="s">
        <v>931</v>
      </c>
      <c r="C273" s="112" t="s">
        <v>760</v>
      </c>
      <c r="D273" s="106" t="s">
        <v>766</v>
      </c>
      <c r="E273" s="106" t="s">
        <v>767</v>
      </c>
      <c r="F273" s="86" t="s">
        <v>108</v>
      </c>
      <c r="G273" s="86" t="s">
        <v>901</v>
      </c>
      <c r="H273" s="86"/>
      <c r="I273" s="92" t="s">
        <v>4</v>
      </c>
      <c r="J273" s="92" t="s">
        <v>98</v>
      </c>
      <c r="K273" s="92">
        <v>5</v>
      </c>
      <c r="L273" s="92">
        <v>11</v>
      </c>
      <c r="M273" s="93">
        <v>1997</v>
      </c>
      <c r="N273" s="88">
        <f t="shared" si="6"/>
        <v>35739</v>
      </c>
      <c r="O273" s="25" t="e">
        <f>IF(L273&gt;#REF!,#REF!-M273-1,#REF!-M273)</f>
        <v>#REF!</v>
      </c>
      <c r="P273" s="25" t="e">
        <f t="shared" si="5"/>
        <v>#REF!</v>
      </c>
      <c r="Q273" s="93" t="s">
        <v>40</v>
      </c>
      <c r="R273" s="121" t="s">
        <v>30</v>
      </c>
      <c r="S273" s="93" t="s">
        <v>48</v>
      </c>
      <c r="T273" s="93" t="s">
        <v>65</v>
      </c>
      <c r="U273" s="87" t="s">
        <v>906</v>
      </c>
      <c r="V273" s="87" t="s">
        <v>907</v>
      </c>
      <c r="W273" s="87" t="s">
        <v>909</v>
      </c>
      <c r="X273" s="87" t="s">
        <v>916</v>
      </c>
      <c r="Y273" s="87"/>
      <c r="Z273" s="87"/>
      <c r="AA273" s="87"/>
      <c r="AB273" s="87"/>
      <c r="AC273" s="87"/>
      <c r="AD273" s="87"/>
      <c r="AE273" s="93" t="s">
        <v>763</v>
      </c>
      <c r="AF273" s="93" t="s">
        <v>763</v>
      </c>
      <c r="AG273" s="94"/>
      <c r="AH273" s="94"/>
      <c r="AI273" s="94"/>
    </row>
    <row r="274" spans="1:35" ht="15.75" customHeight="1" x14ac:dyDescent="0.35">
      <c r="A274" s="26" t="s">
        <v>925</v>
      </c>
      <c r="B274" s="101" t="s">
        <v>931</v>
      </c>
      <c r="C274" s="112" t="s">
        <v>768</v>
      </c>
      <c r="D274" s="106" t="s">
        <v>769</v>
      </c>
      <c r="E274" s="106" t="s">
        <v>770</v>
      </c>
      <c r="F274" s="86" t="s">
        <v>97</v>
      </c>
      <c r="G274" s="86" t="s">
        <v>901</v>
      </c>
      <c r="H274" s="86"/>
      <c r="I274" s="92" t="s">
        <v>4</v>
      </c>
      <c r="J274" s="92" t="s">
        <v>192</v>
      </c>
      <c r="K274" s="92">
        <v>31</v>
      </c>
      <c r="L274" s="92">
        <v>12</v>
      </c>
      <c r="M274" s="93">
        <v>1959</v>
      </c>
      <c r="N274" s="88">
        <f t="shared" si="6"/>
        <v>21915</v>
      </c>
      <c r="O274" s="25" t="e">
        <f>IF(L274&gt;#REF!,#REF!-M274-1,#REF!-M274)</f>
        <v>#REF!</v>
      </c>
      <c r="P274" s="25" t="e">
        <f t="shared" si="5"/>
        <v>#REF!</v>
      </c>
      <c r="Q274" s="93" t="s">
        <v>40</v>
      </c>
      <c r="R274" s="121" t="s">
        <v>31</v>
      </c>
      <c r="S274" s="93" t="s">
        <v>62</v>
      </c>
      <c r="T274" s="93" t="s">
        <v>71</v>
      </c>
      <c r="U274" s="87" t="s">
        <v>906</v>
      </c>
      <c r="V274" s="87" t="s">
        <v>907</v>
      </c>
      <c r="W274" s="87" t="s">
        <v>909</v>
      </c>
      <c r="X274" s="87" t="s">
        <v>916</v>
      </c>
      <c r="Y274" s="87"/>
      <c r="Z274" s="87"/>
      <c r="AA274" s="87"/>
      <c r="AB274" s="87"/>
      <c r="AC274" s="87"/>
      <c r="AD274" s="87"/>
      <c r="AE274" s="93" t="s">
        <v>243</v>
      </c>
      <c r="AF274" s="93" t="s">
        <v>243</v>
      </c>
      <c r="AG274" s="94"/>
      <c r="AH274" s="94"/>
      <c r="AI274" s="94"/>
    </row>
    <row r="275" spans="1:35" ht="15.75" customHeight="1" x14ac:dyDescent="0.35">
      <c r="A275" s="26" t="s">
        <v>925</v>
      </c>
      <c r="B275" s="101" t="s">
        <v>931</v>
      </c>
      <c r="C275" s="112" t="s">
        <v>768</v>
      </c>
      <c r="D275" s="106" t="s">
        <v>771</v>
      </c>
      <c r="E275" s="106" t="s">
        <v>772</v>
      </c>
      <c r="F275" s="86" t="s">
        <v>105</v>
      </c>
      <c r="G275" s="86" t="s">
        <v>901</v>
      </c>
      <c r="H275" s="86"/>
      <c r="I275" s="92" t="s">
        <v>5</v>
      </c>
      <c r="J275" s="92" t="s">
        <v>678</v>
      </c>
      <c r="K275" s="92">
        <v>17</v>
      </c>
      <c r="L275" s="92">
        <v>8</v>
      </c>
      <c r="M275" s="93">
        <v>1974</v>
      </c>
      <c r="N275" s="88">
        <f t="shared" si="6"/>
        <v>27258</v>
      </c>
      <c r="O275" s="25" t="e">
        <f>IF(L275&gt;#REF!,#REF!-M275-1,#REF!-M275)</f>
        <v>#REF!</v>
      </c>
      <c r="P275" s="25" t="e">
        <f t="shared" si="5"/>
        <v>#REF!</v>
      </c>
      <c r="Q275" s="93" t="s">
        <v>40</v>
      </c>
      <c r="R275" s="121" t="s">
        <v>31</v>
      </c>
      <c r="S275" s="93" t="s">
        <v>54</v>
      </c>
      <c r="T275" s="93" t="s">
        <v>71</v>
      </c>
      <c r="U275" s="87" t="s">
        <v>906</v>
      </c>
      <c r="V275" s="87" t="s">
        <v>907</v>
      </c>
      <c r="W275" s="87" t="s">
        <v>909</v>
      </c>
      <c r="X275" s="87" t="s">
        <v>916</v>
      </c>
      <c r="Y275" s="87"/>
      <c r="Z275" s="87"/>
      <c r="AA275" s="87"/>
      <c r="AB275" s="87"/>
      <c r="AC275" s="87"/>
      <c r="AD275" s="87"/>
      <c r="AE275" s="93" t="s">
        <v>243</v>
      </c>
      <c r="AF275" s="93" t="s">
        <v>243</v>
      </c>
      <c r="AG275" s="94"/>
      <c r="AH275" s="94"/>
      <c r="AI275" s="94"/>
    </row>
    <row r="276" spans="1:35" ht="15.75" customHeight="1" x14ac:dyDescent="0.35">
      <c r="A276" s="26" t="s">
        <v>925</v>
      </c>
      <c r="B276" s="101" t="s">
        <v>931</v>
      </c>
      <c r="C276" s="112" t="s">
        <v>768</v>
      </c>
      <c r="D276" s="106" t="s">
        <v>773</v>
      </c>
      <c r="E276" s="106" t="s">
        <v>774</v>
      </c>
      <c r="F276" s="86" t="s">
        <v>108</v>
      </c>
      <c r="G276" s="86" t="s">
        <v>901</v>
      </c>
      <c r="H276" s="86"/>
      <c r="I276" s="92" t="s">
        <v>5</v>
      </c>
      <c r="J276" s="92" t="s">
        <v>98</v>
      </c>
      <c r="K276" s="92">
        <v>30</v>
      </c>
      <c r="L276" s="92">
        <v>1</v>
      </c>
      <c r="M276" s="93">
        <v>2000</v>
      </c>
      <c r="N276" s="88">
        <f t="shared" si="6"/>
        <v>36555</v>
      </c>
      <c r="O276" s="25" t="e">
        <f>IF(L276&gt;#REF!,#REF!-M276-1,#REF!-M276)</f>
        <v>#REF!</v>
      </c>
      <c r="P276" s="25" t="e">
        <f t="shared" si="5"/>
        <v>#REF!</v>
      </c>
      <c r="Q276" s="93" t="s">
        <v>40</v>
      </c>
      <c r="R276" s="121" t="s">
        <v>30</v>
      </c>
      <c r="S276" s="93" t="s">
        <v>62</v>
      </c>
      <c r="T276" s="93" t="s">
        <v>65</v>
      </c>
      <c r="U276" s="87" t="s">
        <v>906</v>
      </c>
      <c r="V276" s="87" t="s">
        <v>907</v>
      </c>
      <c r="W276" s="87" t="s">
        <v>909</v>
      </c>
      <c r="X276" s="87" t="s">
        <v>916</v>
      </c>
      <c r="Y276" s="87"/>
      <c r="Z276" s="87"/>
      <c r="AA276" s="87"/>
      <c r="AB276" s="87"/>
      <c r="AC276" s="87"/>
      <c r="AD276" s="87"/>
      <c r="AE276" s="93" t="s">
        <v>243</v>
      </c>
      <c r="AF276" s="93" t="s">
        <v>243</v>
      </c>
      <c r="AG276" s="94"/>
      <c r="AH276" s="94"/>
      <c r="AI276" s="94"/>
    </row>
    <row r="277" spans="1:35" ht="15.75" customHeight="1" x14ac:dyDescent="0.35">
      <c r="A277" s="26" t="s">
        <v>925</v>
      </c>
      <c r="B277" s="101" t="s">
        <v>931</v>
      </c>
      <c r="C277" s="112" t="s">
        <v>775</v>
      </c>
      <c r="D277" s="106" t="s">
        <v>776</v>
      </c>
      <c r="E277" s="106" t="s">
        <v>777</v>
      </c>
      <c r="F277" s="86" t="s">
        <v>97</v>
      </c>
      <c r="G277" s="86" t="s">
        <v>901</v>
      </c>
      <c r="H277" s="86"/>
      <c r="I277" s="92" t="s">
        <v>4</v>
      </c>
      <c r="J277" s="92" t="s">
        <v>778</v>
      </c>
      <c r="K277" s="92">
        <v>3</v>
      </c>
      <c r="L277" s="92">
        <v>8</v>
      </c>
      <c r="M277" s="93">
        <v>1978</v>
      </c>
      <c r="N277" s="88">
        <f t="shared" si="6"/>
        <v>28705</v>
      </c>
      <c r="O277" s="25" t="e">
        <f>IF(L277&gt;#REF!,#REF!-M277-1,#REF!-M277)</f>
        <v>#REF!</v>
      </c>
      <c r="P277" s="25" t="e">
        <f t="shared" si="5"/>
        <v>#REF!</v>
      </c>
      <c r="Q277" s="93" t="s">
        <v>40</v>
      </c>
      <c r="R277" s="121" t="s">
        <v>35</v>
      </c>
      <c r="S277" s="93" t="s">
        <v>62</v>
      </c>
      <c r="T277" s="93" t="s">
        <v>66</v>
      </c>
      <c r="U277" s="87" t="s">
        <v>906</v>
      </c>
      <c r="V277" s="87" t="s">
        <v>907</v>
      </c>
      <c r="W277" s="87" t="s">
        <v>909</v>
      </c>
      <c r="X277" s="87" t="s">
        <v>916</v>
      </c>
      <c r="Y277" s="87"/>
      <c r="Z277" s="87"/>
      <c r="AA277" s="87"/>
      <c r="AB277" s="87"/>
      <c r="AC277" s="87"/>
      <c r="AD277" s="87"/>
      <c r="AE277" s="93" t="s">
        <v>779</v>
      </c>
      <c r="AF277" s="93" t="s">
        <v>779</v>
      </c>
      <c r="AG277" s="94"/>
      <c r="AH277" s="94"/>
      <c r="AI277" s="94"/>
    </row>
    <row r="278" spans="1:35" ht="15.75" customHeight="1" x14ac:dyDescent="0.35">
      <c r="A278" s="26" t="s">
        <v>925</v>
      </c>
      <c r="B278" s="101" t="s">
        <v>931</v>
      </c>
      <c r="C278" s="112" t="s">
        <v>775</v>
      </c>
      <c r="D278" s="106" t="s">
        <v>780</v>
      </c>
      <c r="E278" s="106" t="s">
        <v>781</v>
      </c>
      <c r="F278" s="86" t="s">
        <v>105</v>
      </c>
      <c r="G278" s="86" t="s">
        <v>901</v>
      </c>
      <c r="H278" s="86"/>
      <c r="I278" s="92" t="s">
        <v>5</v>
      </c>
      <c r="J278" s="92" t="s">
        <v>98</v>
      </c>
      <c r="K278" s="92">
        <v>18</v>
      </c>
      <c r="L278" s="92">
        <v>12</v>
      </c>
      <c r="M278" s="93">
        <v>1980</v>
      </c>
      <c r="N278" s="88">
        <f t="shared" si="6"/>
        <v>29573</v>
      </c>
      <c r="O278" s="25" t="e">
        <f>IF(L278&gt;#REF!,#REF!-M278-1,#REF!-M278)</f>
        <v>#REF!</v>
      </c>
      <c r="P278" s="25" t="e">
        <f t="shared" si="5"/>
        <v>#REF!</v>
      </c>
      <c r="Q278" s="93" t="s">
        <v>40</v>
      </c>
      <c r="R278" s="121" t="s">
        <v>31</v>
      </c>
      <c r="S278" s="93" t="s">
        <v>54</v>
      </c>
      <c r="T278" s="93" t="s">
        <v>66</v>
      </c>
      <c r="U278" s="87" t="s">
        <v>906</v>
      </c>
      <c r="V278" s="87" t="s">
        <v>907</v>
      </c>
      <c r="W278" s="87" t="s">
        <v>909</v>
      </c>
      <c r="X278" s="87" t="s">
        <v>916</v>
      </c>
      <c r="Y278" s="87"/>
      <c r="Z278" s="87"/>
      <c r="AA278" s="87"/>
      <c r="AB278" s="87"/>
      <c r="AC278" s="87"/>
      <c r="AD278" s="87"/>
      <c r="AE278" s="93" t="s">
        <v>779</v>
      </c>
      <c r="AF278" s="93" t="s">
        <v>779</v>
      </c>
      <c r="AG278" s="94"/>
      <c r="AH278" s="94"/>
      <c r="AI278" s="94"/>
    </row>
    <row r="279" spans="1:35" ht="15.75" customHeight="1" x14ac:dyDescent="0.35">
      <c r="A279" s="26" t="s">
        <v>925</v>
      </c>
      <c r="B279" s="101" t="s">
        <v>931</v>
      </c>
      <c r="C279" s="112" t="s">
        <v>775</v>
      </c>
      <c r="D279" s="106" t="s">
        <v>782</v>
      </c>
      <c r="E279" s="106" t="s">
        <v>783</v>
      </c>
      <c r="F279" s="86" t="s">
        <v>108</v>
      </c>
      <c r="G279" s="86" t="s">
        <v>901</v>
      </c>
      <c r="H279" s="86"/>
      <c r="I279" s="92" t="s">
        <v>5</v>
      </c>
      <c r="J279" s="92" t="s">
        <v>98</v>
      </c>
      <c r="K279" s="92">
        <v>31</v>
      </c>
      <c r="L279" s="92">
        <v>7</v>
      </c>
      <c r="M279" s="93">
        <v>2001</v>
      </c>
      <c r="N279" s="88">
        <f t="shared" si="6"/>
        <v>37103</v>
      </c>
      <c r="O279" s="25" t="e">
        <f>IF(L279&gt;#REF!,#REF!-M279-1,#REF!-M279)</f>
        <v>#REF!</v>
      </c>
      <c r="P279" s="25" t="e">
        <f t="shared" si="5"/>
        <v>#REF!</v>
      </c>
      <c r="Q279" s="93" t="s">
        <v>40</v>
      </c>
      <c r="R279" s="121" t="s">
        <v>30</v>
      </c>
      <c r="S279" s="93" t="s">
        <v>57</v>
      </c>
      <c r="T279" s="93" t="s">
        <v>65</v>
      </c>
      <c r="U279" s="87" t="s">
        <v>906</v>
      </c>
      <c r="V279" s="87" t="s">
        <v>907</v>
      </c>
      <c r="W279" s="87" t="s">
        <v>909</v>
      </c>
      <c r="X279" s="87" t="s">
        <v>916</v>
      </c>
      <c r="Y279" s="87"/>
      <c r="Z279" s="87"/>
      <c r="AA279" s="87"/>
      <c r="AB279" s="87"/>
      <c r="AC279" s="87"/>
      <c r="AD279" s="87"/>
      <c r="AE279" s="93" t="s">
        <v>779</v>
      </c>
      <c r="AF279" s="93" t="s">
        <v>779</v>
      </c>
      <c r="AG279" s="94"/>
      <c r="AH279" s="94"/>
      <c r="AI279" s="94"/>
    </row>
    <row r="280" spans="1:35" ht="15.75" customHeight="1" x14ac:dyDescent="0.35">
      <c r="A280" s="26" t="s">
        <v>925</v>
      </c>
      <c r="B280" s="101" t="s">
        <v>931</v>
      </c>
      <c r="C280" s="112" t="s">
        <v>775</v>
      </c>
      <c r="D280" s="106" t="s">
        <v>784</v>
      </c>
      <c r="E280" s="106" t="s">
        <v>785</v>
      </c>
      <c r="F280" s="86" t="s">
        <v>108</v>
      </c>
      <c r="G280" s="86" t="s">
        <v>901</v>
      </c>
      <c r="H280" s="86"/>
      <c r="I280" s="92" t="s">
        <v>4</v>
      </c>
      <c r="J280" s="92" t="s">
        <v>98</v>
      </c>
      <c r="K280" s="92">
        <v>23</v>
      </c>
      <c r="L280" s="92">
        <v>6</v>
      </c>
      <c r="M280" s="93">
        <v>2009</v>
      </c>
      <c r="N280" s="88">
        <f t="shared" si="6"/>
        <v>39987</v>
      </c>
      <c r="O280" s="25" t="e">
        <f>IF(L280&gt;#REF!,#REF!-M280-1,#REF!-M280)</f>
        <v>#REF!</v>
      </c>
      <c r="P280" s="25" t="e">
        <f t="shared" si="5"/>
        <v>#REF!</v>
      </c>
      <c r="Q280" s="93" t="s">
        <v>40</v>
      </c>
      <c r="R280" s="121" t="s">
        <v>28</v>
      </c>
      <c r="S280" s="93" t="s">
        <v>48</v>
      </c>
      <c r="T280" s="93" t="s">
        <v>65</v>
      </c>
      <c r="U280" s="87" t="s">
        <v>906</v>
      </c>
      <c r="V280" s="87" t="s">
        <v>907</v>
      </c>
      <c r="W280" s="87" t="s">
        <v>909</v>
      </c>
      <c r="X280" s="87" t="s">
        <v>916</v>
      </c>
      <c r="Y280" s="87"/>
      <c r="Z280" s="87"/>
      <c r="AA280" s="87"/>
      <c r="AB280" s="87"/>
      <c r="AC280" s="87"/>
      <c r="AD280" s="87"/>
      <c r="AE280" s="93" t="s">
        <v>779</v>
      </c>
      <c r="AF280" s="93" t="s">
        <v>779</v>
      </c>
      <c r="AG280" s="94"/>
      <c r="AH280" s="94"/>
      <c r="AI280" s="94"/>
    </row>
    <row r="281" spans="1:35" ht="15.75" customHeight="1" x14ac:dyDescent="0.35">
      <c r="A281" s="26" t="s">
        <v>925</v>
      </c>
      <c r="B281" s="101" t="s">
        <v>931</v>
      </c>
      <c r="C281" s="112" t="s">
        <v>775</v>
      </c>
      <c r="D281" s="106" t="s">
        <v>786</v>
      </c>
      <c r="E281" s="106" t="s">
        <v>787</v>
      </c>
      <c r="F281" s="86" t="s">
        <v>108</v>
      </c>
      <c r="G281" s="86" t="s">
        <v>901</v>
      </c>
      <c r="H281" s="86"/>
      <c r="I281" s="92" t="s">
        <v>5</v>
      </c>
      <c r="J281" s="92" t="s">
        <v>98</v>
      </c>
      <c r="K281" s="92">
        <v>20</v>
      </c>
      <c r="L281" s="92">
        <v>6</v>
      </c>
      <c r="M281" s="93">
        <v>1958</v>
      </c>
      <c r="N281" s="88">
        <f t="shared" si="6"/>
        <v>21356</v>
      </c>
      <c r="O281" s="25" t="e">
        <f>IF(L281&gt;#REF!,#REF!-M281-1,#REF!-M281)</f>
        <v>#REF!</v>
      </c>
      <c r="P281" s="25" t="e">
        <f t="shared" si="5"/>
        <v>#REF!</v>
      </c>
      <c r="Q281" s="93" t="s">
        <v>40</v>
      </c>
      <c r="R281" s="121" t="s">
        <v>31</v>
      </c>
      <c r="S281" s="93" t="s">
        <v>48</v>
      </c>
      <c r="T281" s="93" t="s">
        <v>70</v>
      </c>
      <c r="U281" s="87" t="s">
        <v>906</v>
      </c>
      <c r="V281" s="87" t="s">
        <v>907</v>
      </c>
      <c r="W281" s="87" t="s">
        <v>909</v>
      </c>
      <c r="X281" s="87" t="s">
        <v>916</v>
      </c>
      <c r="Y281" s="87"/>
      <c r="Z281" s="87"/>
      <c r="AA281" s="87"/>
      <c r="AB281" s="87"/>
      <c r="AC281" s="87"/>
      <c r="AD281" s="87"/>
      <c r="AE281" s="93" t="s">
        <v>779</v>
      </c>
      <c r="AF281" s="93" t="s">
        <v>779</v>
      </c>
      <c r="AG281" s="94"/>
      <c r="AH281" s="94"/>
      <c r="AI281" s="94"/>
    </row>
    <row r="282" spans="1:35" ht="15.75" customHeight="1" x14ac:dyDescent="0.35">
      <c r="A282" s="26" t="s">
        <v>925</v>
      </c>
      <c r="B282" s="101" t="s">
        <v>931</v>
      </c>
      <c r="C282" s="113" t="s">
        <v>788</v>
      </c>
      <c r="D282" s="106" t="s">
        <v>789</v>
      </c>
      <c r="E282" s="106" t="s">
        <v>790</v>
      </c>
      <c r="F282" s="86" t="s">
        <v>97</v>
      </c>
      <c r="G282" s="86" t="s">
        <v>901</v>
      </c>
      <c r="H282" s="86"/>
      <c r="I282" s="92" t="s">
        <v>5</v>
      </c>
      <c r="J282" s="92" t="s">
        <v>599</v>
      </c>
      <c r="K282" s="92">
        <v>20</v>
      </c>
      <c r="L282" s="92">
        <v>6</v>
      </c>
      <c r="M282" s="93">
        <v>1966</v>
      </c>
      <c r="N282" s="88">
        <f t="shared" si="6"/>
        <v>24278</v>
      </c>
      <c r="O282" s="25" t="e">
        <f>IF(L282&gt;#REF!,#REF!-M282-1,#REF!-M282)</f>
        <v>#REF!</v>
      </c>
      <c r="P282" s="25" t="e">
        <f t="shared" si="5"/>
        <v>#REF!</v>
      </c>
      <c r="Q282" s="93" t="s">
        <v>40</v>
      </c>
      <c r="R282" s="121" t="s">
        <v>31</v>
      </c>
      <c r="S282" s="93" t="s">
        <v>54</v>
      </c>
      <c r="T282" s="93" t="s">
        <v>70</v>
      </c>
      <c r="U282" s="87" t="s">
        <v>906</v>
      </c>
      <c r="V282" s="87" t="s">
        <v>907</v>
      </c>
      <c r="W282" s="87" t="s">
        <v>909</v>
      </c>
      <c r="X282" s="87" t="s">
        <v>916</v>
      </c>
      <c r="Y282" s="87"/>
      <c r="Z282" s="87"/>
      <c r="AA282" s="87"/>
      <c r="AB282" s="87"/>
      <c r="AC282" s="87"/>
      <c r="AD282" s="87"/>
      <c r="AE282" s="93" t="s">
        <v>791</v>
      </c>
      <c r="AF282" s="93" t="s">
        <v>791</v>
      </c>
      <c r="AG282" s="94"/>
      <c r="AH282" s="94"/>
      <c r="AI282" s="94"/>
    </row>
    <row r="283" spans="1:35" ht="15.75" customHeight="1" x14ac:dyDescent="0.35">
      <c r="A283" s="26" t="s">
        <v>925</v>
      </c>
      <c r="B283" s="101" t="s">
        <v>931</v>
      </c>
      <c r="C283" s="113" t="s">
        <v>788</v>
      </c>
      <c r="D283" s="106" t="s">
        <v>792</v>
      </c>
      <c r="E283" s="106" t="s">
        <v>793</v>
      </c>
      <c r="F283" s="86" t="s">
        <v>108</v>
      </c>
      <c r="G283" s="86" t="s">
        <v>901</v>
      </c>
      <c r="H283" s="86"/>
      <c r="I283" s="92" t="s">
        <v>4</v>
      </c>
      <c r="J283" s="92" t="s">
        <v>599</v>
      </c>
      <c r="K283" s="92">
        <v>5</v>
      </c>
      <c r="L283" s="92">
        <v>5</v>
      </c>
      <c r="M283" s="93">
        <v>1989</v>
      </c>
      <c r="N283" s="88">
        <f t="shared" si="6"/>
        <v>32633</v>
      </c>
      <c r="O283" s="25" t="e">
        <f>IF(L283&gt;#REF!,#REF!-M283-1,#REF!-M283)</f>
        <v>#REF!</v>
      </c>
      <c r="P283" s="25" t="e">
        <f t="shared" si="5"/>
        <v>#REF!</v>
      </c>
      <c r="Q283" s="93" t="s">
        <v>40</v>
      </c>
      <c r="R283" s="121" t="s">
        <v>33</v>
      </c>
      <c r="S283" s="93" t="s">
        <v>57</v>
      </c>
      <c r="T283" s="93" t="s">
        <v>65</v>
      </c>
      <c r="U283" s="87" t="s">
        <v>906</v>
      </c>
      <c r="V283" s="87" t="s">
        <v>907</v>
      </c>
      <c r="W283" s="87" t="s">
        <v>909</v>
      </c>
      <c r="X283" s="87" t="s">
        <v>916</v>
      </c>
      <c r="Y283" s="87"/>
      <c r="Z283" s="87"/>
      <c r="AA283" s="87"/>
      <c r="AB283" s="87"/>
      <c r="AC283" s="87"/>
      <c r="AD283" s="87"/>
      <c r="AE283" s="93" t="s">
        <v>791</v>
      </c>
      <c r="AF283" s="93" t="s">
        <v>791</v>
      </c>
      <c r="AG283" s="94"/>
      <c r="AH283" s="94"/>
      <c r="AI283" s="94"/>
    </row>
    <row r="284" spans="1:35" ht="15.75" customHeight="1" x14ac:dyDescent="0.35">
      <c r="A284" s="26" t="s">
        <v>925</v>
      </c>
      <c r="B284" s="101" t="s">
        <v>931</v>
      </c>
      <c r="C284" s="113" t="s">
        <v>788</v>
      </c>
      <c r="D284" s="106" t="s">
        <v>794</v>
      </c>
      <c r="E284" s="106" t="s">
        <v>795</v>
      </c>
      <c r="F284" s="86" t="s">
        <v>108</v>
      </c>
      <c r="G284" s="86" t="s">
        <v>901</v>
      </c>
      <c r="H284" s="86"/>
      <c r="I284" s="92" t="s">
        <v>4</v>
      </c>
      <c r="J284" s="92" t="s">
        <v>599</v>
      </c>
      <c r="K284" s="92">
        <v>28</v>
      </c>
      <c r="L284" s="92">
        <v>9</v>
      </c>
      <c r="M284" s="93">
        <v>2005</v>
      </c>
      <c r="N284" s="88">
        <f t="shared" si="6"/>
        <v>38623</v>
      </c>
      <c r="O284" s="25" t="e">
        <f>IF(L284&gt;#REF!,#REF!-M284-1,#REF!-M284)</f>
        <v>#REF!</v>
      </c>
      <c r="P284" s="25" t="e">
        <f t="shared" si="5"/>
        <v>#REF!</v>
      </c>
      <c r="Q284" s="93" t="s">
        <v>40</v>
      </c>
      <c r="R284" s="121" t="s">
        <v>33</v>
      </c>
      <c r="S284" s="93" t="s">
        <v>48</v>
      </c>
      <c r="T284" s="93" t="s">
        <v>65</v>
      </c>
      <c r="U284" s="87" t="s">
        <v>906</v>
      </c>
      <c r="V284" s="87" t="s">
        <v>907</v>
      </c>
      <c r="W284" s="87" t="s">
        <v>909</v>
      </c>
      <c r="X284" s="87" t="s">
        <v>916</v>
      </c>
      <c r="Y284" s="87"/>
      <c r="Z284" s="87"/>
      <c r="AA284" s="87"/>
      <c r="AB284" s="87"/>
      <c r="AC284" s="87"/>
      <c r="AD284" s="87"/>
      <c r="AE284" s="93" t="s">
        <v>791</v>
      </c>
      <c r="AF284" s="93" t="s">
        <v>791</v>
      </c>
      <c r="AG284" s="94"/>
      <c r="AH284" s="94"/>
      <c r="AI284" s="94"/>
    </row>
    <row r="285" spans="1:35" ht="15.75" customHeight="1" x14ac:dyDescent="0.35">
      <c r="A285" s="26" t="s">
        <v>925</v>
      </c>
      <c r="B285" s="101" t="s">
        <v>931</v>
      </c>
      <c r="C285" s="112" t="s">
        <v>796</v>
      </c>
      <c r="D285" s="106" t="s">
        <v>797</v>
      </c>
      <c r="E285" s="106" t="s">
        <v>798</v>
      </c>
      <c r="F285" s="86" t="s">
        <v>97</v>
      </c>
      <c r="G285" s="86" t="s">
        <v>901</v>
      </c>
      <c r="H285" s="86"/>
      <c r="I285" s="92" t="s">
        <v>4</v>
      </c>
      <c r="J285" s="92" t="s">
        <v>98</v>
      </c>
      <c r="K285" s="92">
        <v>11</v>
      </c>
      <c r="L285" s="92">
        <v>6</v>
      </c>
      <c r="M285" s="93">
        <v>1971</v>
      </c>
      <c r="N285" s="88">
        <f t="shared" si="6"/>
        <v>26095</v>
      </c>
      <c r="O285" s="25" t="e">
        <f>IF(L285&gt;#REF!,#REF!-M285-1,#REF!-M285)</f>
        <v>#REF!</v>
      </c>
      <c r="P285" s="25" t="e">
        <f t="shared" si="5"/>
        <v>#REF!</v>
      </c>
      <c r="Q285" s="93" t="s">
        <v>40</v>
      </c>
      <c r="R285" s="121" t="s">
        <v>31</v>
      </c>
      <c r="S285" s="93" t="s">
        <v>49</v>
      </c>
      <c r="T285" s="93" t="s">
        <v>71</v>
      </c>
      <c r="U285" s="87" t="s">
        <v>906</v>
      </c>
      <c r="V285" s="87" t="s">
        <v>907</v>
      </c>
      <c r="W285" s="87" t="s">
        <v>909</v>
      </c>
      <c r="X285" s="87" t="s">
        <v>916</v>
      </c>
      <c r="Y285" s="87"/>
      <c r="Z285" s="87"/>
      <c r="AA285" s="87"/>
      <c r="AB285" s="87"/>
      <c r="AC285" s="87"/>
      <c r="AD285" s="87"/>
      <c r="AE285" s="93" t="s">
        <v>799</v>
      </c>
      <c r="AF285" s="93" t="s">
        <v>799</v>
      </c>
      <c r="AG285" s="94"/>
      <c r="AH285" s="94"/>
      <c r="AI285" s="94"/>
    </row>
    <row r="286" spans="1:35" ht="15.75" customHeight="1" x14ac:dyDescent="0.35">
      <c r="A286" s="26" t="s">
        <v>925</v>
      </c>
      <c r="B286" s="101" t="s">
        <v>931</v>
      </c>
      <c r="C286" s="112" t="s">
        <v>796</v>
      </c>
      <c r="D286" s="106" t="s">
        <v>800</v>
      </c>
      <c r="E286" s="106" t="s">
        <v>801</v>
      </c>
      <c r="F286" s="86" t="s">
        <v>105</v>
      </c>
      <c r="G286" s="86" t="s">
        <v>901</v>
      </c>
      <c r="H286" s="86"/>
      <c r="I286" s="92" t="s">
        <v>5</v>
      </c>
      <c r="J286" s="92" t="s">
        <v>98</v>
      </c>
      <c r="K286" s="92">
        <v>1</v>
      </c>
      <c r="L286" s="92">
        <v>7</v>
      </c>
      <c r="M286" s="93">
        <v>1974</v>
      </c>
      <c r="N286" s="88">
        <f t="shared" si="6"/>
        <v>27211</v>
      </c>
      <c r="O286" s="25" t="e">
        <f>IF(L286&gt;#REF!,#REF!-M286-1,#REF!-M286)</f>
        <v>#REF!</v>
      </c>
      <c r="P286" s="25" t="e">
        <f t="shared" si="5"/>
        <v>#REF!</v>
      </c>
      <c r="Q286" s="93" t="s">
        <v>40</v>
      </c>
      <c r="R286" s="121" t="s">
        <v>31</v>
      </c>
      <c r="S286" s="93" t="s">
        <v>54</v>
      </c>
      <c r="T286" s="93" t="s">
        <v>66</v>
      </c>
      <c r="U286" s="87" t="s">
        <v>906</v>
      </c>
      <c r="V286" s="87" t="s">
        <v>907</v>
      </c>
      <c r="W286" s="87" t="s">
        <v>909</v>
      </c>
      <c r="X286" s="87" t="s">
        <v>916</v>
      </c>
      <c r="Y286" s="87"/>
      <c r="Z286" s="87"/>
      <c r="AA286" s="87"/>
      <c r="AB286" s="87"/>
      <c r="AC286" s="87"/>
      <c r="AD286" s="87"/>
      <c r="AE286" s="93" t="s">
        <v>799</v>
      </c>
      <c r="AF286" s="93" t="s">
        <v>799</v>
      </c>
      <c r="AG286" s="94"/>
      <c r="AH286" s="94"/>
      <c r="AI286" s="94"/>
    </row>
    <row r="287" spans="1:35" ht="15.75" customHeight="1" x14ac:dyDescent="0.35">
      <c r="A287" s="26" t="s">
        <v>925</v>
      </c>
      <c r="B287" s="101" t="s">
        <v>931</v>
      </c>
      <c r="C287" s="112" t="s">
        <v>796</v>
      </c>
      <c r="D287" s="106" t="s">
        <v>802</v>
      </c>
      <c r="E287" s="106" t="s">
        <v>803</v>
      </c>
      <c r="F287" s="86" t="s">
        <v>108</v>
      </c>
      <c r="G287" s="86" t="s">
        <v>901</v>
      </c>
      <c r="H287" s="86"/>
      <c r="I287" s="92" t="s">
        <v>4</v>
      </c>
      <c r="J287" s="92" t="s">
        <v>98</v>
      </c>
      <c r="K287" s="92">
        <v>19</v>
      </c>
      <c r="L287" s="92">
        <v>7</v>
      </c>
      <c r="M287" s="93">
        <v>2021</v>
      </c>
      <c r="N287" s="88">
        <f t="shared" si="6"/>
        <v>44396</v>
      </c>
      <c r="O287" s="25" t="e">
        <f>IF(L287&gt;#REF!,#REF!-M287-1,#REF!-M287)</f>
        <v>#REF!</v>
      </c>
      <c r="P287" s="25" t="e">
        <f t="shared" si="5"/>
        <v>#REF!</v>
      </c>
      <c r="Q287" s="93" t="s">
        <v>40</v>
      </c>
      <c r="R287" s="121" t="s">
        <v>28</v>
      </c>
      <c r="S287" s="93" t="s">
        <v>48</v>
      </c>
      <c r="T287" s="93" t="s">
        <v>65</v>
      </c>
      <c r="U287" s="87" t="s">
        <v>906</v>
      </c>
      <c r="V287" s="87" t="s">
        <v>907</v>
      </c>
      <c r="W287" s="87" t="s">
        <v>909</v>
      </c>
      <c r="X287" s="87" t="s">
        <v>916</v>
      </c>
      <c r="Y287" s="87"/>
      <c r="Z287" s="87"/>
      <c r="AA287" s="87"/>
      <c r="AB287" s="87"/>
      <c r="AC287" s="87"/>
      <c r="AD287" s="87"/>
      <c r="AE287" s="93" t="s">
        <v>799</v>
      </c>
      <c r="AF287" s="93" t="s">
        <v>799</v>
      </c>
      <c r="AG287" s="94"/>
      <c r="AH287" s="94"/>
      <c r="AI287" s="94"/>
    </row>
    <row r="288" spans="1:35" ht="15.75" customHeight="1" x14ac:dyDescent="0.35">
      <c r="A288" s="26" t="s">
        <v>925</v>
      </c>
      <c r="B288" s="101" t="s">
        <v>931</v>
      </c>
      <c r="C288" s="112" t="s">
        <v>804</v>
      </c>
      <c r="D288" s="106" t="s">
        <v>805</v>
      </c>
      <c r="E288" s="106" t="s">
        <v>806</v>
      </c>
      <c r="F288" s="86" t="s">
        <v>97</v>
      </c>
      <c r="G288" s="86" t="s">
        <v>901</v>
      </c>
      <c r="H288" s="86"/>
      <c r="I288" s="92" t="s">
        <v>4</v>
      </c>
      <c r="J288" s="92" t="s">
        <v>632</v>
      </c>
      <c r="K288" s="92">
        <v>15</v>
      </c>
      <c r="L288" s="92">
        <v>3</v>
      </c>
      <c r="M288" s="93">
        <v>1997</v>
      </c>
      <c r="N288" s="88">
        <f t="shared" si="6"/>
        <v>35504</v>
      </c>
      <c r="O288" s="25" t="e">
        <f>IF(L288&gt;#REF!,#REF!-M288-1,#REF!-M288)</f>
        <v>#REF!</v>
      </c>
      <c r="P288" s="25" t="e">
        <f t="shared" si="5"/>
        <v>#REF!</v>
      </c>
      <c r="Q288" s="93" t="s">
        <v>40</v>
      </c>
      <c r="R288" s="121" t="s">
        <v>35</v>
      </c>
      <c r="S288" s="93" t="s">
        <v>53</v>
      </c>
      <c r="T288" s="93" t="s">
        <v>66</v>
      </c>
      <c r="U288" s="87" t="s">
        <v>906</v>
      </c>
      <c r="V288" s="87" t="s">
        <v>907</v>
      </c>
      <c r="W288" s="87" t="s">
        <v>909</v>
      </c>
      <c r="X288" s="87" t="s">
        <v>916</v>
      </c>
      <c r="Y288" s="87"/>
      <c r="Z288" s="87"/>
      <c r="AA288" s="87"/>
      <c r="AB288" s="87"/>
      <c r="AC288" s="87"/>
      <c r="AD288" s="87"/>
      <c r="AE288" s="93" t="s">
        <v>627</v>
      </c>
      <c r="AF288" s="93" t="s">
        <v>627</v>
      </c>
      <c r="AG288" s="94"/>
      <c r="AH288" s="94"/>
      <c r="AI288" s="94"/>
    </row>
    <row r="289" spans="1:40" ht="15.75" customHeight="1" x14ac:dyDescent="0.35">
      <c r="A289" s="26" t="s">
        <v>925</v>
      </c>
      <c r="B289" s="101" t="s">
        <v>931</v>
      </c>
      <c r="C289" s="112" t="s">
        <v>804</v>
      </c>
      <c r="D289" s="106" t="s">
        <v>807</v>
      </c>
      <c r="E289" s="106" t="s">
        <v>808</v>
      </c>
      <c r="F289" s="86" t="s">
        <v>105</v>
      </c>
      <c r="G289" s="86" t="s">
        <v>901</v>
      </c>
      <c r="H289" s="86"/>
      <c r="I289" s="92" t="s">
        <v>5</v>
      </c>
      <c r="J289" s="92" t="s">
        <v>98</v>
      </c>
      <c r="K289" s="92">
        <v>21</v>
      </c>
      <c r="L289" s="92">
        <v>4</v>
      </c>
      <c r="M289" s="93">
        <v>2000</v>
      </c>
      <c r="N289" s="88">
        <f t="shared" si="6"/>
        <v>36637</v>
      </c>
      <c r="O289" s="25" t="e">
        <f>IF(L289&gt;#REF!,#REF!-M289-1,#REF!-M289)</f>
        <v>#REF!</v>
      </c>
      <c r="P289" s="25" t="e">
        <f t="shared" si="5"/>
        <v>#REF!</v>
      </c>
      <c r="Q289" s="93" t="s">
        <v>40</v>
      </c>
      <c r="R289" s="121" t="s">
        <v>35</v>
      </c>
      <c r="S289" s="93" t="s">
        <v>53</v>
      </c>
      <c r="T289" s="93" t="s">
        <v>66</v>
      </c>
      <c r="U289" s="87" t="s">
        <v>906</v>
      </c>
      <c r="V289" s="87" t="s">
        <v>907</v>
      </c>
      <c r="W289" s="87" t="s">
        <v>909</v>
      </c>
      <c r="X289" s="87" t="s">
        <v>916</v>
      </c>
      <c r="Y289" s="87"/>
      <c r="Z289" s="87"/>
      <c r="AA289" s="87"/>
      <c r="AB289" s="87"/>
      <c r="AC289" s="87"/>
      <c r="AD289" s="87"/>
      <c r="AE289" s="93" t="s">
        <v>627</v>
      </c>
      <c r="AF289" s="93" t="s">
        <v>627</v>
      </c>
      <c r="AG289" s="94"/>
      <c r="AH289" s="94"/>
      <c r="AI289" s="94"/>
    </row>
    <row r="290" spans="1:40" ht="15.75" customHeight="1" x14ac:dyDescent="0.35">
      <c r="A290" s="26" t="s">
        <v>925</v>
      </c>
      <c r="B290" s="101" t="s">
        <v>931</v>
      </c>
      <c r="C290" s="112" t="s">
        <v>804</v>
      </c>
      <c r="D290" s="106" t="s">
        <v>809</v>
      </c>
      <c r="E290" s="106" t="s">
        <v>810</v>
      </c>
      <c r="F290" s="86" t="s">
        <v>108</v>
      </c>
      <c r="G290" s="86" t="s">
        <v>901</v>
      </c>
      <c r="H290" s="86"/>
      <c r="I290" s="92" t="s">
        <v>5</v>
      </c>
      <c r="J290" s="92" t="s">
        <v>98</v>
      </c>
      <c r="K290" s="92">
        <v>14</v>
      </c>
      <c r="L290" s="92">
        <v>2</v>
      </c>
      <c r="M290" s="93">
        <v>2022</v>
      </c>
      <c r="N290" s="88">
        <f t="shared" si="6"/>
        <v>44606</v>
      </c>
      <c r="O290" s="25" t="e">
        <f>IF(L290&gt;#REF!,#REF!-M290-1,#REF!-M290)</f>
        <v>#REF!</v>
      </c>
      <c r="P290" s="25" t="e">
        <f t="shared" si="5"/>
        <v>#REF!</v>
      </c>
      <c r="Q290" s="93" t="s">
        <v>40</v>
      </c>
      <c r="R290" s="121" t="s">
        <v>28</v>
      </c>
      <c r="S290" s="93" t="s">
        <v>48</v>
      </c>
      <c r="T290" s="93" t="s">
        <v>65</v>
      </c>
      <c r="U290" s="87" t="s">
        <v>906</v>
      </c>
      <c r="V290" s="87" t="s">
        <v>907</v>
      </c>
      <c r="W290" s="87" t="s">
        <v>909</v>
      </c>
      <c r="X290" s="87" t="s">
        <v>916</v>
      </c>
      <c r="Y290" s="87"/>
      <c r="Z290" s="87"/>
      <c r="AA290" s="87"/>
      <c r="AB290" s="87"/>
      <c r="AC290" s="87"/>
      <c r="AD290" s="87"/>
      <c r="AE290" s="93" t="s">
        <v>627</v>
      </c>
      <c r="AF290" s="93" t="s">
        <v>627</v>
      </c>
      <c r="AG290" s="94"/>
      <c r="AH290" s="94"/>
      <c r="AI290" s="94"/>
    </row>
    <row r="291" spans="1:40" ht="15.75" customHeight="1" x14ac:dyDescent="0.35">
      <c r="A291" s="26" t="s">
        <v>925</v>
      </c>
      <c r="B291" s="101" t="s">
        <v>931</v>
      </c>
      <c r="C291" s="112" t="s">
        <v>811</v>
      </c>
      <c r="D291" s="106" t="s">
        <v>812</v>
      </c>
      <c r="E291" s="106" t="s">
        <v>813</v>
      </c>
      <c r="F291" s="86" t="s">
        <v>97</v>
      </c>
      <c r="G291" s="86" t="s">
        <v>901</v>
      </c>
      <c r="H291" s="86"/>
      <c r="I291" s="92" t="s">
        <v>4</v>
      </c>
      <c r="J291" s="92" t="s">
        <v>98</v>
      </c>
      <c r="K291" s="92">
        <v>21</v>
      </c>
      <c r="L291" s="92">
        <v>7</v>
      </c>
      <c r="M291" s="93">
        <v>1930</v>
      </c>
      <c r="N291" s="88">
        <f t="shared" si="6"/>
        <v>11160</v>
      </c>
      <c r="O291" s="25" t="e">
        <f>IF(L291&gt;#REF!,#REF!-M291-1,#REF!-M291)</f>
        <v>#REF!</v>
      </c>
      <c r="P291" s="25" t="e">
        <f t="shared" si="5"/>
        <v>#REF!</v>
      </c>
      <c r="Q291" s="93" t="s">
        <v>40</v>
      </c>
      <c r="R291" s="121" t="s">
        <v>35</v>
      </c>
      <c r="S291" s="93" t="s">
        <v>58</v>
      </c>
      <c r="T291" s="93" t="s">
        <v>66</v>
      </c>
      <c r="U291" s="87" t="s">
        <v>906</v>
      </c>
      <c r="V291" s="87" t="s">
        <v>907</v>
      </c>
      <c r="W291" s="87" t="s">
        <v>909</v>
      </c>
      <c r="X291" s="87" t="s">
        <v>916</v>
      </c>
      <c r="Y291" s="87"/>
      <c r="Z291" s="87"/>
      <c r="AA291" s="87"/>
      <c r="AB291" s="87"/>
      <c r="AC291" s="87"/>
      <c r="AD291" s="87"/>
      <c r="AE291" s="93" t="s">
        <v>243</v>
      </c>
      <c r="AF291" s="93" t="s">
        <v>243</v>
      </c>
      <c r="AG291" s="94"/>
      <c r="AH291" s="94"/>
      <c r="AI291" s="94"/>
    </row>
    <row r="292" spans="1:40" ht="15.75" customHeight="1" x14ac:dyDescent="0.35">
      <c r="A292" s="26" t="s">
        <v>925</v>
      </c>
      <c r="B292" s="101" t="s">
        <v>931</v>
      </c>
      <c r="C292" s="114" t="s">
        <v>811</v>
      </c>
      <c r="D292" s="107" t="s">
        <v>814</v>
      </c>
      <c r="E292" s="107" t="s">
        <v>815</v>
      </c>
      <c r="F292" s="86" t="s">
        <v>105</v>
      </c>
      <c r="G292" s="86" t="s">
        <v>901</v>
      </c>
      <c r="H292" s="86"/>
      <c r="I292" s="96" t="s">
        <v>5</v>
      </c>
      <c r="J292" s="96" t="s">
        <v>98</v>
      </c>
      <c r="K292" s="96">
        <v>5</v>
      </c>
      <c r="L292" s="96">
        <v>12</v>
      </c>
      <c r="M292" s="97">
        <v>1946</v>
      </c>
      <c r="N292" s="88">
        <f t="shared" si="6"/>
        <v>17141</v>
      </c>
      <c r="O292" s="28" t="e">
        <f>IF(L292&gt;#REF!,#REF!-M292-1,#REF!-M292)</f>
        <v>#REF!</v>
      </c>
      <c r="P292" s="28" t="e">
        <f t="shared" si="5"/>
        <v>#REF!</v>
      </c>
      <c r="Q292" s="97" t="s">
        <v>40</v>
      </c>
      <c r="R292" s="122" t="s">
        <v>31</v>
      </c>
      <c r="S292" s="97" t="s">
        <v>54</v>
      </c>
      <c r="T292" s="97" t="s">
        <v>66</v>
      </c>
      <c r="U292" s="87" t="s">
        <v>906</v>
      </c>
      <c r="V292" s="87" t="s">
        <v>907</v>
      </c>
      <c r="W292" s="87" t="s">
        <v>909</v>
      </c>
      <c r="X292" s="87" t="s">
        <v>916</v>
      </c>
      <c r="Y292" s="87"/>
      <c r="Z292" s="87"/>
      <c r="AA292" s="87"/>
      <c r="AB292" s="87"/>
      <c r="AC292" s="87"/>
      <c r="AD292" s="87"/>
      <c r="AE292" s="97" t="s">
        <v>243</v>
      </c>
      <c r="AF292" s="97" t="s">
        <v>243</v>
      </c>
      <c r="AG292" s="98"/>
      <c r="AH292" s="98"/>
      <c r="AI292" s="98"/>
      <c r="AJ292" s="31"/>
      <c r="AK292" s="31"/>
      <c r="AL292" s="31"/>
      <c r="AM292" s="31"/>
      <c r="AN292" s="31"/>
    </row>
    <row r="293" spans="1:40" ht="15.75" customHeight="1" x14ac:dyDescent="0.35">
      <c r="A293" s="26" t="s">
        <v>925</v>
      </c>
      <c r="B293" s="101" t="s">
        <v>931</v>
      </c>
      <c r="C293" s="112" t="s">
        <v>811</v>
      </c>
      <c r="D293" s="106" t="s">
        <v>816</v>
      </c>
      <c r="E293" s="106" t="s">
        <v>787</v>
      </c>
      <c r="F293" s="86" t="s">
        <v>108</v>
      </c>
      <c r="G293" s="86" t="s">
        <v>901</v>
      </c>
      <c r="H293" s="86"/>
      <c r="I293" s="92" t="s">
        <v>5</v>
      </c>
      <c r="J293" s="92" t="s">
        <v>98</v>
      </c>
      <c r="K293" s="92">
        <v>6</v>
      </c>
      <c r="L293" s="92">
        <v>9</v>
      </c>
      <c r="M293" s="93">
        <v>1960</v>
      </c>
      <c r="N293" s="88">
        <f t="shared" si="6"/>
        <v>22165</v>
      </c>
      <c r="O293" s="25" t="e">
        <f>IF(L293&gt;#REF!,#REF!-M293-1,#REF!-M293)</f>
        <v>#REF!</v>
      </c>
      <c r="P293" s="25" t="e">
        <f t="shared" si="5"/>
        <v>#REF!</v>
      </c>
      <c r="Q293" s="93" t="s">
        <v>40</v>
      </c>
      <c r="R293" s="121" t="s">
        <v>31</v>
      </c>
      <c r="S293" s="93" t="s">
        <v>54</v>
      </c>
      <c r="T293" s="93" t="s">
        <v>68</v>
      </c>
      <c r="U293" s="87" t="s">
        <v>906</v>
      </c>
      <c r="V293" s="87" t="s">
        <v>907</v>
      </c>
      <c r="W293" s="87" t="s">
        <v>909</v>
      </c>
      <c r="X293" s="87" t="s">
        <v>916</v>
      </c>
      <c r="Y293" s="87"/>
      <c r="Z293" s="87"/>
      <c r="AA293" s="87"/>
      <c r="AB293" s="87"/>
      <c r="AC293" s="87"/>
      <c r="AD293" s="87"/>
      <c r="AE293" s="93" t="s">
        <v>243</v>
      </c>
      <c r="AF293" s="93" t="s">
        <v>243</v>
      </c>
      <c r="AG293" s="94"/>
      <c r="AH293" s="94"/>
      <c r="AI293" s="94"/>
    </row>
    <row r="294" spans="1:40" ht="15.75" customHeight="1" x14ac:dyDescent="0.35">
      <c r="A294" s="26" t="s">
        <v>925</v>
      </c>
      <c r="B294" s="103" t="s">
        <v>933</v>
      </c>
      <c r="C294" s="112" t="s">
        <v>817</v>
      </c>
      <c r="D294" s="106" t="s">
        <v>818</v>
      </c>
      <c r="E294" s="107" t="s">
        <v>955</v>
      </c>
      <c r="F294" s="86" t="s">
        <v>97</v>
      </c>
      <c r="G294" s="86" t="s">
        <v>901</v>
      </c>
      <c r="H294" s="86"/>
      <c r="I294" s="92" t="s">
        <v>4</v>
      </c>
      <c r="J294" s="92" t="s">
        <v>98</v>
      </c>
      <c r="K294" s="92">
        <v>3</v>
      </c>
      <c r="L294" s="92">
        <v>11</v>
      </c>
      <c r="M294" s="93">
        <v>1986</v>
      </c>
      <c r="N294" s="88">
        <f t="shared" si="6"/>
        <v>31719</v>
      </c>
      <c r="O294" s="25" t="e">
        <f>IF(L294&gt;#REF!,#REF!-M294-1,#REF!-M294)</f>
        <v>#REF!</v>
      </c>
      <c r="P294" s="25" t="e">
        <f t="shared" si="5"/>
        <v>#REF!</v>
      </c>
      <c r="Q294" s="93" t="s">
        <v>40</v>
      </c>
      <c r="R294" s="121" t="s">
        <v>35</v>
      </c>
      <c r="S294" s="93" t="s">
        <v>53</v>
      </c>
      <c r="T294" s="93" t="s">
        <v>66</v>
      </c>
      <c r="U294" s="87" t="s">
        <v>906</v>
      </c>
      <c r="V294" s="87" t="s">
        <v>907</v>
      </c>
      <c r="W294" s="87" t="s">
        <v>909</v>
      </c>
      <c r="X294" s="87" t="s">
        <v>916</v>
      </c>
      <c r="Y294" s="87"/>
      <c r="Z294" s="87"/>
      <c r="AA294" s="87"/>
      <c r="AB294" s="87"/>
      <c r="AC294" s="87"/>
      <c r="AD294" s="87"/>
      <c r="AE294" s="93" t="s">
        <v>819</v>
      </c>
      <c r="AF294" s="93" t="s">
        <v>819</v>
      </c>
      <c r="AG294" s="94"/>
      <c r="AH294" s="94"/>
      <c r="AI294" s="94"/>
    </row>
    <row r="295" spans="1:40" ht="15.75" customHeight="1" x14ac:dyDescent="0.35">
      <c r="A295" s="26" t="s">
        <v>925</v>
      </c>
      <c r="B295" s="103" t="s">
        <v>933</v>
      </c>
      <c r="C295" s="112" t="s">
        <v>817</v>
      </c>
      <c r="D295" s="106" t="s">
        <v>820</v>
      </c>
      <c r="E295" s="107" t="s">
        <v>955</v>
      </c>
      <c r="F295" s="86" t="s">
        <v>105</v>
      </c>
      <c r="G295" s="86" t="s">
        <v>901</v>
      </c>
      <c r="H295" s="86"/>
      <c r="I295" s="92" t="s">
        <v>5</v>
      </c>
      <c r="J295" s="92" t="s">
        <v>129</v>
      </c>
      <c r="K295" s="92">
        <v>4</v>
      </c>
      <c r="L295" s="92">
        <v>12</v>
      </c>
      <c r="M295" s="93">
        <v>1996</v>
      </c>
      <c r="N295" s="88">
        <f t="shared" si="6"/>
        <v>35403</v>
      </c>
      <c r="O295" s="25" t="e">
        <f>IF(L295&gt;#REF!,#REF!-M295-1,#REF!-M295)</f>
        <v>#REF!</v>
      </c>
      <c r="P295" s="25" t="e">
        <f t="shared" si="5"/>
        <v>#REF!</v>
      </c>
      <c r="Q295" s="93" t="s">
        <v>40</v>
      </c>
      <c r="R295" s="121" t="s">
        <v>31</v>
      </c>
      <c r="S295" s="93" t="s">
        <v>54</v>
      </c>
      <c r="T295" s="97" t="s">
        <v>66</v>
      </c>
      <c r="U295" s="87" t="s">
        <v>906</v>
      </c>
      <c r="V295" s="87" t="s">
        <v>907</v>
      </c>
      <c r="W295" s="87" t="s">
        <v>909</v>
      </c>
      <c r="X295" s="87" t="s">
        <v>916</v>
      </c>
      <c r="Y295" s="87"/>
      <c r="Z295" s="87"/>
      <c r="AA295" s="87"/>
      <c r="AB295" s="87"/>
      <c r="AC295" s="87"/>
      <c r="AD295" s="87"/>
      <c r="AE295" s="93" t="s">
        <v>819</v>
      </c>
      <c r="AF295" s="93" t="s">
        <v>819</v>
      </c>
      <c r="AG295" s="94"/>
      <c r="AH295" s="94"/>
      <c r="AI295" s="94"/>
    </row>
    <row r="296" spans="1:40" ht="15.75" customHeight="1" x14ac:dyDescent="0.35">
      <c r="A296" s="26" t="s">
        <v>925</v>
      </c>
      <c r="B296" s="103" t="s">
        <v>933</v>
      </c>
      <c r="C296" s="112" t="s">
        <v>817</v>
      </c>
      <c r="D296" s="106" t="s">
        <v>821</v>
      </c>
      <c r="E296" s="107" t="s">
        <v>955</v>
      </c>
      <c r="F296" s="86" t="s">
        <v>108</v>
      </c>
      <c r="G296" s="86" t="s">
        <v>901</v>
      </c>
      <c r="H296" s="86"/>
      <c r="I296" s="92" t="s">
        <v>5</v>
      </c>
      <c r="J296" s="92" t="s">
        <v>586</v>
      </c>
      <c r="K296" s="92">
        <v>28</v>
      </c>
      <c r="L296" s="92">
        <v>9</v>
      </c>
      <c r="M296" s="93">
        <v>2013</v>
      </c>
      <c r="N296" s="88">
        <f t="shared" si="6"/>
        <v>41545</v>
      </c>
      <c r="O296" s="25" t="e">
        <f>IF(L296&gt;#REF!,#REF!-M296-1,#REF!-M296)</f>
        <v>#REF!</v>
      </c>
      <c r="P296" s="25" t="e">
        <f t="shared" si="5"/>
        <v>#REF!</v>
      </c>
      <c r="Q296" s="93" t="s">
        <v>40</v>
      </c>
      <c r="R296" s="121" t="s">
        <v>28</v>
      </c>
      <c r="S296" s="93" t="s">
        <v>48</v>
      </c>
      <c r="T296" s="93" t="s">
        <v>65</v>
      </c>
      <c r="U296" s="87" t="s">
        <v>906</v>
      </c>
      <c r="V296" s="87" t="s">
        <v>907</v>
      </c>
      <c r="W296" s="87" t="s">
        <v>909</v>
      </c>
      <c r="X296" s="87" t="s">
        <v>916</v>
      </c>
      <c r="Y296" s="87"/>
      <c r="Z296" s="87"/>
      <c r="AA296" s="87"/>
      <c r="AB296" s="87"/>
      <c r="AC296" s="87"/>
      <c r="AD296" s="87"/>
      <c r="AE296" s="93" t="s">
        <v>819</v>
      </c>
      <c r="AF296" s="93" t="s">
        <v>819</v>
      </c>
      <c r="AG296" s="94"/>
      <c r="AH296" s="94"/>
      <c r="AI296" s="94"/>
    </row>
    <row r="297" spans="1:40" ht="15.75" customHeight="1" x14ac:dyDescent="0.35">
      <c r="A297" s="104"/>
      <c r="B297" s="4"/>
      <c r="D297" s="119"/>
      <c r="G297" s="86"/>
      <c r="I297" s="94"/>
      <c r="N297" s="88"/>
      <c r="Q297" s="94"/>
      <c r="R297" s="121"/>
      <c r="T297" s="94"/>
      <c r="U297" s="87"/>
      <c r="V297" s="87"/>
      <c r="W297" s="94"/>
      <c r="X297" s="87"/>
      <c r="Y297" s="94"/>
      <c r="Z297" s="94"/>
      <c r="AA297" s="94"/>
      <c r="AB297" s="94"/>
      <c r="AC297" s="94"/>
      <c r="AD297" s="94"/>
      <c r="AG297" s="94"/>
      <c r="AH297" s="94"/>
      <c r="AI297" s="94"/>
    </row>
    <row r="298" spans="1:40" ht="15.75" customHeight="1" x14ac:dyDescent="0.35">
      <c r="A298" s="104"/>
      <c r="B298" s="4"/>
      <c r="D298" s="119"/>
      <c r="I298" s="94"/>
      <c r="Q298" s="94"/>
      <c r="R298" s="121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G298" s="94"/>
      <c r="AH298" s="94"/>
      <c r="AI298" s="94"/>
    </row>
    <row r="299" spans="1:40" ht="15.75" customHeight="1" x14ac:dyDescent="0.35">
      <c r="A299" s="104"/>
      <c r="B299" s="4"/>
      <c r="D299" s="119"/>
      <c r="I299" s="94"/>
      <c r="Q299" s="94"/>
      <c r="R299" s="121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G299" s="94"/>
      <c r="AH299" s="94"/>
      <c r="AI299" s="94"/>
    </row>
    <row r="300" spans="1:40" ht="15.75" customHeight="1" x14ac:dyDescent="0.35">
      <c r="A300" s="104"/>
      <c r="B300" s="4"/>
      <c r="D300" s="119"/>
      <c r="I300" s="94"/>
      <c r="Q300" s="94"/>
      <c r="R300" s="121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G300" s="94"/>
      <c r="AH300" s="94"/>
      <c r="AI300" s="94"/>
    </row>
    <row r="301" spans="1:40" ht="15.75" customHeight="1" x14ac:dyDescent="0.35">
      <c r="A301" s="104"/>
      <c r="B301" s="4"/>
      <c r="D301" s="119"/>
      <c r="I301" s="94"/>
      <c r="Q301" s="94"/>
      <c r="R301" s="121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G301" s="94"/>
      <c r="AH301" s="94"/>
      <c r="AI301" s="94"/>
    </row>
    <row r="302" spans="1:40" ht="15.75" customHeight="1" x14ac:dyDescent="0.35">
      <c r="A302" s="104"/>
      <c r="B302" s="4"/>
      <c r="D302" s="119"/>
      <c r="I302" s="94"/>
      <c r="Q302" s="94"/>
      <c r="R302" s="121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G302" s="94"/>
      <c r="AH302" s="94"/>
      <c r="AI302" s="94"/>
    </row>
    <row r="303" spans="1:40" ht="15.75" customHeight="1" x14ac:dyDescent="0.35">
      <c r="A303" s="104"/>
      <c r="B303" s="4"/>
      <c r="D303" s="119"/>
      <c r="I303" s="94"/>
      <c r="Q303" s="94"/>
      <c r="R303" s="121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G303" s="94"/>
      <c r="AH303" s="94"/>
      <c r="AI303" s="94"/>
    </row>
    <row r="304" spans="1:40" ht="15.75" customHeight="1" x14ac:dyDescent="0.35">
      <c r="A304" s="104"/>
      <c r="B304" s="4"/>
      <c r="D304" s="119"/>
      <c r="I304" s="94"/>
      <c r="Q304" s="94"/>
      <c r="R304" s="121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G304" s="94"/>
      <c r="AH304" s="94"/>
      <c r="AI304" s="94"/>
    </row>
    <row r="305" spans="1:35" ht="15.75" customHeight="1" x14ac:dyDescent="0.35">
      <c r="A305" s="104"/>
      <c r="B305" s="4"/>
      <c r="D305" s="119"/>
      <c r="I305" s="94"/>
      <c r="Q305" s="94"/>
      <c r="R305" s="121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G305" s="94"/>
      <c r="AH305" s="94"/>
      <c r="AI305" s="94"/>
    </row>
    <row r="306" spans="1:35" ht="15.75" customHeight="1" x14ac:dyDescent="0.35">
      <c r="A306" s="104"/>
      <c r="B306" s="4"/>
      <c r="D306" s="119"/>
      <c r="I306" s="94"/>
      <c r="Q306" s="94"/>
      <c r="R306" s="121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G306" s="94"/>
      <c r="AH306" s="94"/>
      <c r="AI306" s="94"/>
    </row>
    <row r="307" spans="1:35" ht="15.75" customHeight="1" x14ac:dyDescent="0.35">
      <c r="A307" s="104"/>
      <c r="B307" s="4"/>
      <c r="D307" s="119"/>
      <c r="I307" s="94"/>
      <c r="Q307" s="94"/>
      <c r="R307" s="121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G307" s="94"/>
      <c r="AH307" s="94"/>
      <c r="AI307" s="94"/>
    </row>
    <row r="308" spans="1:35" ht="15.75" customHeight="1" x14ac:dyDescent="0.35">
      <c r="A308" s="104"/>
      <c r="B308" s="4"/>
      <c r="D308" s="119"/>
      <c r="I308" s="94"/>
      <c r="Q308" s="94"/>
      <c r="R308" s="121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G308" s="94"/>
      <c r="AH308" s="94"/>
      <c r="AI308" s="94"/>
    </row>
    <row r="309" spans="1:35" ht="15.75" customHeight="1" x14ac:dyDescent="0.35">
      <c r="A309" s="104"/>
      <c r="B309" s="4"/>
      <c r="D309" s="119"/>
      <c r="I309" s="94"/>
      <c r="Q309" s="94"/>
      <c r="R309" s="121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G309" s="94"/>
      <c r="AH309" s="94"/>
      <c r="AI309" s="94"/>
    </row>
    <row r="310" spans="1:35" ht="15.75" customHeight="1" x14ac:dyDescent="0.35">
      <c r="A310" s="104"/>
      <c r="B310" s="4"/>
      <c r="D310" s="119"/>
      <c r="I310" s="94"/>
      <c r="Q310" s="94"/>
      <c r="R310" s="121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G310" s="94"/>
      <c r="AH310" s="94"/>
      <c r="AI310" s="94"/>
    </row>
    <row r="311" spans="1:35" ht="15.75" customHeight="1" x14ac:dyDescent="0.35">
      <c r="A311" s="104"/>
      <c r="B311" s="4"/>
      <c r="D311" s="119"/>
      <c r="I311" s="94"/>
      <c r="Q311" s="94"/>
      <c r="R311" s="121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G311" s="94"/>
      <c r="AH311" s="94"/>
      <c r="AI311" s="94"/>
    </row>
    <row r="312" spans="1:35" ht="15.75" customHeight="1" x14ac:dyDescent="0.35">
      <c r="A312" s="104"/>
      <c r="B312" s="4"/>
      <c r="D312" s="119"/>
      <c r="I312" s="94"/>
      <c r="Q312" s="94"/>
      <c r="R312" s="121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G312" s="94"/>
      <c r="AH312" s="94"/>
      <c r="AI312" s="94"/>
    </row>
    <row r="313" spans="1:35" ht="15.75" customHeight="1" x14ac:dyDescent="0.35">
      <c r="A313" s="104"/>
      <c r="B313" s="4"/>
      <c r="D313" s="119"/>
      <c r="I313" s="94"/>
      <c r="Q313" s="94"/>
      <c r="R313" s="121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G313" s="94"/>
      <c r="AH313" s="94"/>
      <c r="AI313" s="94"/>
    </row>
    <row r="314" spans="1:35" ht="15.75" customHeight="1" x14ac:dyDescent="0.35">
      <c r="A314" s="104"/>
      <c r="B314" s="4"/>
      <c r="D314" s="119"/>
      <c r="I314" s="94"/>
      <c r="Q314" s="94"/>
      <c r="R314" s="121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G314" s="94"/>
      <c r="AH314" s="94"/>
      <c r="AI314" s="94"/>
    </row>
    <row r="315" spans="1:35" ht="15.75" customHeight="1" x14ac:dyDescent="0.35">
      <c r="A315" s="104"/>
      <c r="B315" s="4"/>
      <c r="D315" s="119"/>
      <c r="I315" s="94"/>
      <c r="Q315" s="94"/>
      <c r="R315" s="121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G315" s="94"/>
      <c r="AH315" s="94"/>
      <c r="AI315" s="94"/>
    </row>
    <row r="316" spans="1:35" ht="15.75" customHeight="1" x14ac:dyDescent="0.35">
      <c r="A316" s="104"/>
      <c r="B316" s="4"/>
      <c r="D316" s="119"/>
      <c r="I316" s="94"/>
      <c r="Q316" s="94"/>
      <c r="R316" s="121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G316" s="94"/>
      <c r="AH316" s="94"/>
      <c r="AI316" s="94"/>
    </row>
    <row r="317" spans="1:35" ht="15.75" customHeight="1" x14ac:dyDescent="0.35">
      <c r="A317" s="104"/>
      <c r="B317" s="4"/>
      <c r="D317" s="119"/>
      <c r="I317" s="94"/>
      <c r="Q317" s="94"/>
      <c r="R317" s="121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G317" s="94"/>
      <c r="AH317" s="94"/>
      <c r="AI317" s="94"/>
    </row>
    <row r="318" spans="1:35" ht="15.75" customHeight="1" x14ac:dyDescent="0.35">
      <c r="A318" s="104"/>
      <c r="B318" s="4"/>
      <c r="D318" s="119"/>
      <c r="I318" s="94"/>
      <c r="Q318" s="94"/>
      <c r="R318" s="121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G318" s="94"/>
      <c r="AH318" s="94"/>
      <c r="AI318" s="94"/>
    </row>
    <row r="319" spans="1:35" ht="15.75" customHeight="1" x14ac:dyDescent="0.35">
      <c r="A319" s="104"/>
      <c r="B319" s="4"/>
      <c r="D319" s="119"/>
      <c r="I319" s="94"/>
      <c r="Q319" s="94"/>
      <c r="R319" s="121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G319" s="94"/>
      <c r="AH319" s="94"/>
      <c r="AI319" s="94"/>
    </row>
    <row r="320" spans="1:35" ht="15.75" customHeight="1" x14ac:dyDescent="0.35">
      <c r="A320" s="104"/>
      <c r="B320" s="4"/>
      <c r="D320" s="119"/>
      <c r="I320" s="94"/>
      <c r="Q320" s="94"/>
      <c r="R320" s="121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G320" s="94"/>
      <c r="AH320" s="94"/>
      <c r="AI320" s="94"/>
    </row>
    <row r="321" spans="1:35" ht="15.75" customHeight="1" x14ac:dyDescent="0.35">
      <c r="A321" s="104"/>
      <c r="B321" s="4"/>
      <c r="D321" s="119"/>
      <c r="I321" s="94"/>
      <c r="Q321" s="94"/>
      <c r="R321" s="121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G321" s="94"/>
      <c r="AH321" s="94"/>
      <c r="AI321" s="94"/>
    </row>
    <row r="322" spans="1:35" ht="15.75" customHeight="1" x14ac:dyDescent="0.35">
      <c r="A322" s="104"/>
      <c r="B322" s="4"/>
      <c r="D322" s="119"/>
      <c r="I322" s="94"/>
      <c r="Q322" s="94"/>
      <c r="R322" s="121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G322" s="94"/>
      <c r="AH322" s="94"/>
      <c r="AI322" s="94"/>
    </row>
    <row r="323" spans="1:35" ht="15.75" customHeight="1" x14ac:dyDescent="0.35">
      <c r="A323" s="104"/>
      <c r="B323" s="4"/>
      <c r="D323" s="119"/>
      <c r="I323" s="94"/>
      <c r="Q323" s="94"/>
      <c r="R323" s="121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G323" s="94"/>
      <c r="AH323" s="94"/>
      <c r="AI323" s="94"/>
    </row>
    <row r="324" spans="1:35" ht="15.75" customHeight="1" x14ac:dyDescent="0.35">
      <c r="A324" s="104"/>
      <c r="B324" s="4"/>
      <c r="D324" s="119"/>
      <c r="I324" s="94"/>
      <c r="Q324" s="94"/>
      <c r="R324" s="121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G324" s="94"/>
      <c r="AH324" s="94"/>
      <c r="AI324" s="94"/>
    </row>
    <row r="325" spans="1:35" ht="15.75" customHeight="1" x14ac:dyDescent="0.35">
      <c r="A325" s="104"/>
      <c r="B325" s="4"/>
      <c r="D325" s="119"/>
      <c r="I325" s="94"/>
      <c r="Q325" s="94"/>
      <c r="R325" s="121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G325" s="94"/>
      <c r="AH325" s="94"/>
      <c r="AI325" s="94"/>
    </row>
    <row r="326" spans="1:35" ht="15.75" customHeight="1" x14ac:dyDescent="0.35">
      <c r="A326" s="104"/>
      <c r="B326" s="4"/>
      <c r="D326" s="119"/>
      <c r="I326" s="94"/>
      <c r="Q326" s="94"/>
      <c r="R326" s="121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G326" s="94"/>
      <c r="AH326" s="94"/>
      <c r="AI326" s="94"/>
    </row>
    <row r="327" spans="1:35" ht="15.75" customHeight="1" x14ac:dyDescent="0.35">
      <c r="A327" s="104"/>
      <c r="B327" s="4"/>
      <c r="D327" s="119"/>
      <c r="I327" s="94"/>
      <c r="Q327" s="94"/>
      <c r="R327" s="121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G327" s="94"/>
      <c r="AH327" s="94"/>
      <c r="AI327" s="94"/>
    </row>
    <row r="328" spans="1:35" ht="15.75" customHeight="1" x14ac:dyDescent="0.35">
      <c r="A328" s="104"/>
      <c r="B328" s="4"/>
      <c r="D328" s="119"/>
      <c r="I328" s="94"/>
      <c r="Q328" s="94"/>
      <c r="R328" s="121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G328" s="94"/>
      <c r="AH328" s="94"/>
      <c r="AI328" s="94"/>
    </row>
    <row r="329" spans="1:35" ht="15.75" customHeight="1" x14ac:dyDescent="0.35">
      <c r="A329" s="104"/>
      <c r="B329" s="4"/>
      <c r="D329" s="119"/>
      <c r="I329" s="94"/>
      <c r="Q329" s="94"/>
      <c r="R329" s="121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G329" s="94"/>
      <c r="AH329" s="94"/>
      <c r="AI329" s="94"/>
    </row>
    <row r="330" spans="1:35" ht="15.75" customHeight="1" x14ac:dyDescent="0.35">
      <c r="A330" s="104"/>
      <c r="B330" s="4"/>
      <c r="D330" s="119"/>
      <c r="I330" s="94"/>
      <c r="Q330" s="94"/>
      <c r="R330" s="121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G330" s="94"/>
      <c r="AH330" s="94"/>
      <c r="AI330" s="94"/>
    </row>
    <row r="331" spans="1:35" ht="15.75" customHeight="1" x14ac:dyDescent="0.35">
      <c r="A331" s="104"/>
      <c r="B331" s="4"/>
      <c r="D331" s="119"/>
      <c r="I331" s="94"/>
      <c r="Q331" s="94"/>
      <c r="R331" s="121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G331" s="94"/>
      <c r="AH331" s="94"/>
      <c r="AI331" s="94"/>
    </row>
    <row r="332" spans="1:35" ht="15.75" customHeight="1" x14ac:dyDescent="0.35">
      <c r="A332" s="104"/>
      <c r="B332" s="4"/>
      <c r="D332" s="119"/>
      <c r="I332" s="94"/>
      <c r="Q332" s="94"/>
      <c r="R332" s="121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G332" s="94"/>
      <c r="AH332" s="94"/>
      <c r="AI332" s="94"/>
    </row>
    <row r="333" spans="1:35" ht="15.75" customHeight="1" x14ac:dyDescent="0.35">
      <c r="A333" s="104"/>
      <c r="B333" s="4"/>
      <c r="D333" s="119"/>
      <c r="I333" s="94"/>
      <c r="Q333" s="94"/>
      <c r="R333" s="121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G333" s="94"/>
      <c r="AH333" s="94"/>
      <c r="AI333" s="94"/>
    </row>
    <row r="334" spans="1:35" ht="15.75" customHeight="1" x14ac:dyDescent="0.35">
      <c r="A334" s="104"/>
      <c r="B334" s="4"/>
      <c r="D334" s="119"/>
      <c r="I334" s="94"/>
      <c r="Q334" s="94"/>
      <c r="R334" s="121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G334" s="94"/>
      <c r="AH334" s="94"/>
      <c r="AI334" s="94"/>
    </row>
    <row r="335" spans="1:35" ht="15.75" customHeight="1" x14ac:dyDescent="0.35">
      <c r="A335" s="104"/>
      <c r="B335" s="4"/>
      <c r="D335" s="119"/>
      <c r="I335" s="94"/>
      <c r="Q335" s="94"/>
      <c r="R335" s="121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G335" s="94"/>
      <c r="AH335" s="94"/>
      <c r="AI335" s="94"/>
    </row>
    <row r="336" spans="1:35" ht="15.75" customHeight="1" x14ac:dyDescent="0.35">
      <c r="A336" s="104"/>
      <c r="B336" s="4"/>
      <c r="D336" s="119"/>
      <c r="I336" s="94"/>
      <c r="Q336" s="94"/>
      <c r="R336" s="121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G336" s="94"/>
      <c r="AH336" s="94"/>
      <c r="AI336" s="94"/>
    </row>
    <row r="337" spans="1:35" ht="15.75" customHeight="1" x14ac:dyDescent="0.35">
      <c r="A337" s="104"/>
      <c r="B337" s="4"/>
      <c r="D337" s="119"/>
      <c r="I337" s="94"/>
      <c r="Q337" s="94"/>
      <c r="R337" s="121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G337" s="94"/>
      <c r="AH337" s="94"/>
      <c r="AI337" s="94"/>
    </row>
    <row r="338" spans="1:35" ht="15.75" customHeight="1" x14ac:dyDescent="0.35">
      <c r="A338" s="104"/>
      <c r="B338" s="4"/>
      <c r="D338" s="119"/>
      <c r="I338" s="94"/>
      <c r="Q338" s="94"/>
      <c r="R338" s="121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G338" s="94"/>
      <c r="AH338" s="94"/>
      <c r="AI338" s="94"/>
    </row>
    <row r="339" spans="1:35" ht="15.75" customHeight="1" x14ac:dyDescent="0.35">
      <c r="A339" s="104"/>
      <c r="B339" s="4"/>
      <c r="D339" s="119"/>
      <c r="I339" s="94"/>
      <c r="Q339" s="94"/>
      <c r="R339" s="121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G339" s="94"/>
      <c r="AH339" s="94"/>
      <c r="AI339" s="94"/>
    </row>
    <row r="340" spans="1:35" ht="15.75" customHeight="1" x14ac:dyDescent="0.35">
      <c r="A340" s="104"/>
      <c r="B340" s="4"/>
      <c r="D340" s="119"/>
      <c r="I340" s="94"/>
      <c r="Q340" s="94"/>
      <c r="R340" s="121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G340" s="94"/>
      <c r="AH340" s="94"/>
      <c r="AI340" s="94"/>
    </row>
    <row r="341" spans="1:35" ht="15.75" customHeight="1" x14ac:dyDescent="0.35">
      <c r="A341" s="104"/>
      <c r="B341" s="4"/>
      <c r="D341" s="119"/>
      <c r="I341" s="94"/>
      <c r="Q341" s="94"/>
      <c r="R341" s="121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G341" s="94"/>
      <c r="AH341" s="94"/>
      <c r="AI341" s="94"/>
    </row>
    <row r="342" spans="1:35" ht="15.75" customHeight="1" x14ac:dyDescent="0.35">
      <c r="A342" s="104"/>
      <c r="B342" s="4"/>
      <c r="D342" s="119"/>
      <c r="I342" s="94"/>
      <c r="Q342" s="94"/>
      <c r="R342" s="121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G342" s="94"/>
      <c r="AH342" s="94"/>
      <c r="AI342" s="94"/>
    </row>
    <row r="343" spans="1:35" ht="15.75" customHeight="1" x14ac:dyDescent="0.35">
      <c r="A343" s="104"/>
      <c r="B343" s="4"/>
      <c r="D343" s="119"/>
      <c r="I343" s="94"/>
      <c r="Q343" s="94"/>
      <c r="R343" s="121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G343" s="94"/>
      <c r="AH343" s="94"/>
      <c r="AI343" s="94"/>
    </row>
    <row r="344" spans="1:35" ht="15.75" customHeight="1" x14ac:dyDescent="0.35">
      <c r="A344" s="104"/>
      <c r="B344" s="4"/>
      <c r="D344" s="119"/>
      <c r="I344" s="94"/>
      <c r="Q344" s="94"/>
      <c r="R344" s="121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G344" s="94"/>
      <c r="AH344" s="94"/>
      <c r="AI344" s="94"/>
    </row>
    <row r="345" spans="1:35" ht="15.75" customHeight="1" x14ac:dyDescent="0.35">
      <c r="A345" s="104"/>
      <c r="B345" s="4"/>
      <c r="D345" s="119"/>
      <c r="I345" s="94"/>
      <c r="Q345" s="94"/>
      <c r="R345" s="121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G345" s="94"/>
      <c r="AH345" s="94"/>
      <c r="AI345" s="94"/>
    </row>
    <row r="346" spans="1:35" ht="15.75" customHeight="1" x14ac:dyDescent="0.35">
      <c r="A346" s="104"/>
      <c r="B346" s="4"/>
      <c r="D346" s="119"/>
      <c r="I346" s="94"/>
      <c r="Q346" s="94"/>
      <c r="R346" s="121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G346" s="94"/>
      <c r="AH346" s="94"/>
      <c r="AI346" s="94"/>
    </row>
    <row r="347" spans="1:35" ht="15.75" customHeight="1" x14ac:dyDescent="0.35">
      <c r="A347" s="104"/>
      <c r="B347" s="4"/>
      <c r="D347" s="119"/>
      <c r="I347" s="94"/>
      <c r="Q347" s="94"/>
      <c r="R347" s="121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G347" s="94"/>
      <c r="AH347" s="94"/>
      <c r="AI347" s="94"/>
    </row>
    <row r="348" spans="1:35" ht="15.75" customHeight="1" x14ac:dyDescent="0.35">
      <c r="A348" s="104"/>
      <c r="B348" s="4"/>
      <c r="D348" s="119"/>
      <c r="I348" s="94"/>
      <c r="Q348" s="94"/>
      <c r="R348" s="121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G348" s="94"/>
      <c r="AH348" s="94"/>
      <c r="AI348" s="94"/>
    </row>
    <row r="349" spans="1:35" ht="15.75" customHeight="1" x14ac:dyDescent="0.35">
      <c r="A349" s="104"/>
      <c r="B349" s="4"/>
      <c r="D349" s="119"/>
      <c r="I349" s="94"/>
      <c r="Q349" s="94"/>
      <c r="R349" s="121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G349" s="94"/>
      <c r="AH349" s="94"/>
      <c r="AI349" s="94"/>
    </row>
    <row r="350" spans="1:35" ht="15.75" customHeight="1" x14ac:dyDescent="0.35">
      <c r="A350" s="104"/>
      <c r="B350" s="4"/>
      <c r="D350" s="119"/>
      <c r="I350" s="94"/>
      <c r="Q350" s="94"/>
      <c r="R350" s="121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G350" s="94"/>
      <c r="AH350" s="94"/>
      <c r="AI350" s="94"/>
    </row>
    <row r="351" spans="1:35" ht="15.75" customHeight="1" x14ac:dyDescent="0.35">
      <c r="A351" s="104"/>
      <c r="B351" s="4"/>
      <c r="D351" s="119"/>
      <c r="I351" s="94"/>
      <c r="Q351" s="94"/>
      <c r="R351" s="121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G351" s="94"/>
      <c r="AH351" s="94"/>
      <c r="AI351" s="94"/>
    </row>
    <row r="352" spans="1:35" ht="15.75" customHeight="1" x14ac:dyDescent="0.35">
      <c r="A352" s="104"/>
      <c r="B352" s="4"/>
      <c r="D352" s="119"/>
      <c r="I352" s="94"/>
      <c r="Q352" s="94"/>
      <c r="R352" s="121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G352" s="94"/>
      <c r="AH352" s="94"/>
      <c r="AI352" s="94"/>
    </row>
    <row r="353" spans="1:35" ht="15.75" customHeight="1" x14ac:dyDescent="0.35">
      <c r="A353" s="104"/>
      <c r="B353" s="4"/>
      <c r="D353" s="119"/>
      <c r="I353" s="94"/>
      <c r="Q353" s="94"/>
      <c r="R353" s="121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G353" s="94"/>
      <c r="AH353" s="94"/>
      <c r="AI353" s="94"/>
    </row>
    <row r="354" spans="1:35" ht="15.75" customHeight="1" x14ac:dyDescent="0.35">
      <c r="A354" s="104"/>
      <c r="B354" s="4"/>
      <c r="D354" s="119"/>
      <c r="I354" s="94"/>
      <c r="Q354" s="94"/>
      <c r="R354" s="121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G354" s="94"/>
      <c r="AH354" s="94"/>
      <c r="AI354" s="94"/>
    </row>
    <row r="355" spans="1:35" ht="15.75" customHeight="1" x14ac:dyDescent="0.35">
      <c r="A355" s="104"/>
      <c r="B355" s="4"/>
      <c r="D355" s="119"/>
      <c r="I355" s="94"/>
      <c r="Q355" s="94"/>
      <c r="R355" s="121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G355" s="94"/>
      <c r="AH355" s="94"/>
      <c r="AI355" s="94"/>
    </row>
    <row r="356" spans="1:35" ht="15.75" customHeight="1" x14ac:dyDescent="0.35">
      <c r="A356" s="104"/>
      <c r="B356" s="4"/>
      <c r="D356" s="119"/>
      <c r="I356" s="94"/>
      <c r="Q356" s="94"/>
      <c r="R356" s="121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G356" s="94"/>
      <c r="AH356" s="94"/>
      <c r="AI356" s="94"/>
    </row>
    <row r="357" spans="1:35" ht="15.75" customHeight="1" x14ac:dyDescent="0.35">
      <c r="A357" s="104"/>
      <c r="B357" s="4"/>
      <c r="D357" s="119"/>
      <c r="I357" s="94"/>
      <c r="Q357" s="94"/>
      <c r="R357" s="121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G357" s="94"/>
      <c r="AH357" s="94"/>
      <c r="AI357" s="94"/>
    </row>
    <row r="358" spans="1:35" ht="15.75" customHeight="1" x14ac:dyDescent="0.35">
      <c r="A358" s="104"/>
      <c r="B358" s="4"/>
      <c r="D358" s="119"/>
      <c r="I358" s="94"/>
      <c r="Q358" s="94"/>
      <c r="R358" s="121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G358" s="94"/>
      <c r="AH358" s="94"/>
      <c r="AI358" s="94"/>
    </row>
    <row r="359" spans="1:35" ht="15.75" customHeight="1" x14ac:dyDescent="0.35">
      <c r="A359" s="104"/>
      <c r="B359" s="4"/>
      <c r="D359" s="119"/>
      <c r="I359" s="94"/>
      <c r="Q359" s="94"/>
      <c r="R359" s="121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G359" s="94"/>
      <c r="AH359" s="94"/>
      <c r="AI359" s="94"/>
    </row>
    <row r="360" spans="1:35" ht="15.75" customHeight="1" x14ac:dyDescent="0.35">
      <c r="A360" s="104"/>
      <c r="B360" s="4"/>
      <c r="D360" s="119"/>
      <c r="I360" s="94"/>
      <c r="Q360" s="94"/>
      <c r="R360" s="121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G360" s="94"/>
      <c r="AH360" s="94"/>
      <c r="AI360" s="94"/>
    </row>
    <row r="361" spans="1:35" ht="15.75" customHeight="1" x14ac:dyDescent="0.35">
      <c r="A361" s="104"/>
      <c r="B361" s="4"/>
      <c r="D361" s="119"/>
      <c r="I361" s="94"/>
      <c r="Q361" s="94"/>
      <c r="R361" s="121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G361" s="94"/>
      <c r="AH361" s="94"/>
      <c r="AI361" s="94"/>
    </row>
    <row r="362" spans="1:35" ht="15.75" customHeight="1" x14ac:dyDescent="0.35">
      <c r="A362" s="104"/>
      <c r="B362" s="4"/>
      <c r="D362" s="119"/>
      <c r="I362" s="94"/>
      <c r="Q362" s="94"/>
      <c r="R362" s="121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G362" s="94"/>
      <c r="AH362" s="94"/>
      <c r="AI362" s="94"/>
    </row>
    <row r="363" spans="1:35" ht="15.75" customHeight="1" x14ac:dyDescent="0.35">
      <c r="A363" s="104"/>
      <c r="B363" s="4"/>
      <c r="D363" s="119"/>
      <c r="I363" s="94"/>
      <c r="Q363" s="94"/>
      <c r="R363" s="121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G363" s="94"/>
      <c r="AH363" s="94"/>
      <c r="AI363" s="94"/>
    </row>
    <row r="364" spans="1:35" ht="15.75" customHeight="1" x14ac:dyDescent="0.35">
      <c r="A364" s="104"/>
      <c r="B364" s="4"/>
      <c r="D364" s="119"/>
      <c r="I364" s="94"/>
      <c r="Q364" s="94"/>
      <c r="R364" s="121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G364" s="94"/>
      <c r="AH364" s="94"/>
      <c r="AI364" s="94"/>
    </row>
    <row r="365" spans="1:35" ht="15.75" customHeight="1" x14ac:dyDescent="0.35">
      <c r="A365" s="104"/>
      <c r="B365" s="4"/>
      <c r="D365" s="119"/>
      <c r="I365" s="94"/>
      <c r="Q365" s="94"/>
      <c r="R365" s="121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G365" s="94"/>
      <c r="AH365" s="94"/>
      <c r="AI365" s="94"/>
    </row>
    <row r="366" spans="1:35" ht="15.75" customHeight="1" x14ac:dyDescent="0.35">
      <c r="A366" s="104"/>
      <c r="B366" s="4"/>
      <c r="D366" s="119"/>
      <c r="I366" s="94"/>
      <c r="Q366" s="94"/>
      <c r="R366" s="121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G366" s="94"/>
      <c r="AH366" s="94"/>
      <c r="AI366" s="94"/>
    </row>
    <row r="367" spans="1:35" ht="15.75" customHeight="1" x14ac:dyDescent="0.35">
      <c r="A367" s="104"/>
      <c r="B367" s="4"/>
      <c r="D367" s="119"/>
      <c r="I367" s="94"/>
      <c r="Q367" s="94"/>
      <c r="R367" s="121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G367" s="94"/>
      <c r="AH367" s="94"/>
      <c r="AI367" s="94"/>
    </row>
    <row r="368" spans="1:35" ht="15.75" customHeight="1" x14ac:dyDescent="0.35">
      <c r="A368" s="104"/>
      <c r="B368" s="4"/>
      <c r="D368" s="119"/>
      <c r="I368" s="94"/>
      <c r="Q368" s="94"/>
      <c r="R368" s="121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G368" s="94"/>
      <c r="AH368" s="94"/>
      <c r="AI368" s="94"/>
    </row>
    <row r="369" spans="1:35" ht="15.75" customHeight="1" x14ac:dyDescent="0.35">
      <c r="A369" s="104"/>
      <c r="B369" s="4"/>
      <c r="D369" s="119"/>
      <c r="I369" s="94"/>
      <c r="Q369" s="94"/>
      <c r="R369" s="121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G369" s="94"/>
      <c r="AH369" s="94"/>
      <c r="AI369" s="94"/>
    </row>
    <row r="370" spans="1:35" ht="15.75" customHeight="1" x14ac:dyDescent="0.35">
      <c r="A370" s="104"/>
      <c r="B370" s="4"/>
      <c r="D370" s="119"/>
      <c r="I370" s="94"/>
      <c r="Q370" s="94"/>
      <c r="R370" s="121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G370" s="94"/>
      <c r="AH370" s="94"/>
      <c r="AI370" s="94"/>
    </row>
    <row r="371" spans="1:35" ht="15.75" customHeight="1" x14ac:dyDescent="0.35">
      <c r="A371" s="104"/>
      <c r="B371" s="4"/>
      <c r="D371" s="119"/>
      <c r="I371" s="94"/>
      <c r="Q371" s="94"/>
      <c r="R371" s="121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G371" s="94"/>
      <c r="AH371" s="94"/>
      <c r="AI371" s="94"/>
    </row>
    <row r="372" spans="1:35" ht="15.75" customHeight="1" x14ac:dyDescent="0.35">
      <c r="A372" s="104"/>
      <c r="B372" s="4"/>
      <c r="D372" s="119"/>
      <c r="I372" s="94"/>
      <c r="Q372" s="94"/>
      <c r="R372" s="121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G372" s="94"/>
      <c r="AH372" s="94"/>
      <c r="AI372" s="94"/>
    </row>
    <row r="373" spans="1:35" ht="15.75" customHeight="1" x14ac:dyDescent="0.35">
      <c r="A373" s="104"/>
      <c r="B373" s="4"/>
      <c r="D373" s="119"/>
      <c r="I373" s="94"/>
      <c r="Q373" s="94"/>
      <c r="R373" s="121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G373" s="94"/>
      <c r="AH373" s="94"/>
      <c r="AI373" s="94"/>
    </row>
    <row r="374" spans="1:35" ht="15.75" customHeight="1" x14ac:dyDescent="0.35">
      <c r="A374" s="104"/>
      <c r="B374" s="4"/>
      <c r="D374" s="119"/>
      <c r="I374" s="94"/>
      <c r="Q374" s="94"/>
      <c r="R374" s="121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G374" s="94"/>
      <c r="AH374" s="94"/>
      <c r="AI374" s="94"/>
    </row>
    <row r="375" spans="1:35" ht="15.75" customHeight="1" x14ac:dyDescent="0.35">
      <c r="A375" s="104"/>
      <c r="B375" s="4"/>
      <c r="D375" s="119"/>
      <c r="I375" s="94"/>
      <c r="Q375" s="94"/>
      <c r="R375" s="121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G375" s="94"/>
      <c r="AH375" s="94"/>
      <c r="AI375" s="94"/>
    </row>
    <row r="376" spans="1:35" ht="15.75" customHeight="1" x14ac:dyDescent="0.35">
      <c r="A376" s="104"/>
      <c r="B376" s="4"/>
      <c r="D376" s="119"/>
      <c r="I376" s="94"/>
      <c r="Q376" s="94"/>
      <c r="R376" s="121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G376" s="94"/>
      <c r="AH376" s="94"/>
      <c r="AI376" s="94"/>
    </row>
    <row r="377" spans="1:35" ht="15.75" customHeight="1" x14ac:dyDescent="0.35">
      <c r="A377" s="104"/>
      <c r="B377" s="4"/>
      <c r="D377" s="119"/>
      <c r="I377" s="94"/>
      <c r="Q377" s="94"/>
      <c r="R377" s="121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G377" s="94"/>
      <c r="AH377" s="94"/>
      <c r="AI377" s="94"/>
    </row>
    <row r="378" spans="1:35" ht="15.75" customHeight="1" x14ac:dyDescent="0.35">
      <c r="A378" s="104"/>
      <c r="B378" s="4"/>
      <c r="D378" s="119"/>
      <c r="I378" s="94"/>
      <c r="Q378" s="94"/>
      <c r="R378" s="121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G378" s="94"/>
      <c r="AH378" s="94"/>
      <c r="AI378" s="94"/>
    </row>
    <row r="379" spans="1:35" ht="15.75" customHeight="1" x14ac:dyDescent="0.35">
      <c r="A379" s="104"/>
      <c r="B379" s="4"/>
      <c r="D379" s="119"/>
      <c r="I379" s="94"/>
      <c r="Q379" s="94"/>
      <c r="R379" s="121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G379" s="94"/>
      <c r="AH379" s="94"/>
      <c r="AI379" s="94"/>
    </row>
    <row r="380" spans="1:35" ht="15.75" customHeight="1" x14ac:dyDescent="0.35">
      <c r="A380" s="104"/>
      <c r="B380" s="4"/>
      <c r="D380" s="119"/>
      <c r="I380" s="94"/>
      <c r="Q380" s="94"/>
      <c r="R380" s="121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G380" s="94"/>
      <c r="AH380" s="94"/>
      <c r="AI380" s="94"/>
    </row>
    <row r="381" spans="1:35" ht="15.75" customHeight="1" x14ac:dyDescent="0.35">
      <c r="A381" s="104"/>
      <c r="B381" s="4"/>
      <c r="D381" s="119"/>
      <c r="I381" s="94"/>
      <c r="Q381" s="94"/>
      <c r="R381" s="121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G381" s="94"/>
      <c r="AH381" s="94"/>
      <c r="AI381" s="94"/>
    </row>
    <row r="382" spans="1:35" ht="15.75" customHeight="1" x14ac:dyDescent="0.35">
      <c r="A382" s="104"/>
      <c r="B382" s="4"/>
      <c r="D382" s="119"/>
      <c r="I382" s="94"/>
      <c r="Q382" s="94"/>
      <c r="R382" s="121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G382" s="94"/>
      <c r="AH382" s="94"/>
      <c r="AI382" s="94"/>
    </row>
    <row r="383" spans="1:35" ht="15.75" customHeight="1" x14ac:dyDescent="0.35">
      <c r="A383" s="104"/>
      <c r="B383" s="4"/>
      <c r="D383" s="119"/>
      <c r="I383" s="94"/>
      <c r="Q383" s="94"/>
      <c r="R383" s="121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G383" s="94"/>
      <c r="AH383" s="94"/>
      <c r="AI383" s="94"/>
    </row>
    <row r="384" spans="1:35" ht="15.75" customHeight="1" x14ac:dyDescent="0.35">
      <c r="A384" s="104"/>
      <c r="B384" s="4"/>
      <c r="D384" s="119"/>
      <c r="I384" s="94"/>
      <c r="Q384" s="94"/>
      <c r="R384" s="121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G384" s="94"/>
      <c r="AH384" s="94"/>
      <c r="AI384" s="94"/>
    </row>
    <row r="385" spans="1:35" ht="15.75" customHeight="1" x14ac:dyDescent="0.35">
      <c r="A385" s="104"/>
      <c r="B385" s="4"/>
      <c r="D385" s="119"/>
      <c r="I385" s="94"/>
      <c r="Q385" s="94"/>
      <c r="R385" s="121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G385" s="94"/>
      <c r="AH385" s="94"/>
      <c r="AI385" s="94"/>
    </row>
    <row r="386" spans="1:35" ht="15.75" customHeight="1" x14ac:dyDescent="0.35">
      <c r="A386" s="104"/>
      <c r="B386" s="4"/>
      <c r="D386" s="119"/>
      <c r="I386" s="94"/>
      <c r="Q386" s="94"/>
      <c r="R386" s="121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G386" s="94"/>
      <c r="AH386" s="94"/>
      <c r="AI386" s="94"/>
    </row>
    <row r="387" spans="1:35" ht="15.75" customHeight="1" x14ac:dyDescent="0.35">
      <c r="A387" s="104"/>
      <c r="B387" s="4"/>
      <c r="D387" s="119"/>
      <c r="I387" s="94"/>
      <c r="Q387" s="94"/>
      <c r="R387" s="121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G387" s="94"/>
      <c r="AH387" s="94"/>
      <c r="AI387" s="94"/>
    </row>
    <row r="388" spans="1:35" ht="15.75" customHeight="1" x14ac:dyDescent="0.35">
      <c r="A388" s="104"/>
      <c r="B388" s="4"/>
      <c r="D388" s="119"/>
      <c r="I388" s="94"/>
      <c r="Q388" s="94"/>
      <c r="R388" s="121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G388" s="94"/>
      <c r="AH388" s="94"/>
      <c r="AI388" s="94"/>
    </row>
    <row r="389" spans="1:35" ht="15.75" customHeight="1" x14ac:dyDescent="0.35">
      <c r="A389" s="104"/>
      <c r="B389" s="4"/>
      <c r="D389" s="119"/>
      <c r="I389" s="94"/>
      <c r="Q389" s="94"/>
      <c r="R389" s="121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G389" s="94"/>
      <c r="AH389" s="94"/>
      <c r="AI389" s="94"/>
    </row>
    <row r="390" spans="1:35" ht="15.75" customHeight="1" x14ac:dyDescent="0.35">
      <c r="A390" s="104"/>
      <c r="B390" s="4"/>
      <c r="D390" s="119"/>
      <c r="I390" s="94"/>
      <c r="Q390" s="94"/>
      <c r="R390" s="121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G390" s="94"/>
      <c r="AH390" s="94"/>
      <c r="AI390" s="94"/>
    </row>
    <row r="391" spans="1:35" ht="15.75" customHeight="1" x14ac:dyDescent="0.35">
      <c r="A391" s="104"/>
      <c r="B391" s="4"/>
      <c r="D391" s="119"/>
      <c r="I391" s="94"/>
      <c r="Q391" s="94"/>
      <c r="R391" s="121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G391" s="94"/>
      <c r="AH391" s="94"/>
      <c r="AI391" s="94"/>
    </row>
    <row r="392" spans="1:35" ht="15.75" customHeight="1" x14ac:dyDescent="0.35">
      <c r="A392" s="104"/>
      <c r="B392" s="4"/>
      <c r="D392" s="119"/>
      <c r="I392" s="94"/>
      <c r="Q392" s="94"/>
      <c r="R392" s="121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G392" s="94"/>
      <c r="AH392" s="94"/>
      <c r="AI392" s="94"/>
    </row>
    <row r="393" spans="1:35" ht="15.75" customHeight="1" x14ac:dyDescent="0.35">
      <c r="A393" s="104"/>
      <c r="B393" s="4"/>
      <c r="D393" s="119"/>
      <c r="I393" s="94"/>
      <c r="Q393" s="94"/>
      <c r="R393" s="121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G393" s="94"/>
      <c r="AH393" s="94"/>
      <c r="AI393" s="94"/>
    </row>
    <row r="394" spans="1:35" ht="15.75" customHeight="1" x14ac:dyDescent="0.35">
      <c r="A394" s="104"/>
      <c r="B394" s="4"/>
      <c r="D394" s="119"/>
      <c r="I394" s="94"/>
      <c r="Q394" s="94"/>
      <c r="R394" s="121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G394" s="94"/>
      <c r="AH394" s="94"/>
      <c r="AI394" s="94"/>
    </row>
    <row r="395" spans="1:35" ht="15.75" customHeight="1" x14ac:dyDescent="0.35">
      <c r="A395" s="104"/>
      <c r="B395" s="4"/>
      <c r="D395" s="119"/>
      <c r="I395" s="94"/>
      <c r="Q395" s="94"/>
      <c r="R395" s="121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G395" s="94"/>
      <c r="AH395" s="94"/>
      <c r="AI395" s="94"/>
    </row>
    <row r="396" spans="1:35" ht="15.75" customHeight="1" x14ac:dyDescent="0.35">
      <c r="A396" s="104"/>
      <c r="B396" s="4"/>
      <c r="D396" s="119"/>
      <c r="I396" s="94"/>
      <c r="Q396" s="94"/>
      <c r="R396" s="121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G396" s="94"/>
      <c r="AH396" s="94"/>
      <c r="AI396" s="94"/>
    </row>
    <row r="397" spans="1:35" ht="15.75" customHeight="1" x14ac:dyDescent="0.35">
      <c r="A397" s="104"/>
      <c r="B397" s="4"/>
      <c r="D397" s="119"/>
      <c r="I397" s="94"/>
      <c r="Q397" s="94"/>
      <c r="R397" s="121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G397" s="94"/>
      <c r="AH397" s="94"/>
      <c r="AI397" s="94"/>
    </row>
    <row r="398" spans="1:35" ht="15.75" customHeight="1" x14ac:dyDescent="0.35">
      <c r="A398" s="104"/>
      <c r="B398" s="4"/>
      <c r="D398" s="119"/>
      <c r="I398" s="94"/>
      <c r="Q398" s="94"/>
      <c r="R398" s="121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G398" s="94"/>
      <c r="AH398" s="94"/>
      <c r="AI398" s="94"/>
    </row>
    <row r="399" spans="1:35" ht="15.75" customHeight="1" x14ac:dyDescent="0.35">
      <c r="A399" s="104"/>
      <c r="B399" s="4"/>
      <c r="D399" s="119"/>
      <c r="I399" s="94"/>
      <c r="Q399" s="94"/>
      <c r="R399" s="121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G399" s="94"/>
      <c r="AH399" s="94"/>
      <c r="AI399" s="94"/>
    </row>
    <row r="400" spans="1:35" ht="15.75" customHeight="1" x14ac:dyDescent="0.35">
      <c r="A400" s="104"/>
      <c r="B400" s="4"/>
      <c r="D400" s="119"/>
      <c r="I400" s="94"/>
      <c r="Q400" s="94"/>
      <c r="R400" s="121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G400" s="94"/>
      <c r="AH400" s="94"/>
      <c r="AI400" s="94"/>
    </row>
    <row r="401" spans="1:35" ht="15.75" customHeight="1" x14ac:dyDescent="0.35">
      <c r="A401" s="104"/>
      <c r="B401" s="4"/>
      <c r="D401" s="119"/>
      <c r="I401" s="94"/>
      <c r="Q401" s="94"/>
      <c r="R401" s="121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G401" s="94"/>
      <c r="AH401" s="94"/>
      <c r="AI401" s="94"/>
    </row>
    <row r="402" spans="1:35" ht="15.75" customHeight="1" x14ac:dyDescent="0.35">
      <c r="A402" s="104"/>
      <c r="B402" s="4"/>
      <c r="D402" s="119"/>
      <c r="I402" s="94"/>
      <c r="Q402" s="94"/>
      <c r="R402" s="121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G402" s="94"/>
      <c r="AH402" s="94"/>
      <c r="AI402" s="94"/>
    </row>
    <row r="403" spans="1:35" ht="15.75" customHeight="1" x14ac:dyDescent="0.35">
      <c r="A403" s="104"/>
      <c r="B403" s="4"/>
      <c r="D403" s="119"/>
      <c r="I403" s="94"/>
      <c r="Q403" s="94"/>
      <c r="R403" s="121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G403" s="94"/>
      <c r="AH403" s="94"/>
      <c r="AI403" s="94"/>
    </row>
    <row r="404" spans="1:35" ht="15.75" customHeight="1" x14ac:dyDescent="0.35">
      <c r="A404" s="104"/>
      <c r="B404" s="4"/>
      <c r="D404" s="119"/>
      <c r="I404" s="94"/>
      <c r="Q404" s="94"/>
      <c r="R404" s="121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G404" s="94"/>
      <c r="AH404" s="94"/>
      <c r="AI404" s="94"/>
    </row>
    <row r="405" spans="1:35" ht="15.75" customHeight="1" x14ac:dyDescent="0.35">
      <c r="A405" s="104"/>
      <c r="B405" s="4"/>
      <c r="D405" s="119"/>
      <c r="I405" s="94"/>
      <c r="Q405" s="94"/>
      <c r="R405" s="121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G405" s="94"/>
      <c r="AH405" s="94"/>
      <c r="AI405" s="94"/>
    </row>
    <row r="406" spans="1:35" ht="15.75" customHeight="1" x14ac:dyDescent="0.35">
      <c r="A406" s="104"/>
      <c r="B406" s="4"/>
      <c r="D406" s="119"/>
      <c r="I406" s="94"/>
      <c r="Q406" s="94"/>
      <c r="R406" s="121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G406" s="94"/>
      <c r="AH406" s="94"/>
      <c r="AI406" s="94"/>
    </row>
    <row r="407" spans="1:35" ht="15.75" customHeight="1" x14ac:dyDescent="0.35">
      <c r="A407" s="104"/>
      <c r="B407" s="4"/>
      <c r="D407" s="119"/>
      <c r="I407" s="94"/>
      <c r="Q407" s="94"/>
      <c r="R407" s="121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G407" s="94"/>
      <c r="AH407" s="94"/>
      <c r="AI407" s="94"/>
    </row>
    <row r="408" spans="1:35" ht="15.75" customHeight="1" x14ac:dyDescent="0.35">
      <c r="A408" s="104"/>
      <c r="B408" s="4"/>
      <c r="D408" s="119"/>
      <c r="I408" s="94"/>
      <c r="Q408" s="94"/>
      <c r="R408" s="121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G408" s="94"/>
      <c r="AH408" s="94"/>
      <c r="AI408" s="94"/>
    </row>
    <row r="409" spans="1:35" ht="15.75" customHeight="1" x14ac:dyDescent="0.35">
      <c r="A409" s="104"/>
      <c r="B409" s="4"/>
      <c r="D409" s="119"/>
      <c r="I409" s="94"/>
      <c r="Q409" s="94"/>
      <c r="R409" s="121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G409" s="94"/>
      <c r="AH409" s="94"/>
      <c r="AI409" s="94"/>
    </row>
    <row r="410" spans="1:35" ht="15.75" customHeight="1" x14ac:dyDescent="0.35">
      <c r="A410" s="104"/>
      <c r="B410" s="4"/>
      <c r="D410" s="119"/>
      <c r="I410" s="94"/>
      <c r="Q410" s="94"/>
      <c r="R410" s="121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G410" s="94"/>
      <c r="AH410" s="94"/>
      <c r="AI410" s="94"/>
    </row>
    <row r="411" spans="1:35" ht="15.75" customHeight="1" x14ac:dyDescent="0.35">
      <c r="A411" s="104"/>
      <c r="B411" s="4"/>
      <c r="D411" s="119"/>
      <c r="I411" s="94"/>
      <c r="Q411" s="94"/>
      <c r="R411" s="121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G411" s="94"/>
      <c r="AH411" s="94"/>
      <c r="AI411" s="94"/>
    </row>
    <row r="412" spans="1:35" ht="15.75" customHeight="1" x14ac:dyDescent="0.35">
      <c r="A412" s="104"/>
      <c r="B412" s="4"/>
      <c r="D412" s="119"/>
      <c r="I412" s="94"/>
      <c r="Q412" s="94"/>
      <c r="R412" s="121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G412" s="94"/>
      <c r="AH412" s="94"/>
      <c r="AI412" s="94"/>
    </row>
    <row r="413" spans="1:35" ht="15.75" customHeight="1" x14ac:dyDescent="0.35">
      <c r="A413" s="104"/>
      <c r="B413" s="4"/>
      <c r="D413" s="119"/>
      <c r="I413" s="94"/>
      <c r="Q413" s="94"/>
      <c r="R413" s="121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G413" s="94"/>
      <c r="AH413" s="94"/>
      <c r="AI413" s="94"/>
    </row>
    <row r="414" spans="1:35" ht="15.75" customHeight="1" x14ac:dyDescent="0.35">
      <c r="A414" s="104"/>
      <c r="B414" s="4"/>
      <c r="D414" s="119"/>
      <c r="I414" s="94"/>
      <c r="Q414" s="94"/>
      <c r="R414" s="121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G414" s="94"/>
      <c r="AH414" s="94"/>
      <c r="AI414" s="94"/>
    </row>
    <row r="415" spans="1:35" ht="15.75" customHeight="1" x14ac:dyDescent="0.35">
      <c r="A415" s="104"/>
      <c r="B415" s="4"/>
      <c r="D415" s="119"/>
      <c r="I415" s="94"/>
      <c r="Q415" s="94"/>
      <c r="R415" s="121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G415" s="94"/>
      <c r="AH415" s="94"/>
      <c r="AI415" s="94"/>
    </row>
    <row r="416" spans="1:35" ht="15.75" customHeight="1" x14ac:dyDescent="0.35">
      <c r="A416" s="104"/>
      <c r="B416" s="4"/>
      <c r="D416" s="119"/>
      <c r="I416" s="94"/>
      <c r="Q416" s="94"/>
      <c r="R416" s="121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G416" s="94"/>
      <c r="AH416" s="94"/>
      <c r="AI416" s="94"/>
    </row>
    <row r="417" spans="1:35" ht="15.75" customHeight="1" x14ac:dyDescent="0.35">
      <c r="A417" s="104"/>
      <c r="B417" s="4"/>
      <c r="D417" s="119"/>
      <c r="I417" s="94"/>
      <c r="Q417" s="94"/>
      <c r="R417" s="121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G417" s="94"/>
      <c r="AH417" s="94"/>
      <c r="AI417" s="94"/>
    </row>
    <row r="418" spans="1:35" ht="15.75" customHeight="1" x14ac:dyDescent="0.35">
      <c r="A418" s="104"/>
      <c r="B418" s="4"/>
      <c r="D418" s="119"/>
      <c r="I418" s="94"/>
      <c r="Q418" s="94"/>
      <c r="R418" s="121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G418" s="94"/>
      <c r="AH418" s="94"/>
      <c r="AI418" s="94"/>
    </row>
    <row r="419" spans="1:35" ht="15.75" customHeight="1" x14ac:dyDescent="0.35">
      <c r="A419" s="104"/>
      <c r="B419" s="4"/>
      <c r="D419" s="119"/>
      <c r="I419" s="94"/>
      <c r="Q419" s="94"/>
      <c r="R419" s="121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G419" s="94"/>
      <c r="AH419" s="94"/>
      <c r="AI419" s="94"/>
    </row>
    <row r="420" spans="1:35" ht="15.75" customHeight="1" x14ac:dyDescent="0.35">
      <c r="A420" s="104"/>
      <c r="B420" s="4"/>
      <c r="D420" s="119"/>
      <c r="I420" s="94"/>
      <c r="Q420" s="94"/>
      <c r="R420" s="121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G420" s="94"/>
      <c r="AH420" s="94"/>
      <c r="AI420" s="94"/>
    </row>
    <row r="421" spans="1:35" ht="15.75" customHeight="1" x14ac:dyDescent="0.35">
      <c r="A421" s="104"/>
      <c r="B421" s="4"/>
      <c r="D421" s="119"/>
      <c r="I421" s="94"/>
      <c r="Q421" s="94"/>
      <c r="R421" s="121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G421" s="94"/>
      <c r="AH421" s="94"/>
      <c r="AI421" s="94"/>
    </row>
    <row r="422" spans="1:35" ht="15.75" customHeight="1" x14ac:dyDescent="0.35">
      <c r="A422" s="104"/>
      <c r="B422" s="4"/>
      <c r="D422" s="119"/>
      <c r="I422" s="94"/>
      <c r="Q422" s="94"/>
      <c r="R422" s="121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G422" s="94"/>
      <c r="AH422" s="94"/>
      <c r="AI422" s="94"/>
    </row>
    <row r="423" spans="1:35" ht="15.75" customHeight="1" x14ac:dyDescent="0.35">
      <c r="A423" s="104"/>
      <c r="B423" s="4"/>
      <c r="D423" s="119"/>
      <c r="I423" s="94"/>
      <c r="Q423" s="94"/>
      <c r="R423" s="121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G423" s="94"/>
      <c r="AH423" s="94"/>
      <c r="AI423" s="94"/>
    </row>
    <row r="424" spans="1:35" ht="15.75" customHeight="1" x14ac:dyDescent="0.35">
      <c r="A424" s="104"/>
      <c r="B424" s="4"/>
      <c r="D424" s="119"/>
      <c r="I424" s="94"/>
      <c r="Q424" s="94"/>
      <c r="R424" s="121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G424" s="94"/>
      <c r="AH424" s="94"/>
      <c r="AI424" s="94"/>
    </row>
    <row r="425" spans="1:35" ht="15.75" customHeight="1" x14ac:dyDescent="0.35">
      <c r="A425" s="104"/>
      <c r="B425" s="4"/>
      <c r="D425" s="119"/>
      <c r="I425" s="94"/>
      <c r="Q425" s="94"/>
      <c r="R425" s="121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G425" s="94"/>
      <c r="AH425" s="94"/>
      <c r="AI425" s="94"/>
    </row>
    <row r="426" spans="1:35" ht="15.75" customHeight="1" x14ac:dyDescent="0.35">
      <c r="A426" s="104"/>
      <c r="B426" s="4"/>
      <c r="D426" s="119"/>
      <c r="I426" s="94"/>
      <c r="Q426" s="94"/>
      <c r="R426" s="121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G426" s="94"/>
      <c r="AH426" s="94"/>
      <c r="AI426" s="94"/>
    </row>
    <row r="427" spans="1:35" ht="15.75" customHeight="1" x14ac:dyDescent="0.35">
      <c r="A427" s="104"/>
      <c r="B427" s="4"/>
      <c r="D427" s="119"/>
      <c r="I427" s="94"/>
      <c r="Q427" s="94"/>
      <c r="R427" s="121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G427" s="94"/>
      <c r="AH427" s="94"/>
      <c r="AI427" s="94"/>
    </row>
    <row r="428" spans="1:35" ht="15.75" customHeight="1" x14ac:dyDescent="0.35">
      <c r="A428" s="104"/>
      <c r="B428" s="4"/>
      <c r="D428" s="119"/>
      <c r="I428" s="94"/>
      <c r="Q428" s="94"/>
      <c r="R428" s="121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G428" s="94"/>
      <c r="AH428" s="94"/>
      <c r="AI428" s="94"/>
    </row>
    <row r="429" spans="1:35" ht="15.75" customHeight="1" x14ac:dyDescent="0.35">
      <c r="A429" s="104"/>
      <c r="B429" s="4"/>
      <c r="D429" s="119"/>
      <c r="I429" s="94"/>
      <c r="Q429" s="94"/>
      <c r="R429" s="121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G429" s="94"/>
      <c r="AH429" s="94"/>
      <c r="AI429" s="94"/>
    </row>
    <row r="430" spans="1:35" ht="15.75" customHeight="1" x14ac:dyDescent="0.35">
      <c r="A430" s="104"/>
      <c r="B430" s="4"/>
      <c r="D430" s="119"/>
      <c r="I430" s="94"/>
      <c r="Q430" s="94"/>
      <c r="R430" s="121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G430" s="94"/>
      <c r="AH430" s="94"/>
      <c r="AI430" s="94"/>
    </row>
    <row r="431" spans="1:35" ht="15.75" customHeight="1" x14ac:dyDescent="0.35">
      <c r="A431" s="104"/>
      <c r="B431" s="4"/>
      <c r="D431" s="119"/>
      <c r="I431" s="94"/>
      <c r="Q431" s="94"/>
      <c r="R431" s="121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G431" s="94"/>
      <c r="AH431" s="94"/>
      <c r="AI431" s="94"/>
    </row>
    <row r="432" spans="1:35" ht="15.75" customHeight="1" x14ac:dyDescent="0.35">
      <c r="A432" s="104"/>
      <c r="B432" s="4"/>
      <c r="D432" s="119"/>
      <c r="I432" s="94"/>
      <c r="Q432" s="94"/>
      <c r="R432" s="121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G432" s="94"/>
      <c r="AH432" s="94"/>
      <c r="AI432" s="94"/>
    </row>
    <row r="433" spans="1:35" ht="15.75" customHeight="1" x14ac:dyDescent="0.35">
      <c r="A433" s="104"/>
      <c r="B433" s="4"/>
      <c r="D433" s="119"/>
      <c r="I433" s="94"/>
      <c r="Q433" s="94"/>
      <c r="R433" s="121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G433" s="94"/>
      <c r="AH433" s="94"/>
      <c r="AI433" s="94"/>
    </row>
    <row r="434" spans="1:35" ht="15.75" customHeight="1" x14ac:dyDescent="0.35">
      <c r="A434" s="104"/>
      <c r="B434" s="4"/>
      <c r="D434" s="119"/>
      <c r="I434" s="94"/>
      <c r="Q434" s="94"/>
      <c r="R434" s="121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G434" s="94"/>
      <c r="AH434" s="94"/>
      <c r="AI434" s="94"/>
    </row>
    <row r="435" spans="1:35" ht="15.75" customHeight="1" x14ac:dyDescent="0.35">
      <c r="A435" s="104"/>
      <c r="B435" s="4"/>
      <c r="D435" s="119"/>
      <c r="I435" s="94"/>
      <c r="Q435" s="94"/>
      <c r="R435" s="121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G435" s="94"/>
      <c r="AH435" s="94"/>
      <c r="AI435" s="94"/>
    </row>
    <row r="436" spans="1:35" ht="15.75" customHeight="1" x14ac:dyDescent="0.35">
      <c r="A436" s="104"/>
      <c r="B436" s="4"/>
      <c r="D436" s="119"/>
      <c r="I436" s="94"/>
      <c r="Q436" s="94"/>
      <c r="R436" s="121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G436" s="94"/>
      <c r="AH436" s="94"/>
      <c r="AI436" s="94"/>
    </row>
    <row r="437" spans="1:35" ht="15.75" customHeight="1" x14ac:dyDescent="0.35">
      <c r="A437" s="104"/>
      <c r="B437" s="4"/>
      <c r="D437" s="119"/>
      <c r="I437" s="94"/>
      <c r="Q437" s="94"/>
      <c r="R437" s="121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G437" s="94"/>
      <c r="AH437" s="94"/>
      <c r="AI437" s="94"/>
    </row>
    <row r="438" spans="1:35" ht="15.75" customHeight="1" x14ac:dyDescent="0.35">
      <c r="A438" s="104"/>
      <c r="B438" s="4"/>
      <c r="D438" s="119"/>
      <c r="I438" s="94"/>
      <c r="Q438" s="94"/>
      <c r="R438" s="121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G438" s="94"/>
      <c r="AH438" s="94"/>
      <c r="AI438" s="94"/>
    </row>
    <row r="439" spans="1:35" ht="15.75" customHeight="1" x14ac:dyDescent="0.35">
      <c r="A439" s="104"/>
      <c r="B439" s="4"/>
      <c r="D439" s="119"/>
      <c r="I439" s="94"/>
      <c r="Q439" s="94"/>
      <c r="R439" s="121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G439" s="94"/>
      <c r="AH439" s="94"/>
      <c r="AI439" s="94"/>
    </row>
    <row r="440" spans="1:35" ht="15.75" customHeight="1" x14ac:dyDescent="0.35">
      <c r="A440" s="104"/>
      <c r="B440" s="4"/>
      <c r="D440" s="119"/>
      <c r="I440" s="94"/>
      <c r="Q440" s="94"/>
      <c r="R440" s="121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G440" s="94"/>
      <c r="AH440" s="94"/>
      <c r="AI440" s="94"/>
    </row>
    <row r="441" spans="1:35" ht="15.75" customHeight="1" x14ac:dyDescent="0.35">
      <c r="A441" s="104"/>
      <c r="B441" s="4"/>
      <c r="D441" s="119"/>
      <c r="I441" s="94"/>
      <c r="Q441" s="94"/>
      <c r="R441" s="121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G441" s="94"/>
      <c r="AH441" s="94"/>
      <c r="AI441" s="94"/>
    </row>
    <row r="442" spans="1:35" ht="15.75" customHeight="1" x14ac:dyDescent="0.35">
      <c r="A442" s="104"/>
      <c r="B442" s="4"/>
      <c r="D442" s="119"/>
      <c r="I442" s="94"/>
      <c r="Q442" s="94"/>
      <c r="R442" s="121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G442" s="94"/>
      <c r="AH442" s="94"/>
      <c r="AI442" s="94"/>
    </row>
    <row r="443" spans="1:35" ht="15.75" customHeight="1" x14ac:dyDescent="0.35">
      <c r="A443" s="104"/>
      <c r="B443" s="4"/>
      <c r="D443" s="119"/>
      <c r="I443" s="94"/>
      <c r="Q443" s="94"/>
      <c r="R443" s="121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G443" s="94"/>
      <c r="AH443" s="94"/>
      <c r="AI443" s="94"/>
    </row>
    <row r="444" spans="1:35" ht="15.75" customHeight="1" x14ac:dyDescent="0.35">
      <c r="A444" s="104"/>
      <c r="B444" s="4"/>
      <c r="D444" s="119"/>
      <c r="I444" s="94"/>
      <c r="Q444" s="94"/>
      <c r="R444" s="121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G444" s="94"/>
      <c r="AH444" s="94"/>
      <c r="AI444" s="94"/>
    </row>
    <row r="445" spans="1:35" ht="15.75" customHeight="1" x14ac:dyDescent="0.35">
      <c r="A445" s="104"/>
      <c r="B445" s="4"/>
      <c r="D445" s="119"/>
      <c r="I445" s="94"/>
      <c r="Q445" s="94"/>
      <c r="R445" s="121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G445" s="94"/>
      <c r="AH445" s="94"/>
      <c r="AI445" s="94"/>
    </row>
    <row r="446" spans="1:35" ht="15.75" customHeight="1" x14ac:dyDescent="0.35">
      <c r="A446" s="104"/>
      <c r="B446" s="4"/>
      <c r="D446" s="119"/>
      <c r="I446" s="94"/>
      <c r="Q446" s="94"/>
      <c r="R446" s="121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G446" s="94"/>
      <c r="AH446" s="94"/>
      <c r="AI446" s="94"/>
    </row>
    <row r="447" spans="1:35" ht="15.75" customHeight="1" x14ac:dyDescent="0.35">
      <c r="A447" s="104"/>
      <c r="B447" s="4"/>
      <c r="D447" s="119"/>
      <c r="I447" s="94"/>
      <c r="Q447" s="94"/>
      <c r="R447" s="121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G447" s="94"/>
      <c r="AH447" s="94"/>
      <c r="AI447" s="94"/>
    </row>
    <row r="448" spans="1:35" ht="15.75" customHeight="1" x14ac:dyDescent="0.35">
      <c r="A448" s="104"/>
      <c r="B448" s="4"/>
      <c r="D448" s="119"/>
      <c r="I448" s="94"/>
      <c r="Q448" s="94"/>
      <c r="R448" s="121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G448" s="94"/>
      <c r="AH448" s="94"/>
      <c r="AI448" s="94"/>
    </row>
    <row r="449" spans="1:35" ht="15.75" customHeight="1" x14ac:dyDescent="0.35">
      <c r="A449" s="104"/>
      <c r="B449" s="4"/>
      <c r="D449" s="119"/>
      <c r="I449" s="94"/>
      <c r="Q449" s="94"/>
      <c r="R449" s="121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G449" s="94"/>
      <c r="AH449" s="94"/>
      <c r="AI449" s="94"/>
    </row>
    <row r="450" spans="1:35" ht="15.75" customHeight="1" x14ac:dyDescent="0.35">
      <c r="A450" s="104"/>
      <c r="B450" s="4"/>
      <c r="D450" s="119"/>
      <c r="I450" s="94"/>
      <c r="Q450" s="94"/>
      <c r="R450" s="121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G450" s="94"/>
      <c r="AH450" s="94"/>
      <c r="AI450" s="94"/>
    </row>
    <row r="451" spans="1:35" ht="15.75" customHeight="1" x14ac:dyDescent="0.35">
      <c r="A451" s="104"/>
      <c r="B451" s="4"/>
      <c r="D451" s="119"/>
      <c r="I451" s="94"/>
      <c r="Q451" s="94"/>
      <c r="R451" s="121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G451" s="94"/>
      <c r="AH451" s="94"/>
      <c r="AI451" s="94"/>
    </row>
    <row r="452" spans="1:35" ht="15.75" customHeight="1" x14ac:dyDescent="0.35">
      <c r="A452" s="104"/>
      <c r="B452" s="4"/>
      <c r="D452" s="119"/>
      <c r="I452" s="94"/>
      <c r="Q452" s="94"/>
      <c r="R452" s="121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G452" s="94"/>
      <c r="AH452" s="94"/>
      <c r="AI452" s="94"/>
    </row>
    <row r="453" spans="1:35" ht="15.75" customHeight="1" x14ac:dyDescent="0.35">
      <c r="A453" s="104"/>
      <c r="B453" s="4"/>
      <c r="D453" s="119"/>
      <c r="I453" s="94"/>
      <c r="Q453" s="94"/>
      <c r="R453" s="121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G453" s="94"/>
      <c r="AH453" s="94"/>
      <c r="AI453" s="94"/>
    </row>
    <row r="454" spans="1:35" ht="15.75" customHeight="1" x14ac:dyDescent="0.35">
      <c r="A454" s="104"/>
      <c r="B454" s="4"/>
      <c r="D454" s="119"/>
      <c r="I454" s="94"/>
      <c r="Q454" s="94"/>
      <c r="R454" s="121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G454" s="94"/>
      <c r="AH454" s="94"/>
      <c r="AI454" s="94"/>
    </row>
    <row r="455" spans="1:35" ht="15.75" customHeight="1" x14ac:dyDescent="0.35">
      <c r="A455" s="104"/>
      <c r="B455" s="4"/>
      <c r="D455" s="119"/>
      <c r="I455" s="94"/>
      <c r="Q455" s="94"/>
      <c r="R455" s="121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G455" s="94"/>
      <c r="AH455" s="94"/>
      <c r="AI455" s="94"/>
    </row>
    <row r="456" spans="1:35" ht="15.75" customHeight="1" x14ac:dyDescent="0.35">
      <c r="A456" s="104"/>
      <c r="B456" s="4"/>
      <c r="D456" s="119"/>
      <c r="I456" s="94"/>
      <c r="Q456" s="94"/>
      <c r="R456" s="121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G456" s="94"/>
      <c r="AH456" s="94"/>
      <c r="AI456" s="94"/>
    </row>
    <row r="457" spans="1:35" ht="15.75" customHeight="1" x14ac:dyDescent="0.35">
      <c r="A457" s="104"/>
      <c r="B457" s="4"/>
      <c r="D457" s="119"/>
      <c r="I457" s="94"/>
      <c r="Q457" s="94"/>
      <c r="R457" s="121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G457" s="94"/>
      <c r="AH457" s="94"/>
      <c r="AI457" s="94"/>
    </row>
    <row r="458" spans="1:35" ht="15.75" customHeight="1" x14ac:dyDescent="0.35">
      <c r="A458" s="104"/>
      <c r="B458" s="4"/>
      <c r="D458" s="119"/>
      <c r="I458" s="94"/>
      <c r="Q458" s="94"/>
      <c r="R458" s="121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G458" s="94"/>
      <c r="AH458" s="94"/>
      <c r="AI458" s="94"/>
    </row>
    <row r="459" spans="1:35" ht="15.75" customHeight="1" x14ac:dyDescent="0.35">
      <c r="A459" s="104"/>
      <c r="B459" s="4"/>
      <c r="D459" s="119"/>
      <c r="I459" s="94"/>
      <c r="Q459" s="94"/>
      <c r="R459" s="121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G459" s="94"/>
      <c r="AH459" s="94"/>
      <c r="AI459" s="94"/>
    </row>
    <row r="460" spans="1:35" ht="15.75" customHeight="1" x14ac:dyDescent="0.35">
      <c r="A460" s="104"/>
      <c r="B460" s="4"/>
      <c r="D460" s="119"/>
      <c r="I460" s="94"/>
      <c r="Q460" s="94"/>
      <c r="R460" s="121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G460" s="94"/>
      <c r="AH460" s="94"/>
      <c r="AI460" s="94"/>
    </row>
    <row r="461" spans="1:35" ht="15.75" customHeight="1" x14ac:dyDescent="0.35">
      <c r="A461" s="104"/>
      <c r="B461" s="4"/>
      <c r="D461" s="119"/>
      <c r="I461" s="94"/>
      <c r="Q461" s="94"/>
      <c r="R461" s="121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G461" s="94"/>
      <c r="AH461" s="94"/>
      <c r="AI461" s="94"/>
    </row>
    <row r="462" spans="1:35" ht="15.75" customHeight="1" x14ac:dyDescent="0.35">
      <c r="A462" s="104"/>
      <c r="B462" s="4"/>
      <c r="D462" s="119"/>
      <c r="I462" s="94"/>
      <c r="Q462" s="94"/>
      <c r="R462" s="121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G462" s="94"/>
      <c r="AH462" s="94"/>
      <c r="AI462" s="94"/>
    </row>
    <row r="463" spans="1:35" ht="15.75" customHeight="1" x14ac:dyDescent="0.35">
      <c r="A463" s="104"/>
      <c r="B463" s="4"/>
      <c r="D463" s="119"/>
      <c r="I463" s="94"/>
      <c r="Q463" s="94"/>
      <c r="R463" s="121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G463" s="94"/>
      <c r="AH463" s="94"/>
      <c r="AI463" s="94"/>
    </row>
    <row r="464" spans="1:35" ht="15.75" customHeight="1" x14ac:dyDescent="0.35">
      <c r="A464" s="104"/>
      <c r="B464" s="4"/>
      <c r="D464" s="119"/>
      <c r="I464" s="94"/>
      <c r="Q464" s="94"/>
      <c r="R464" s="121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G464" s="94"/>
      <c r="AH464" s="94"/>
      <c r="AI464" s="94"/>
    </row>
    <row r="465" spans="1:35" ht="15.75" customHeight="1" x14ac:dyDescent="0.35">
      <c r="A465" s="104"/>
      <c r="B465" s="4"/>
      <c r="D465" s="119"/>
      <c r="I465" s="94"/>
      <c r="Q465" s="94"/>
      <c r="R465" s="121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G465" s="94"/>
      <c r="AH465" s="94"/>
      <c r="AI465" s="94"/>
    </row>
    <row r="466" spans="1:35" ht="15.75" customHeight="1" x14ac:dyDescent="0.35">
      <c r="A466" s="104"/>
      <c r="B466" s="4"/>
      <c r="D466" s="119"/>
      <c r="I466" s="94"/>
      <c r="Q466" s="94"/>
      <c r="R466" s="121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G466" s="94"/>
      <c r="AH466" s="94"/>
      <c r="AI466" s="94"/>
    </row>
    <row r="467" spans="1:35" ht="15.75" customHeight="1" x14ac:dyDescent="0.35">
      <c r="A467" s="104"/>
      <c r="B467" s="4"/>
      <c r="D467" s="119"/>
      <c r="I467" s="94"/>
      <c r="Q467" s="94"/>
      <c r="R467" s="121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G467" s="94"/>
      <c r="AH467" s="94"/>
      <c r="AI467" s="94"/>
    </row>
    <row r="468" spans="1:35" ht="15.75" customHeight="1" x14ac:dyDescent="0.35">
      <c r="A468" s="104"/>
      <c r="B468" s="4"/>
      <c r="D468" s="119"/>
      <c r="I468" s="94"/>
      <c r="Q468" s="94"/>
      <c r="R468" s="121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G468" s="94"/>
      <c r="AH468" s="94"/>
      <c r="AI468" s="94"/>
    </row>
    <row r="469" spans="1:35" ht="15.75" customHeight="1" x14ac:dyDescent="0.35">
      <c r="A469" s="104"/>
      <c r="B469" s="4"/>
      <c r="D469" s="119"/>
      <c r="I469" s="94"/>
      <c r="Q469" s="94"/>
      <c r="R469" s="121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G469" s="94"/>
      <c r="AH469" s="94"/>
      <c r="AI469" s="94"/>
    </row>
    <row r="470" spans="1:35" ht="15.75" customHeight="1" x14ac:dyDescent="0.35">
      <c r="A470" s="104"/>
      <c r="B470" s="4"/>
      <c r="D470" s="119"/>
      <c r="I470" s="94"/>
      <c r="Q470" s="94"/>
      <c r="R470" s="121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G470" s="94"/>
      <c r="AH470" s="94"/>
      <c r="AI470" s="94"/>
    </row>
    <row r="471" spans="1:35" ht="15.75" customHeight="1" x14ac:dyDescent="0.35">
      <c r="A471" s="104"/>
      <c r="B471" s="4"/>
      <c r="D471" s="119"/>
      <c r="I471" s="94"/>
      <c r="Q471" s="94"/>
      <c r="R471" s="121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G471" s="94"/>
      <c r="AH471" s="94"/>
      <c r="AI471" s="94"/>
    </row>
    <row r="472" spans="1:35" ht="15.75" customHeight="1" x14ac:dyDescent="0.35">
      <c r="A472" s="104"/>
      <c r="B472" s="4"/>
      <c r="D472" s="119"/>
      <c r="I472" s="94"/>
      <c r="Q472" s="94"/>
      <c r="R472" s="121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G472" s="94"/>
      <c r="AH472" s="94"/>
      <c r="AI472" s="94"/>
    </row>
    <row r="473" spans="1:35" ht="15.75" customHeight="1" x14ac:dyDescent="0.35">
      <c r="A473" s="104"/>
      <c r="B473" s="4"/>
      <c r="D473" s="119"/>
      <c r="I473" s="94"/>
      <c r="Q473" s="94"/>
      <c r="R473" s="121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G473" s="94"/>
      <c r="AH473" s="94"/>
      <c r="AI473" s="94"/>
    </row>
    <row r="474" spans="1:35" ht="15.75" customHeight="1" x14ac:dyDescent="0.35">
      <c r="A474" s="104"/>
      <c r="B474" s="4"/>
      <c r="D474" s="119"/>
      <c r="I474" s="94"/>
      <c r="Q474" s="94"/>
      <c r="R474" s="121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G474" s="94"/>
      <c r="AH474" s="94"/>
      <c r="AI474" s="94"/>
    </row>
    <row r="475" spans="1:35" ht="15.75" customHeight="1" x14ac:dyDescent="0.35">
      <c r="A475" s="104"/>
      <c r="B475" s="4"/>
      <c r="D475" s="119"/>
      <c r="I475" s="94"/>
      <c r="Q475" s="94"/>
      <c r="R475" s="121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G475" s="94"/>
      <c r="AH475" s="94"/>
      <c r="AI475" s="94"/>
    </row>
    <row r="476" spans="1:35" ht="15.75" customHeight="1" x14ac:dyDescent="0.35">
      <c r="A476" s="104"/>
      <c r="B476" s="4"/>
      <c r="D476" s="119"/>
      <c r="I476" s="94"/>
      <c r="Q476" s="94"/>
      <c r="R476" s="121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G476" s="94"/>
      <c r="AH476" s="94"/>
      <c r="AI476" s="94"/>
    </row>
    <row r="477" spans="1:35" ht="15.75" customHeight="1" x14ac:dyDescent="0.35">
      <c r="A477" s="104"/>
      <c r="B477" s="4"/>
      <c r="D477" s="119"/>
      <c r="I477" s="94"/>
      <c r="Q477" s="94"/>
      <c r="R477" s="121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G477" s="94"/>
      <c r="AH477" s="94"/>
      <c r="AI477" s="94"/>
    </row>
    <row r="478" spans="1:35" ht="15.75" customHeight="1" x14ac:dyDescent="0.35">
      <c r="A478" s="104"/>
      <c r="B478" s="4"/>
      <c r="D478" s="119"/>
      <c r="I478" s="94"/>
      <c r="Q478" s="94"/>
      <c r="R478" s="121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G478" s="94"/>
      <c r="AH478" s="94"/>
      <c r="AI478" s="94"/>
    </row>
    <row r="479" spans="1:35" ht="15.75" customHeight="1" x14ac:dyDescent="0.35">
      <c r="A479" s="104"/>
      <c r="B479" s="4"/>
      <c r="D479" s="119"/>
      <c r="I479" s="94"/>
      <c r="Q479" s="94"/>
      <c r="R479" s="121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G479" s="94"/>
      <c r="AH479" s="94"/>
      <c r="AI479" s="94"/>
    </row>
    <row r="480" spans="1:35" ht="15.75" customHeight="1" x14ac:dyDescent="0.35">
      <c r="A480" s="104"/>
      <c r="B480" s="4"/>
      <c r="D480" s="119"/>
      <c r="I480" s="94"/>
      <c r="Q480" s="94"/>
      <c r="R480" s="121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G480" s="94"/>
      <c r="AH480" s="94"/>
      <c r="AI480" s="94"/>
    </row>
    <row r="481" spans="1:35" ht="15.75" customHeight="1" x14ac:dyDescent="0.35">
      <c r="A481" s="104"/>
      <c r="B481" s="4"/>
      <c r="D481" s="119"/>
      <c r="I481" s="94"/>
      <c r="Q481" s="94"/>
      <c r="R481" s="121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G481" s="94"/>
      <c r="AH481" s="94"/>
      <c r="AI481" s="94"/>
    </row>
    <row r="482" spans="1:35" ht="15.75" customHeight="1" x14ac:dyDescent="0.35">
      <c r="A482" s="104"/>
      <c r="B482" s="4"/>
      <c r="D482" s="119"/>
      <c r="I482" s="94"/>
      <c r="Q482" s="94"/>
      <c r="R482" s="121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G482" s="94"/>
      <c r="AH482" s="94"/>
      <c r="AI482" s="94"/>
    </row>
    <row r="483" spans="1:35" ht="15.75" customHeight="1" x14ac:dyDescent="0.35">
      <c r="A483" s="104"/>
      <c r="B483" s="4"/>
      <c r="D483" s="119"/>
      <c r="I483" s="94"/>
      <c r="Q483" s="94"/>
      <c r="R483" s="121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G483" s="94"/>
      <c r="AH483" s="94"/>
      <c r="AI483" s="94"/>
    </row>
    <row r="484" spans="1:35" ht="15.75" customHeight="1" x14ac:dyDescent="0.35">
      <c r="A484" s="104"/>
      <c r="B484" s="4"/>
      <c r="D484" s="119"/>
      <c r="I484" s="94"/>
      <c r="Q484" s="94"/>
      <c r="R484" s="121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G484" s="94"/>
      <c r="AH484" s="94"/>
      <c r="AI484" s="94"/>
    </row>
    <row r="485" spans="1:35" ht="15.75" customHeight="1" x14ac:dyDescent="0.35">
      <c r="A485" s="104"/>
      <c r="B485" s="4"/>
      <c r="D485" s="119"/>
      <c r="I485" s="94"/>
      <c r="Q485" s="94"/>
      <c r="R485" s="121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G485" s="94"/>
      <c r="AH485" s="94"/>
      <c r="AI485" s="94"/>
    </row>
    <row r="486" spans="1:35" ht="15.75" customHeight="1" x14ac:dyDescent="0.35">
      <c r="A486" s="104"/>
      <c r="B486" s="4"/>
      <c r="D486" s="119"/>
      <c r="I486" s="94"/>
      <c r="Q486" s="94"/>
      <c r="R486" s="121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G486" s="94"/>
      <c r="AH486" s="94"/>
      <c r="AI486" s="94"/>
    </row>
    <row r="487" spans="1:35" ht="15.75" customHeight="1" x14ac:dyDescent="0.35">
      <c r="A487" s="104"/>
      <c r="B487" s="4"/>
      <c r="D487" s="119"/>
      <c r="I487" s="94"/>
      <c r="Q487" s="94"/>
      <c r="R487" s="121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G487" s="94"/>
      <c r="AH487" s="94"/>
      <c r="AI487" s="94"/>
    </row>
    <row r="488" spans="1:35" ht="15.75" customHeight="1" x14ac:dyDescent="0.35">
      <c r="A488" s="104"/>
      <c r="B488" s="4"/>
      <c r="D488" s="119"/>
      <c r="I488" s="94"/>
      <c r="Q488" s="94"/>
      <c r="R488" s="121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G488" s="94"/>
      <c r="AH488" s="94"/>
      <c r="AI488" s="94"/>
    </row>
    <row r="489" spans="1:35" ht="15.75" customHeight="1" x14ac:dyDescent="0.35">
      <c r="A489" s="104"/>
      <c r="B489" s="4"/>
      <c r="D489" s="119"/>
      <c r="I489" s="94"/>
      <c r="Q489" s="94"/>
      <c r="R489" s="121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G489" s="94"/>
      <c r="AH489" s="94"/>
      <c r="AI489" s="94"/>
    </row>
    <row r="490" spans="1:35" ht="15.75" customHeight="1" x14ac:dyDescent="0.35">
      <c r="A490" s="104"/>
      <c r="B490" s="4"/>
      <c r="D490" s="119"/>
      <c r="I490" s="94"/>
      <c r="Q490" s="94"/>
      <c r="R490" s="121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G490" s="94"/>
      <c r="AH490" s="94"/>
      <c r="AI490" s="94"/>
    </row>
    <row r="491" spans="1:35" ht="15.75" customHeight="1" x14ac:dyDescent="0.35">
      <c r="A491" s="104"/>
      <c r="B491" s="4"/>
      <c r="D491" s="119"/>
      <c r="I491" s="94"/>
      <c r="Q491" s="94"/>
      <c r="R491" s="121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G491" s="94"/>
      <c r="AH491" s="94"/>
      <c r="AI491" s="94"/>
    </row>
    <row r="492" spans="1:35" ht="15.75" customHeight="1" x14ac:dyDescent="0.35">
      <c r="A492" s="104"/>
      <c r="B492" s="4"/>
      <c r="D492" s="119"/>
      <c r="I492" s="94"/>
      <c r="Q492" s="94"/>
      <c r="R492" s="121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G492" s="94"/>
      <c r="AH492" s="94"/>
      <c r="AI492" s="94"/>
    </row>
    <row r="493" spans="1:35" ht="15.75" customHeight="1" x14ac:dyDescent="0.35">
      <c r="A493" s="104"/>
      <c r="B493" s="4"/>
      <c r="D493" s="119"/>
      <c r="I493" s="94"/>
      <c r="Q493" s="94"/>
      <c r="R493" s="121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G493" s="94"/>
      <c r="AH493" s="94"/>
      <c r="AI493" s="94"/>
    </row>
    <row r="494" spans="1:35" ht="15.75" customHeight="1" x14ac:dyDescent="0.35">
      <c r="A494" s="104"/>
      <c r="B494" s="4"/>
      <c r="D494" s="119"/>
      <c r="I494" s="94"/>
      <c r="Q494" s="94"/>
      <c r="R494" s="121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G494" s="94"/>
      <c r="AH494" s="94"/>
      <c r="AI494" s="94"/>
    </row>
    <row r="495" spans="1:35" ht="15.75" customHeight="1" x14ac:dyDescent="0.35">
      <c r="A495" s="104"/>
      <c r="B495" s="4"/>
      <c r="D495" s="119"/>
      <c r="I495" s="94"/>
      <c r="Q495" s="94"/>
      <c r="R495" s="121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G495" s="94"/>
      <c r="AH495" s="94"/>
      <c r="AI495" s="94"/>
    </row>
    <row r="496" spans="1:35" ht="15.75" customHeight="1" x14ac:dyDescent="0.35">
      <c r="A496" s="104"/>
      <c r="B496" s="4"/>
      <c r="D496" s="119"/>
      <c r="I496" s="94"/>
      <c r="Q496" s="94"/>
      <c r="R496" s="121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G496" s="94"/>
      <c r="AH496" s="94"/>
      <c r="AI496" s="94"/>
    </row>
    <row r="497" spans="1:35" ht="15.75" customHeight="1" x14ac:dyDescent="0.35">
      <c r="A497" s="104"/>
      <c r="B497" s="4"/>
      <c r="D497" s="119"/>
      <c r="I497" s="94"/>
      <c r="Q497" s="94"/>
      <c r="R497" s="121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G497" s="94"/>
      <c r="AH497" s="94"/>
      <c r="AI497" s="94"/>
    </row>
    <row r="498" spans="1:35" ht="15.75" customHeight="1" x14ac:dyDescent="0.35">
      <c r="A498" s="104"/>
      <c r="B498" s="4"/>
      <c r="D498" s="119"/>
      <c r="I498" s="94"/>
      <c r="Q498" s="94"/>
      <c r="R498" s="121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G498" s="94"/>
      <c r="AH498" s="94"/>
      <c r="AI498" s="94"/>
    </row>
    <row r="499" spans="1:35" ht="15.75" customHeight="1" x14ac:dyDescent="0.35">
      <c r="A499" s="104"/>
      <c r="B499" s="4"/>
      <c r="D499" s="119"/>
      <c r="I499" s="94"/>
      <c r="Q499" s="94"/>
      <c r="R499" s="121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G499" s="94"/>
      <c r="AH499" s="94"/>
      <c r="AI499" s="94"/>
    </row>
    <row r="500" spans="1:35" ht="15.75" customHeight="1" x14ac:dyDescent="0.35">
      <c r="A500" s="104"/>
      <c r="B500" s="4"/>
      <c r="D500" s="119"/>
      <c r="I500" s="94"/>
      <c r="Q500" s="94"/>
      <c r="R500" s="121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G500" s="94"/>
      <c r="AH500" s="94"/>
      <c r="AI500" s="94"/>
    </row>
    <row r="501" spans="1:35" ht="15.75" customHeight="1" x14ac:dyDescent="0.35">
      <c r="A501" s="104"/>
      <c r="B501" s="4"/>
      <c r="D501" s="119"/>
      <c r="I501" s="94"/>
      <c r="Q501" s="94"/>
      <c r="R501" s="121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G501" s="94"/>
      <c r="AH501" s="94"/>
      <c r="AI501" s="94"/>
    </row>
    <row r="502" spans="1:35" ht="15.75" customHeight="1" x14ac:dyDescent="0.35">
      <c r="A502" s="104"/>
      <c r="B502" s="4"/>
      <c r="D502" s="119"/>
      <c r="I502" s="94"/>
      <c r="Q502" s="94"/>
      <c r="R502" s="121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G502" s="94"/>
      <c r="AH502" s="94"/>
      <c r="AI502" s="94"/>
    </row>
    <row r="503" spans="1:35" ht="15.75" customHeight="1" x14ac:dyDescent="0.35">
      <c r="A503" s="104"/>
      <c r="B503" s="4"/>
      <c r="D503" s="119"/>
      <c r="I503" s="94"/>
      <c r="Q503" s="94"/>
      <c r="R503" s="121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G503" s="94"/>
      <c r="AH503" s="94"/>
      <c r="AI503" s="94"/>
    </row>
    <row r="504" spans="1:35" ht="15.75" customHeight="1" x14ac:dyDescent="0.35">
      <c r="A504" s="104"/>
      <c r="B504" s="4"/>
      <c r="D504" s="119"/>
      <c r="I504" s="94"/>
      <c r="Q504" s="94"/>
      <c r="R504" s="121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G504" s="94"/>
      <c r="AH504" s="94"/>
      <c r="AI504" s="94"/>
    </row>
    <row r="505" spans="1:35" ht="15.75" customHeight="1" x14ac:dyDescent="0.35">
      <c r="A505" s="104"/>
      <c r="B505" s="4"/>
      <c r="D505" s="119"/>
      <c r="I505" s="94"/>
      <c r="Q505" s="94"/>
      <c r="R505" s="121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G505" s="94"/>
      <c r="AH505" s="94"/>
      <c r="AI505" s="94"/>
    </row>
    <row r="506" spans="1:35" ht="15.75" customHeight="1" x14ac:dyDescent="0.35">
      <c r="A506" s="104"/>
      <c r="B506" s="4"/>
      <c r="D506" s="119"/>
      <c r="I506" s="94"/>
      <c r="Q506" s="94"/>
      <c r="R506" s="121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G506" s="94"/>
      <c r="AH506" s="94"/>
      <c r="AI506" s="94"/>
    </row>
    <row r="507" spans="1:35" ht="15.75" customHeight="1" x14ac:dyDescent="0.35">
      <c r="A507" s="104"/>
      <c r="B507" s="4"/>
      <c r="D507" s="119"/>
      <c r="I507" s="94"/>
      <c r="Q507" s="94"/>
      <c r="R507" s="121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G507" s="94"/>
      <c r="AH507" s="94"/>
      <c r="AI507" s="94"/>
    </row>
    <row r="508" spans="1:35" ht="15.75" customHeight="1" x14ac:dyDescent="0.35">
      <c r="A508" s="104"/>
      <c r="B508" s="4"/>
      <c r="D508" s="119"/>
      <c r="I508" s="94"/>
      <c r="Q508" s="94"/>
      <c r="R508" s="121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G508" s="94"/>
      <c r="AH508" s="94"/>
      <c r="AI508" s="94"/>
    </row>
    <row r="509" spans="1:35" ht="15.75" customHeight="1" x14ac:dyDescent="0.35">
      <c r="A509" s="104"/>
      <c r="B509" s="4"/>
      <c r="D509" s="119"/>
      <c r="I509" s="94"/>
      <c r="Q509" s="94"/>
      <c r="R509" s="121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G509" s="94"/>
      <c r="AH509" s="94"/>
      <c r="AI509" s="94"/>
    </row>
    <row r="510" spans="1:35" ht="15.75" customHeight="1" x14ac:dyDescent="0.35">
      <c r="A510" s="104"/>
      <c r="B510" s="4"/>
      <c r="D510" s="119"/>
      <c r="I510" s="94"/>
      <c r="Q510" s="94"/>
      <c r="R510" s="121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G510" s="94"/>
      <c r="AH510" s="94"/>
      <c r="AI510" s="94"/>
    </row>
    <row r="511" spans="1:35" ht="15.75" customHeight="1" x14ac:dyDescent="0.35">
      <c r="A511" s="104"/>
      <c r="B511" s="4"/>
      <c r="D511" s="119"/>
      <c r="I511" s="94"/>
      <c r="Q511" s="94"/>
      <c r="R511" s="121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G511" s="94"/>
      <c r="AH511" s="94"/>
      <c r="AI511" s="94"/>
    </row>
    <row r="512" spans="1:35" ht="15.75" customHeight="1" x14ac:dyDescent="0.35">
      <c r="A512" s="104"/>
      <c r="B512" s="4"/>
      <c r="D512" s="119"/>
      <c r="I512" s="94"/>
      <c r="Q512" s="94"/>
      <c r="R512" s="121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G512" s="94"/>
      <c r="AH512" s="94"/>
      <c r="AI512" s="94"/>
    </row>
    <row r="513" spans="1:35" ht="15.75" customHeight="1" x14ac:dyDescent="0.35">
      <c r="A513" s="104"/>
      <c r="B513" s="4"/>
      <c r="D513" s="119"/>
      <c r="I513" s="94"/>
      <c r="Q513" s="94"/>
      <c r="R513" s="121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G513" s="94"/>
      <c r="AH513" s="94"/>
      <c r="AI513" s="94"/>
    </row>
    <row r="514" spans="1:35" ht="15.75" customHeight="1" x14ac:dyDescent="0.35">
      <c r="A514" s="104"/>
      <c r="B514" s="4"/>
      <c r="D514" s="119"/>
      <c r="I514" s="94"/>
      <c r="Q514" s="94"/>
      <c r="R514" s="121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G514" s="94"/>
      <c r="AH514" s="94"/>
      <c r="AI514" s="94"/>
    </row>
    <row r="515" spans="1:35" ht="15.75" customHeight="1" x14ac:dyDescent="0.35">
      <c r="A515" s="104"/>
      <c r="B515" s="4"/>
      <c r="D515" s="119"/>
      <c r="I515" s="94"/>
      <c r="Q515" s="94"/>
      <c r="R515" s="121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G515" s="94"/>
      <c r="AH515" s="94"/>
      <c r="AI515" s="94"/>
    </row>
    <row r="516" spans="1:35" ht="15.75" customHeight="1" x14ac:dyDescent="0.35">
      <c r="A516" s="104"/>
      <c r="B516" s="4"/>
      <c r="D516" s="119"/>
      <c r="I516" s="94"/>
      <c r="Q516" s="94"/>
      <c r="R516" s="121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G516" s="94"/>
      <c r="AH516" s="94"/>
      <c r="AI516" s="94"/>
    </row>
    <row r="517" spans="1:35" ht="15.75" customHeight="1" x14ac:dyDescent="0.35">
      <c r="A517" s="104"/>
      <c r="B517" s="4"/>
      <c r="D517" s="119"/>
      <c r="I517" s="94"/>
      <c r="Q517" s="94"/>
      <c r="R517" s="121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G517" s="94"/>
      <c r="AH517" s="94"/>
      <c r="AI517" s="94"/>
    </row>
    <row r="518" spans="1:35" ht="15.75" customHeight="1" x14ac:dyDescent="0.35">
      <c r="A518" s="104"/>
      <c r="B518" s="4"/>
      <c r="D518" s="119"/>
      <c r="I518" s="94"/>
      <c r="Q518" s="94"/>
      <c r="R518" s="121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G518" s="94"/>
      <c r="AH518" s="94"/>
      <c r="AI518" s="94"/>
    </row>
    <row r="519" spans="1:35" ht="15.75" customHeight="1" x14ac:dyDescent="0.35">
      <c r="A519" s="104"/>
      <c r="B519" s="4"/>
      <c r="D519" s="119"/>
      <c r="I519" s="94"/>
      <c r="Q519" s="94"/>
      <c r="R519" s="121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G519" s="94"/>
      <c r="AH519" s="94"/>
      <c r="AI519" s="94"/>
    </row>
    <row r="520" spans="1:35" ht="15.75" customHeight="1" x14ac:dyDescent="0.35">
      <c r="A520" s="104"/>
      <c r="B520" s="4"/>
      <c r="D520" s="119"/>
      <c r="I520" s="94"/>
      <c r="Q520" s="94"/>
      <c r="R520" s="121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G520" s="94"/>
      <c r="AH520" s="94"/>
      <c r="AI520" s="94"/>
    </row>
    <row r="521" spans="1:35" ht="15.75" customHeight="1" x14ac:dyDescent="0.35">
      <c r="A521" s="104"/>
      <c r="B521" s="4"/>
      <c r="D521" s="119"/>
      <c r="I521" s="94"/>
      <c r="Q521" s="94"/>
      <c r="R521" s="121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G521" s="94"/>
      <c r="AH521" s="94"/>
      <c r="AI521" s="94"/>
    </row>
    <row r="522" spans="1:35" ht="15.75" customHeight="1" x14ac:dyDescent="0.35">
      <c r="A522" s="104"/>
      <c r="B522" s="4"/>
      <c r="D522" s="119"/>
      <c r="I522" s="94"/>
      <c r="Q522" s="94"/>
      <c r="R522" s="121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G522" s="94"/>
      <c r="AH522" s="94"/>
      <c r="AI522" s="94"/>
    </row>
    <row r="523" spans="1:35" ht="15.75" customHeight="1" x14ac:dyDescent="0.35">
      <c r="A523" s="104"/>
      <c r="B523" s="4"/>
      <c r="D523" s="119"/>
      <c r="I523" s="94"/>
      <c r="Q523" s="94"/>
      <c r="R523" s="121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G523" s="94"/>
      <c r="AH523" s="94"/>
      <c r="AI523" s="94"/>
    </row>
    <row r="524" spans="1:35" ht="15.75" customHeight="1" x14ac:dyDescent="0.35">
      <c r="A524" s="104"/>
      <c r="B524" s="4"/>
      <c r="D524" s="119"/>
      <c r="I524" s="94"/>
      <c r="Q524" s="94"/>
      <c r="R524" s="121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G524" s="94"/>
      <c r="AH524" s="94"/>
      <c r="AI524" s="94"/>
    </row>
    <row r="525" spans="1:35" ht="15.75" customHeight="1" x14ac:dyDescent="0.35">
      <c r="A525" s="104"/>
      <c r="B525" s="4"/>
      <c r="D525" s="119"/>
      <c r="I525" s="94"/>
      <c r="Q525" s="94"/>
      <c r="R525" s="121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G525" s="94"/>
      <c r="AH525" s="94"/>
      <c r="AI525" s="94"/>
    </row>
    <row r="526" spans="1:35" ht="15.75" customHeight="1" x14ac:dyDescent="0.35">
      <c r="A526" s="104"/>
      <c r="B526" s="4"/>
      <c r="D526" s="119"/>
      <c r="I526" s="94"/>
      <c r="Q526" s="94"/>
      <c r="R526" s="121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G526" s="94"/>
      <c r="AH526" s="94"/>
      <c r="AI526" s="94"/>
    </row>
    <row r="527" spans="1:35" ht="15.75" customHeight="1" x14ac:dyDescent="0.35">
      <c r="A527" s="104"/>
      <c r="B527" s="4"/>
      <c r="D527" s="119"/>
      <c r="I527" s="94"/>
      <c r="Q527" s="94"/>
      <c r="R527" s="121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G527" s="94"/>
      <c r="AH527" s="94"/>
      <c r="AI527" s="94"/>
    </row>
    <row r="528" spans="1:35" ht="15.75" customHeight="1" x14ac:dyDescent="0.35">
      <c r="A528" s="104"/>
      <c r="B528" s="4"/>
      <c r="D528" s="119"/>
      <c r="I528" s="94"/>
      <c r="Q528" s="94"/>
      <c r="R528" s="121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G528" s="94"/>
      <c r="AH528" s="94"/>
      <c r="AI528" s="94"/>
    </row>
    <row r="529" spans="1:35" ht="15.75" customHeight="1" x14ac:dyDescent="0.35">
      <c r="A529" s="104"/>
      <c r="B529" s="4"/>
      <c r="D529" s="119"/>
      <c r="I529" s="94"/>
      <c r="Q529" s="94"/>
      <c r="R529" s="121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G529" s="94"/>
      <c r="AH529" s="94"/>
      <c r="AI529" s="94"/>
    </row>
    <row r="530" spans="1:35" ht="15.75" customHeight="1" x14ac:dyDescent="0.35">
      <c r="A530" s="104"/>
      <c r="B530" s="4"/>
      <c r="D530" s="119"/>
      <c r="I530" s="94"/>
      <c r="Q530" s="94"/>
      <c r="R530" s="121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G530" s="94"/>
      <c r="AH530" s="94"/>
      <c r="AI530" s="94"/>
    </row>
    <row r="531" spans="1:35" ht="15.75" customHeight="1" x14ac:dyDescent="0.35">
      <c r="A531" s="104"/>
      <c r="B531" s="4"/>
      <c r="D531" s="119"/>
      <c r="I531" s="94"/>
      <c r="Q531" s="94"/>
      <c r="R531" s="121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G531" s="94"/>
      <c r="AH531" s="94"/>
      <c r="AI531" s="94"/>
    </row>
    <row r="532" spans="1:35" ht="15.75" customHeight="1" x14ac:dyDescent="0.35">
      <c r="A532" s="104"/>
      <c r="B532" s="4"/>
      <c r="D532" s="119"/>
      <c r="I532" s="94"/>
      <c r="Q532" s="94"/>
      <c r="R532" s="121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G532" s="94"/>
      <c r="AH532" s="94"/>
      <c r="AI532" s="94"/>
    </row>
    <row r="533" spans="1:35" ht="15.75" customHeight="1" x14ac:dyDescent="0.35">
      <c r="A533" s="104"/>
      <c r="B533" s="4"/>
      <c r="D533" s="119"/>
      <c r="I533" s="94"/>
      <c r="Q533" s="94"/>
      <c r="R533" s="121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G533" s="94"/>
      <c r="AH533" s="94"/>
      <c r="AI533" s="94"/>
    </row>
    <row r="534" spans="1:35" ht="15.75" customHeight="1" x14ac:dyDescent="0.35">
      <c r="A534" s="104"/>
      <c r="B534" s="4"/>
      <c r="D534" s="119"/>
      <c r="I534" s="94"/>
      <c r="Q534" s="94"/>
      <c r="R534" s="121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G534" s="94"/>
      <c r="AH534" s="94"/>
      <c r="AI534" s="94"/>
    </row>
    <row r="535" spans="1:35" ht="15.75" customHeight="1" x14ac:dyDescent="0.35">
      <c r="A535" s="104"/>
      <c r="B535" s="4"/>
      <c r="D535" s="119"/>
      <c r="I535" s="94"/>
      <c r="Q535" s="94"/>
      <c r="R535" s="121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G535" s="94"/>
      <c r="AH535" s="94"/>
      <c r="AI535" s="94"/>
    </row>
    <row r="536" spans="1:35" ht="15.75" customHeight="1" x14ac:dyDescent="0.35">
      <c r="A536" s="104"/>
      <c r="B536" s="4"/>
      <c r="D536" s="119"/>
      <c r="I536" s="94"/>
      <c r="Q536" s="94"/>
      <c r="R536" s="121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G536" s="94"/>
      <c r="AH536" s="94"/>
      <c r="AI536" s="94"/>
    </row>
    <row r="537" spans="1:35" ht="15.75" customHeight="1" x14ac:dyDescent="0.35">
      <c r="A537" s="104"/>
      <c r="B537" s="4"/>
      <c r="D537" s="119"/>
      <c r="I537" s="94"/>
      <c r="Q537" s="94"/>
      <c r="R537" s="121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G537" s="94"/>
      <c r="AH537" s="94"/>
      <c r="AI537" s="94"/>
    </row>
    <row r="538" spans="1:35" ht="15.75" customHeight="1" x14ac:dyDescent="0.35">
      <c r="A538" s="104"/>
      <c r="B538" s="4"/>
      <c r="D538" s="119"/>
      <c r="I538" s="94"/>
      <c r="Q538" s="94"/>
      <c r="R538" s="121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G538" s="94"/>
      <c r="AH538" s="94"/>
      <c r="AI538" s="94"/>
    </row>
    <row r="539" spans="1:35" ht="15.75" customHeight="1" x14ac:dyDescent="0.35">
      <c r="A539" s="104"/>
      <c r="B539" s="4"/>
      <c r="D539" s="119"/>
      <c r="I539" s="94"/>
      <c r="Q539" s="94"/>
      <c r="R539" s="121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G539" s="94"/>
      <c r="AH539" s="94"/>
      <c r="AI539" s="94"/>
    </row>
    <row r="540" spans="1:35" ht="15.75" customHeight="1" x14ac:dyDescent="0.35">
      <c r="A540" s="104"/>
      <c r="B540" s="4"/>
      <c r="D540" s="119"/>
      <c r="I540" s="94"/>
      <c r="Q540" s="94"/>
      <c r="R540" s="121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G540" s="94"/>
      <c r="AH540" s="94"/>
      <c r="AI540" s="94"/>
    </row>
    <row r="541" spans="1:35" ht="15.75" customHeight="1" x14ac:dyDescent="0.35">
      <c r="A541" s="104"/>
      <c r="B541" s="4"/>
      <c r="D541" s="119"/>
      <c r="I541" s="94"/>
      <c r="Q541" s="94"/>
      <c r="R541" s="121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G541" s="94"/>
      <c r="AH541" s="94"/>
      <c r="AI541" s="94"/>
    </row>
    <row r="542" spans="1:35" ht="15.75" customHeight="1" x14ac:dyDescent="0.35">
      <c r="A542" s="104"/>
      <c r="B542" s="4"/>
      <c r="D542" s="119"/>
      <c r="I542" s="94"/>
      <c r="Q542" s="94"/>
      <c r="R542" s="121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G542" s="94"/>
      <c r="AH542" s="94"/>
      <c r="AI542" s="94"/>
    </row>
    <row r="543" spans="1:35" ht="15.75" customHeight="1" x14ac:dyDescent="0.35">
      <c r="A543" s="104"/>
      <c r="B543" s="4"/>
      <c r="D543" s="119"/>
      <c r="I543" s="94"/>
      <c r="Q543" s="94"/>
      <c r="R543" s="121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G543" s="94"/>
      <c r="AH543" s="94"/>
      <c r="AI543" s="94"/>
    </row>
    <row r="544" spans="1:35" ht="15.75" customHeight="1" x14ac:dyDescent="0.35">
      <c r="A544" s="104"/>
      <c r="B544" s="4"/>
      <c r="D544" s="119"/>
      <c r="I544" s="94"/>
      <c r="Q544" s="94"/>
      <c r="R544" s="121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G544" s="94"/>
      <c r="AH544" s="94"/>
      <c r="AI544" s="94"/>
    </row>
    <row r="545" spans="1:35" ht="15.75" customHeight="1" x14ac:dyDescent="0.35">
      <c r="A545" s="104"/>
      <c r="B545" s="4"/>
      <c r="D545" s="119"/>
      <c r="I545" s="94"/>
      <c r="Q545" s="94"/>
      <c r="R545" s="121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G545" s="94"/>
      <c r="AH545" s="94"/>
      <c r="AI545" s="94"/>
    </row>
    <row r="546" spans="1:35" ht="15.75" customHeight="1" x14ac:dyDescent="0.35">
      <c r="A546" s="104"/>
      <c r="B546" s="4"/>
      <c r="D546" s="119"/>
      <c r="I546" s="94"/>
      <c r="Q546" s="94"/>
      <c r="R546" s="121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G546" s="94"/>
      <c r="AH546" s="94"/>
      <c r="AI546" s="94"/>
    </row>
    <row r="547" spans="1:35" ht="15.75" customHeight="1" x14ac:dyDescent="0.35">
      <c r="A547" s="104"/>
      <c r="B547" s="4"/>
      <c r="D547" s="119"/>
      <c r="I547" s="94"/>
      <c r="Q547" s="94"/>
      <c r="R547" s="121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G547" s="94"/>
      <c r="AH547" s="94"/>
      <c r="AI547" s="94"/>
    </row>
    <row r="548" spans="1:35" ht="15.75" customHeight="1" x14ac:dyDescent="0.35">
      <c r="A548" s="104"/>
      <c r="B548" s="4"/>
      <c r="D548" s="119"/>
      <c r="I548" s="94"/>
      <c r="Q548" s="94"/>
      <c r="R548" s="121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G548" s="94"/>
      <c r="AH548" s="94"/>
      <c r="AI548" s="94"/>
    </row>
    <row r="549" spans="1:35" ht="15.75" customHeight="1" x14ac:dyDescent="0.35">
      <c r="A549" s="104"/>
      <c r="B549" s="4"/>
      <c r="D549" s="119"/>
      <c r="I549" s="94"/>
      <c r="Q549" s="94"/>
      <c r="R549" s="121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G549" s="94"/>
      <c r="AH549" s="94"/>
      <c r="AI549" s="94"/>
    </row>
    <row r="550" spans="1:35" ht="15.75" customHeight="1" x14ac:dyDescent="0.35">
      <c r="A550" s="104"/>
      <c r="B550" s="4"/>
      <c r="D550" s="119"/>
      <c r="I550" s="94"/>
      <c r="Q550" s="94"/>
      <c r="R550" s="121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G550" s="94"/>
      <c r="AH550" s="94"/>
      <c r="AI550" s="94"/>
    </row>
    <row r="551" spans="1:35" ht="15.75" customHeight="1" x14ac:dyDescent="0.35">
      <c r="A551" s="104"/>
      <c r="B551" s="4"/>
      <c r="D551" s="119"/>
      <c r="I551" s="94"/>
      <c r="Q551" s="94"/>
      <c r="R551" s="121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G551" s="94"/>
      <c r="AH551" s="94"/>
      <c r="AI551" s="94"/>
    </row>
    <row r="552" spans="1:35" ht="15.75" customHeight="1" x14ac:dyDescent="0.35">
      <c r="A552" s="104"/>
      <c r="B552" s="4"/>
      <c r="D552" s="119"/>
      <c r="I552" s="94"/>
      <c r="Q552" s="94"/>
      <c r="R552" s="121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G552" s="94"/>
      <c r="AH552" s="94"/>
      <c r="AI552" s="94"/>
    </row>
    <row r="553" spans="1:35" ht="15.75" customHeight="1" x14ac:dyDescent="0.35">
      <c r="A553" s="104"/>
      <c r="B553" s="4"/>
      <c r="D553" s="119"/>
      <c r="I553" s="94"/>
      <c r="Q553" s="94"/>
      <c r="R553" s="121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G553" s="94"/>
      <c r="AH553" s="94"/>
      <c r="AI553" s="94"/>
    </row>
    <row r="554" spans="1:35" ht="15.75" customHeight="1" x14ac:dyDescent="0.35">
      <c r="A554" s="104"/>
      <c r="B554" s="4"/>
      <c r="D554" s="119"/>
      <c r="I554" s="94"/>
      <c r="Q554" s="94"/>
      <c r="R554" s="121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G554" s="94"/>
      <c r="AH554" s="94"/>
      <c r="AI554" s="94"/>
    </row>
    <row r="555" spans="1:35" ht="15.75" customHeight="1" x14ac:dyDescent="0.35">
      <c r="A555" s="104"/>
      <c r="B555" s="4"/>
      <c r="D555" s="119"/>
      <c r="I555" s="94"/>
      <c r="Q555" s="94"/>
      <c r="R555" s="121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G555" s="94"/>
      <c r="AH555" s="94"/>
      <c r="AI555" s="94"/>
    </row>
    <row r="556" spans="1:35" ht="15.75" customHeight="1" x14ac:dyDescent="0.35">
      <c r="A556" s="104"/>
      <c r="B556" s="4"/>
      <c r="D556" s="119"/>
      <c r="I556" s="94"/>
      <c r="Q556" s="94"/>
      <c r="R556" s="121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G556" s="94"/>
      <c r="AH556" s="94"/>
      <c r="AI556" s="94"/>
    </row>
    <row r="557" spans="1:35" ht="15.75" customHeight="1" x14ac:dyDescent="0.35">
      <c r="A557" s="104"/>
      <c r="B557" s="4"/>
      <c r="D557" s="119"/>
      <c r="I557" s="94"/>
      <c r="Q557" s="94"/>
      <c r="R557" s="121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G557" s="94"/>
      <c r="AH557" s="94"/>
      <c r="AI557" s="94"/>
    </row>
    <row r="558" spans="1:35" ht="15.75" customHeight="1" x14ac:dyDescent="0.35">
      <c r="A558" s="104"/>
      <c r="B558" s="4"/>
      <c r="D558" s="119"/>
      <c r="I558" s="94"/>
      <c r="Q558" s="94"/>
      <c r="R558" s="121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G558" s="94"/>
      <c r="AH558" s="94"/>
      <c r="AI558" s="94"/>
    </row>
    <row r="559" spans="1:35" ht="15.75" customHeight="1" x14ac:dyDescent="0.35">
      <c r="A559" s="104"/>
      <c r="B559" s="4"/>
      <c r="D559" s="119"/>
      <c r="I559" s="94"/>
      <c r="Q559" s="94"/>
      <c r="R559" s="121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G559" s="94"/>
      <c r="AH559" s="94"/>
      <c r="AI559" s="94"/>
    </row>
    <row r="560" spans="1:35" ht="15.75" customHeight="1" x14ac:dyDescent="0.35">
      <c r="A560" s="104"/>
      <c r="B560" s="4"/>
      <c r="D560" s="119"/>
      <c r="I560" s="94"/>
      <c r="Q560" s="94"/>
      <c r="R560" s="121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G560" s="94"/>
      <c r="AH560" s="94"/>
      <c r="AI560" s="94"/>
    </row>
    <row r="561" spans="1:35" ht="15.75" customHeight="1" x14ac:dyDescent="0.35">
      <c r="A561" s="104"/>
      <c r="B561" s="4"/>
      <c r="D561" s="119"/>
      <c r="I561" s="94"/>
      <c r="Q561" s="94"/>
      <c r="R561" s="121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G561" s="94"/>
      <c r="AH561" s="94"/>
      <c r="AI561" s="94"/>
    </row>
    <row r="562" spans="1:35" ht="15.75" customHeight="1" x14ac:dyDescent="0.35">
      <c r="A562" s="104"/>
      <c r="B562" s="4"/>
      <c r="D562" s="119"/>
      <c r="I562" s="94"/>
      <c r="Q562" s="94"/>
      <c r="R562" s="121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G562" s="94"/>
      <c r="AH562" s="94"/>
      <c r="AI562" s="94"/>
    </row>
    <row r="563" spans="1:35" ht="15.75" customHeight="1" x14ac:dyDescent="0.35">
      <c r="A563" s="104"/>
      <c r="B563" s="4"/>
      <c r="D563" s="119"/>
      <c r="I563" s="94"/>
      <c r="Q563" s="94"/>
      <c r="R563" s="121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G563" s="94"/>
      <c r="AH563" s="94"/>
      <c r="AI563" s="94"/>
    </row>
    <row r="564" spans="1:35" ht="15.75" customHeight="1" x14ac:dyDescent="0.35">
      <c r="A564" s="104"/>
      <c r="B564" s="4"/>
      <c r="D564" s="119"/>
      <c r="I564" s="94"/>
      <c r="Q564" s="94"/>
      <c r="R564" s="121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G564" s="94"/>
      <c r="AH564" s="94"/>
      <c r="AI564" s="94"/>
    </row>
    <row r="565" spans="1:35" ht="15.75" customHeight="1" x14ac:dyDescent="0.35">
      <c r="A565" s="104"/>
      <c r="B565" s="4"/>
      <c r="D565" s="119"/>
      <c r="I565" s="94"/>
      <c r="Q565" s="94"/>
      <c r="R565" s="121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G565" s="94"/>
      <c r="AH565" s="94"/>
      <c r="AI565" s="94"/>
    </row>
    <row r="566" spans="1:35" ht="15.75" customHeight="1" x14ac:dyDescent="0.35">
      <c r="A566" s="104"/>
      <c r="B566" s="4"/>
      <c r="D566" s="119"/>
      <c r="I566" s="94"/>
      <c r="Q566" s="94"/>
      <c r="R566" s="121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G566" s="94"/>
      <c r="AH566" s="94"/>
      <c r="AI566" s="94"/>
    </row>
    <row r="567" spans="1:35" ht="15.75" customHeight="1" x14ac:dyDescent="0.35">
      <c r="A567" s="104"/>
      <c r="B567" s="4"/>
      <c r="D567" s="119"/>
      <c r="I567" s="94"/>
      <c r="Q567" s="94"/>
      <c r="R567" s="121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G567" s="94"/>
      <c r="AH567" s="94"/>
      <c r="AI567" s="94"/>
    </row>
    <row r="568" spans="1:35" ht="15.75" customHeight="1" x14ac:dyDescent="0.35">
      <c r="A568" s="104"/>
      <c r="B568" s="4"/>
      <c r="D568" s="119"/>
      <c r="I568" s="94"/>
      <c r="Q568" s="94"/>
      <c r="R568" s="121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G568" s="94"/>
      <c r="AH568" s="94"/>
      <c r="AI568" s="94"/>
    </row>
    <row r="569" spans="1:35" ht="15.75" customHeight="1" x14ac:dyDescent="0.35">
      <c r="A569" s="104"/>
      <c r="B569" s="4"/>
      <c r="D569" s="119"/>
      <c r="I569" s="94"/>
      <c r="Q569" s="94"/>
      <c r="R569" s="121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G569" s="94"/>
      <c r="AH569" s="94"/>
      <c r="AI569" s="94"/>
    </row>
    <row r="570" spans="1:35" ht="15.75" customHeight="1" x14ac:dyDescent="0.35">
      <c r="A570" s="104"/>
      <c r="B570" s="4"/>
      <c r="D570" s="119"/>
      <c r="I570" s="94"/>
      <c r="Q570" s="94"/>
      <c r="R570" s="121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G570" s="94"/>
      <c r="AH570" s="94"/>
      <c r="AI570" s="94"/>
    </row>
    <row r="571" spans="1:35" ht="15.75" customHeight="1" x14ac:dyDescent="0.35">
      <c r="A571" s="104"/>
      <c r="B571" s="4"/>
      <c r="D571" s="119"/>
      <c r="I571" s="94"/>
      <c r="Q571" s="94"/>
      <c r="R571" s="121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G571" s="94"/>
      <c r="AH571" s="94"/>
      <c r="AI571" s="94"/>
    </row>
    <row r="572" spans="1:35" ht="15.75" customHeight="1" x14ac:dyDescent="0.35">
      <c r="A572" s="104"/>
      <c r="B572" s="4"/>
      <c r="D572" s="119"/>
      <c r="I572" s="94"/>
      <c r="Q572" s="94"/>
      <c r="R572" s="121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G572" s="94"/>
      <c r="AH572" s="94"/>
      <c r="AI572" s="94"/>
    </row>
    <row r="573" spans="1:35" ht="15.75" customHeight="1" x14ac:dyDescent="0.35">
      <c r="A573" s="104"/>
      <c r="B573" s="4"/>
      <c r="D573" s="119"/>
      <c r="I573" s="94"/>
      <c r="Q573" s="94"/>
      <c r="R573" s="121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G573" s="94"/>
      <c r="AH573" s="94"/>
      <c r="AI573" s="94"/>
    </row>
    <row r="574" spans="1:35" ht="15.75" customHeight="1" x14ac:dyDescent="0.35">
      <c r="A574" s="104"/>
      <c r="B574" s="4"/>
      <c r="D574" s="119"/>
      <c r="I574" s="94"/>
      <c r="Q574" s="94"/>
      <c r="R574" s="121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G574" s="94"/>
      <c r="AH574" s="94"/>
      <c r="AI574" s="94"/>
    </row>
    <row r="575" spans="1:35" ht="15.75" customHeight="1" x14ac:dyDescent="0.35">
      <c r="A575" s="104"/>
      <c r="B575" s="4"/>
      <c r="D575" s="119"/>
      <c r="I575" s="94"/>
      <c r="Q575" s="94"/>
      <c r="R575" s="121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G575" s="94"/>
      <c r="AH575" s="94"/>
      <c r="AI575" s="94"/>
    </row>
    <row r="576" spans="1:35" ht="15.75" customHeight="1" x14ac:dyDescent="0.35">
      <c r="A576" s="104"/>
      <c r="B576" s="4"/>
      <c r="D576" s="119"/>
      <c r="I576" s="94"/>
      <c r="Q576" s="94"/>
      <c r="R576" s="121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G576" s="94"/>
      <c r="AH576" s="94"/>
      <c r="AI576" s="94"/>
    </row>
    <row r="577" spans="1:35" ht="15.75" customHeight="1" x14ac:dyDescent="0.35">
      <c r="A577" s="104"/>
      <c r="B577" s="4"/>
      <c r="D577" s="119"/>
      <c r="I577" s="94"/>
      <c r="Q577" s="94"/>
      <c r="R577" s="121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G577" s="94"/>
      <c r="AH577" s="94"/>
      <c r="AI577" s="94"/>
    </row>
    <row r="578" spans="1:35" ht="15.75" customHeight="1" x14ac:dyDescent="0.35">
      <c r="A578" s="104"/>
      <c r="B578" s="4"/>
      <c r="D578" s="119"/>
      <c r="I578" s="94"/>
      <c r="Q578" s="94"/>
      <c r="R578" s="121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G578" s="94"/>
      <c r="AH578" s="94"/>
      <c r="AI578" s="94"/>
    </row>
    <row r="579" spans="1:35" ht="15.75" customHeight="1" x14ac:dyDescent="0.35">
      <c r="A579" s="104"/>
      <c r="B579" s="4"/>
      <c r="D579" s="119"/>
      <c r="I579" s="94"/>
      <c r="Q579" s="94"/>
      <c r="R579" s="121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G579" s="94"/>
      <c r="AH579" s="94"/>
      <c r="AI579" s="94"/>
    </row>
    <row r="580" spans="1:35" ht="15.75" customHeight="1" x14ac:dyDescent="0.35">
      <c r="A580" s="104"/>
      <c r="B580" s="4"/>
      <c r="D580" s="119"/>
      <c r="I580" s="94"/>
      <c r="Q580" s="94"/>
      <c r="R580" s="121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G580" s="94"/>
      <c r="AH580" s="94"/>
      <c r="AI580" s="94"/>
    </row>
    <row r="581" spans="1:35" ht="15.75" customHeight="1" x14ac:dyDescent="0.35">
      <c r="A581" s="104"/>
      <c r="B581" s="4"/>
      <c r="D581" s="119"/>
      <c r="I581" s="94"/>
      <c r="Q581" s="94"/>
      <c r="R581" s="121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G581" s="94"/>
      <c r="AH581" s="94"/>
      <c r="AI581" s="94"/>
    </row>
    <row r="582" spans="1:35" ht="15.75" customHeight="1" x14ac:dyDescent="0.35">
      <c r="A582" s="104"/>
      <c r="B582" s="4"/>
      <c r="D582" s="119"/>
      <c r="I582" s="94"/>
      <c r="Q582" s="94"/>
      <c r="R582" s="121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G582" s="94"/>
      <c r="AH582" s="94"/>
      <c r="AI582" s="94"/>
    </row>
    <row r="583" spans="1:35" ht="15.75" customHeight="1" x14ac:dyDescent="0.35">
      <c r="A583" s="104"/>
      <c r="B583" s="4"/>
      <c r="D583" s="119"/>
      <c r="I583" s="94"/>
      <c r="Q583" s="94"/>
      <c r="R583" s="121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G583" s="94"/>
      <c r="AH583" s="94"/>
      <c r="AI583" s="94"/>
    </row>
    <row r="584" spans="1:35" ht="15.75" customHeight="1" x14ac:dyDescent="0.35">
      <c r="A584" s="104"/>
      <c r="B584" s="4"/>
      <c r="D584" s="119"/>
      <c r="I584" s="94"/>
      <c r="Q584" s="94"/>
      <c r="R584" s="121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G584" s="94"/>
      <c r="AH584" s="94"/>
      <c r="AI584" s="94"/>
    </row>
    <row r="585" spans="1:35" ht="15.75" customHeight="1" x14ac:dyDescent="0.35">
      <c r="A585" s="104"/>
      <c r="B585" s="4"/>
      <c r="D585" s="119"/>
      <c r="I585" s="94"/>
      <c r="Q585" s="94"/>
      <c r="R585" s="121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G585" s="94"/>
      <c r="AH585" s="94"/>
      <c r="AI585" s="94"/>
    </row>
    <row r="586" spans="1:35" ht="15.75" customHeight="1" x14ac:dyDescent="0.35">
      <c r="A586" s="104"/>
      <c r="B586" s="4"/>
      <c r="D586" s="119"/>
      <c r="I586" s="94"/>
      <c r="Q586" s="94"/>
      <c r="R586" s="121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G586" s="94"/>
      <c r="AH586" s="94"/>
      <c r="AI586" s="94"/>
    </row>
    <row r="587" spans="1:35" ht="15.75" customHeight="1" x14ac:dyDescent="0.35">
      <c r="A587" s="104"/>
      <c r="B587" s="4"/>
      <c r="D587" s="119"/>
      <c r="I587" s="94"/>
      <c r="Q587" s="94"/>
      <c r="R587" s="121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G587" s="94"/>
      <c r="AH587" s="94"/>
      <c r="AI587" s="94"/>
    </row>
    <row r="588" spans="1:35" ht="15.75" customHeight="1" x14ac:dyDescent="0.35">
      <c r="A588" s="104"/>
      <c r="B588" s="4"/>
      <c r="D588" s="119"/>
      <c r="I588" s="94"/>
      <c r="Q588" s="94"/>
      <c r="R588" s="121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G588" s="94"/>
      <c r="AH588" s="94"/>
      <c r="AI588" s="94"/>
    </row>
    <row r="589" spans="1:35" ht="15.75" customHeight="1" x14ac:dyDescent="0.35">
      <c r="A589" s="104"/>
      <c r="B589" s="4"/>
      <c r="D589" s="119"/>
      <c r="I589" s="94"/>
      <c r="Q589" s="94"/>
      <c r="R589" s="121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G589" s="94"/>
      <c r="AH589" s="94"/>
      <c r="AI589" s="94"/>
    </row>
    <row r="590" spans="1:35" ht="15.75" customHeight="1" x14ac:dyDescent="0.35">
      <c r="A590" s="104"/>
      <c r="B590" s="4"/>
      <c r="D590" s="119"/>
      <c r="I590" s="94"/>
      <c r="Q590" s="94"/>
      <c r="R590" s="121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G590" s="94"/>
      <c r="AH590" s="94"/>
      <c r="AI590" s="94"/>
    </row>
    <row r="591" spans="1:35" ht="15.75" customHeight="1" x14ac:dyDescent="0.35">
      <c r="A591" s="104"/>
      <c r="B591" s="4"/>
      <c r="D591" s="119"/>
      <c r="I591" s="94"/>
      <c r="Q591" s="94"/>
      <c r="R591" s="121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G591" s="94"/>
      <c r="AH591" s="94"/>
      <c r="AI591" s="94"/>
    </row>
    <row r="592" spans="1:35" ht="15.75" customHeight="1" x14ac:dyDescent="0.35">
      <c r="A592" s="104"/>
      <c r="B592" s="4"/>
      <c r="D592" s="119"/>
      <c r="I592" s="94"/>
      <c r="Q592" s="94"/>
      <c r="R592" s="121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G592" s="94"/>
      <c r="AH592" s="94"/>
      <c r="AI592" s="94"/>
    </row>
    <row r="593" spans="1:35" ht="15.75" customHeight="1" x14ac:dyDescent="0.35">
      <c r="A593" s="104"/>
      <c r="B593" s="4"/>
      <c r="D593" s="119"/>
      <c r="I593" s="94"/>
      <c r="Q593" s="94"/>
      <c r="R593" s="121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G593" s="94"/>
      <c r="AH593" s="94"/>
      <c r="AI593" s="94"/>
    </row>
    <row r="594" spans="1:35" ht="15.75" customHeight="1" x14ac:dyDescent="0.35">
      <c r="A594" s="104"/>
      <c r="B594" s="4"/>
      <c r="D594" s="119"/>
      <c r="I594" s="94"/>
      <c r="Q594" s="94"/>
      <c r="R594" s="121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G594" s="94"/>
      <c r="AH594" s="94"/>
      <c r="AI594" s="94"/>
    </row>
    <row r="595" spans="1:35" ht="15.75" customHeight="1" x14ac:dyDescent="0.35">
      <c r="A595" s="104"/>
      <c r="B595" s="4"/>
      <c r="D595" s="119"/>
      <c r="I595" s="94"/>
      <c r="Q595" s="94"/>
      <c r="R595" s="121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G595" s="94"/>
      <c r="AH595" s="94"/>
      <c r="AI595" s="94"/>
    </row>
    <row r="596" spans="1:35" ht="15.75" customHeight="1" x14ac:dyDescent="0.35">
      <c r="A596" s="104"/>
      <c r="B596" s="4"/>
      <c r="D596" s="119"/>
      <c r="I596" s="94"/>
      <c r="Q596" s="94"/>
      <c r="R596" s="121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G596" s="94"/>
      <c r="AH596" s="94"/>
      <c r="AI596" s="94"/>
    </row>
    <row r="597" spans="1:35" ht="15.75" customHeight="1" x14ac:dyDescent="0.35">
      <c r="A597" s="104"/>
      <c r="B597" s="4"/>
      <c r="D597" s="119"/>
      <c r="I597" s="94"/>
      <c r="Q597" s="94"/>
      <c r="R597" s="121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G597" s="94"/>
      <c r="AH597" s="94"/>
      <c r="AI597" s="94"/>
    </row>
    <row r="598" spans="1:35" ht="15.75" customHeight="1" x14ac:dyDescent="0.35">
      <c r="A598" s="104"/>
      <c r="B598" s="4"/>
      <c r="D598" s="119"/>
      <c r="I598" s="94"/>
      <c r="Q598" s="94"/>
      <c r="R598" s="121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G598" s="94"/>
      <c r="AH598" s="94"/>
      <c r="AI598" s="94"/>
    </row>
    <row r="599" spans="1:35" ht="15.75" customHeight="1" x14ac:dyDescent="0.35">
      <c r="A599" s="104"/>
      <c r="B599" s="4"/>
      <c r="D599" s="119"/>
      <c r="I599" s="94"/>
      <c r="Q599" s="94"/>
      <c r="R599" s="121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G599" s="94"/>
      <c r="AH599" s="94"/>
      <c r="AI599" s="94"/>
    </row>
    <row r="600" spans="1:35" ht="15.75" customHeight="1" x14ac:dyDescent="0.35">
      <c r="A600" s="104"/>
      <c r="B600" s="4"/>
      <c r="D600" s="119"/>
      <c r="I600" s="94"/>
      <c r="Q600" s="94"/>
      <c r="R600" s="121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G600" s="94"/>
      <c r="AH600" s="94"/>
      <c r="AI600" s="94"/>
    </row>
    <row r="601" spans="1:35" ht="15.75" customHeight="1" x14ac:dyDescent="0.35">
      <c r="A601" s="104"/>
      <c r="B601" s="4"/>
      <c r="D601" s="119"/>
      <c r="I601" s="94"/>
      <c r="Q601" s="94"/>
      <c r="R601" s="121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G601" s="94"/>
      <c r="AH601" s="94"/>
      <c r="AI601" s="94"/>
    </row>
    <row r="602" spans="1:35" ht="15.75" customHeight="1" x14ac:dyDescent="0.35">
      <c r="A602" s="104"/>
      <c r="B602" s="4"/>
      <c r="D602" s="119"/>
      <c r="I602" s="94"/>
      <c r="Q602" s="94"/>
      <c r="R602" s="121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G602" s="94"/>
      <c r="AH602" s="94"/>
      <c r="AI602" s="94"/>
    </row>
    <row r="603" spans="1:35" ht="15.75" customHeight="1" x14ac:dyDescent="0.35">
      <c r="A603" s="104"/>
      <c r="B603" s="4"/>
      <c r="D603" s="119"/>
      <c r="I603" s="94"/>
      <c r="Q603" s="94"/>
      <c r="R603" s="121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G603" s="94"/>
      <c r="AH603" s="94"/>
      <c r="AI603" s="94"/>
    </row>
    <row r="604" spans="1:35" ht="15.75" customHeight="1" x14ac:dyDescent="0.35">
      <c r="A604" s="104"/>
      <c r="B604" s="4"/>
      <c r="D604" s="119"/>
      <c r="I604" s="94"/>
      <c r="Q604" s="94"/>
      <c r="R604" s="121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G604" s="94"/>
      <c r="AH604" s="94"/>
      <c r="AI604" s="94"/>
    </row>
    <row r="605" spans="1:35" ht="15.75" customHeight="1" x14ac:dyDescent="0.35">
      <c r="A605" s="104"/>
      <c r="B605" s="4"/>
      <c r="D605" s="119"/>
      <c r="I605" s="94"/>
      <c r="Q605" s="94"/>
      <c r="R605" s="121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G605" s="94"/>
      <c r="AH605" s="94"/>
      <c r="AI605" s="94"/>
    </row>
    <row r="606" spans="1:35" ht="15.75" customHeight="1" x14ac:dyDescent="0.35">
      <c r="A606" s="104"/>
      <c r="B606" s="4"/>
      <c r="D606" s="119"/>
      <c r="I606" s="94"/>
      <c r="Q606" s="94"/>
      <c r="R606" s="121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G606" s="94"/>
      <c r="AH606" s="94"/>
      <c r="AI606" s="94"/>
    </row>
    <row r="607" spans="1:35" ht="15.75" customHeight="1" x14ac:dyDescent="0.35">
      <c r="A607" s="104"/>
      <c r="B607" s="4"/>
      <c r="D607" s="119"/>
      <c r="I607" s="94"/>
      <c r="Q607" s="94"/>
      <c r="R607" s="121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G607" s="94"/>
      <c r="AH607" s="94"/>
      <c r="AI607" s="94"/>
    </row>
    <row r="608" spans="1:35" ht="15.75" customHeight="1" x14ac:dyDescent="0.35">
      <c r="A608" s="104"/>
      <c r="B608" s="4"/>
      <c r="D608" s="119"/>
      <c r="I608" s="94"/>
      <c r="Q608" s="94"/>
      <c r="R608" s="121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G608" s="94"/>
      <c r="AH608" s="94"/>
      <c r="AI608" s="94"/>
    </row>
    <row r="609" spans="1:35" ht="15.75" customHeight="1" x14ac:dyDescent="0.35">
      <c r="A609" s="104"/>
      <c r="B609" s="4"/>
      <c r="D609" s="119"/>
      <c r="I609" s="94"/>
      <c r="Q609" s="94"/>
      <c r="R609" s="121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G609" s="94"/>
      <c r="AH609" s="94"/>
      <c r="AI609" s="94"/>
    </row>
    <row r="610" spans="1:35" ht="15.75" customHeight="1" x14ac:dyDescent="0.35">
      <c r="A610" s="104"/>
      <c r="B610" s="4"/>
      <c r="D610" s="119"/>
      <c r="I610" s="94"/>
      <c r="Q610" s="94"/>
      <c r="R610" s="121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G610" s="94"/>
      <c r="AH610" s="94"/>
      <c r="AI610" s="94"/>
    </row>
    <row r="611" spans="1:35" ht="15.75" customHeight="1" x14ac:dyDescent="0.35">
      <c r="A611" s="104"/>
      <c r="B611" s="4"/>
      <c r="D611" s="119"/>
      <c r="I611" s="94"/>
      <c r="Q611" s="94"/>
      <c r="R611" s="121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G611" s="94"/>
      <c r="AH611" s="94"/>
      <c r="AI611" s="94"/>
    </row>
    <row r="612" spans="1:35" ht="15.75" customHeight="1" x14ac:dyDescent="0.35">
      <c r="A612" s="104"/>
      <c r="B612" s="4"/>
      <c r="D612" s="119"/>
      <c r="I612" s="94"/>
      <c r="Q612" s="94"/>
      <c r="R612" s="121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G612" s="94"/>
      <c r="AH612" s="94"/>
      <c r="AI612" s="94"/>
    </row>
    <row r="613" spans="1:35" ht="15.75" customHeight="1" x14ac:dyDescent="0.35">
      <c r="A613" s="104"/>
      <c r="B613" s="4"/>
      <c r="D613" s="119"/>
      <c r="I613" s="94"/>
      <c r="Q613" s="94"/>
      <c r="R613" s="121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G613" s="94"/>
      <c r="AH613" s="94"/>
      <c r="AI613" s="94"/>
    </row>
    <row r="614" spans="1:35" ht="15.75" customHeight="1" x14ac:dyDescent="0.35">
      <c r="A614" s="104"/>
      <c r="B614" s="4"/>
      <c r="D614" s="119"/>
      <c r="I614" s="94"/>
      <c r="Q614" s="94"/>
      <c r="R614" s="121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G614" s="94"/>
      <c r="AH614" s="94"/>
      <c r="AI614" s="94"/>
    </row>
    <row r="615" spans="1:35" ht="15.75" customHeight="1" x14ac:dyDescent="0.35">
      <c r="A615" s="104"/>
      <c r="B615" s="4"/>
      <c r="D615" s="119"/>
      <c r="I615" s="94"/>
      <c r="Q615" s="94"/>
      <c r="R615" s="121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G615" s="94"/>
      <c r="AH615" s="94"/>
      <c r="AI615" s="94"/>
    </row>
    <row r="616" spans="1:35" ht="15.75" customHeight="1" x14ac:dyDescent="0.35">
      <c r="A616" s="104"/>
      <c r="B616" s="4"/>
      <c r="D616" s="119"/>
      <c r="I616" s="94"/>
      <c r="Q616" s="94"/>
      <c r="R616" s="121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G616" s="94"/>
      <c r="AH616" s="94"/>
      <c r="AI616" s="94"/>
    </row>
    <row r="617" spans="1:35" ht="15.75" customHeight="1" x14ac:dyDescent="0.35">
      <c r="A617" s="104"/>
      <c r="B617" s="4"/>
      <c r="D617" s="119"/>
      <c r="I617" s="94"/>
      <c r="Q617" s="94"/>
      <c r="R617" s="121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G617" s="94"/>
      <c r="AH617" s="94"/>
      <c r="AI617" s="94"/>
    </row>
    <row r="618" spans="1:35" ht="15.75" customHeight="1" x14ac:dyDescent="0.35">
      <c r="A618" s="104"/>
      <c r="B618" s="4"/>
      <c r="D618" s="119"/>
      <c r="I618" s="94"/>
      <c r="Q618" s="94"/>
      <c r="R618" s="121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G618" s="94"/>
      <c r="AH618" s="94"/>
      <c r="AI618" s="94"/>
    </row>
    <row r="619" spans="1:35" ht="15.75" customHeight="1" x14ac:dyDescent="0.35">
      <c r="A619" s="104"/>
      <c r="B619" s="4"/>
      <c r="D619" s="119"/>
      <c r="I619" s="94"/>
      <c r="Q619" s="94"/>
      <c r="R619" s="121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G619" s="94"/>
      <c r="AH619" s="94"/>
      <c r="AI619" s="94"/>
    </row>
    <row r="620" spans="1:35" ht="15.75" customHeight="1" x14ac:dyDescent="0.35">
      <c r="A620" s="104"/>
      <c r="B620" s="4"/>
      <c r="D620" s="119"/>
      <c r="I620" s="94"/>
      <c r="Q620" s="94"/>
      <c r="R620" s="121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G620" s="94"/>
      <c r="AH620" s="94"/>
      <c r="AI620" s="94"/>
    </row>
    <row r="621" spans="1:35" ht="15.75" customHeight="1" x14ac:dyDescent="0.35">
      <c r="A621" s="104"/>
      <c r="B621" s="4"/>
      <c r="D621" s="119"/>
      <c r="I621" s="94"/>
      <c r="Q621" s="94"/>
      <c r="R621" s="121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G621" s="94"/>
      <c r="AH621" s="94"/>
      <c r="AI621" s="94"/>
    </row>
    <row r="622" spans="1:35" ht="15.75" customHeight="1" x14ac:dyDescent="0.35">
      <c r="A622" s="104"/>
      <c r="B622" s="4"/>
      <c r="D622" s="119"/>
      <c r="I622" s="94"/>
      <c r="Q622" s="94"/>
      <c r="R622" s="121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G622" s="94"/>
      <c r="AH622" s="94"/>
      <c r="AI622" s="94"/>
    </row>
    <row r="623" spans="1:35" ht="15.75" customHeight="1" x14ac:dyDescent="0.35">
      <c r="A623" s="104"/>
      <c r="B623" s="4"/>
      <c r="D623" s="119"/>
      <c r="I623" s="94"/>
      <c r="Q623" s="94"/>
      <c r="R623" s="121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G623" s="94"/>
      <c r="AH623" s="94"/>
      <c r="AI623" s="94"/>
    </row>
    <row r="624" spans="1:35" ht="15.75" customHeight="1" x14ac:dyDescent="0.35">
      <c r="A624" s="104"/>
      <c r="B624" s="4"/>
      <c r="D624" s="119"/>
      <c r="I624" s="94"/>
      <c r="Q624" s="94"/>
      <c r="R624" s="121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G624" s="94"/>
      <c r="AH624" s="94"/>
      <c r="AI624" s="94"/>
    </row>
    <row r="625" spans="1:35" ht="15.75" customHeight="1" x14ac:dyDescent="0.35">
      <c r="A625" s="104"/>
      <c r="B625" s="4"/>
      <c r="D625" s="119"/>
      <c r="I625" s="94"/>
      <c r="Q625" s="94"/>
      <c r="R625" s="121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G625" s="94"/>
      <c r="AH625" s="94"/>
      <c r="AI625" s="94"/>
    </row>
    <row r="626" spans="1:35" ht="15.75" customHeight="1" x14ac:dyDescent="0.35">
      <c r="A626" s="104"/>
      <c r="B626" s="4"/>
      <c r="D626" s="119"/>
      <c r="I626" s="94"/>
      <c r="Q626" s="94"/>
      <c r="R626" s="121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G626" s="94"/>
      <c r="AH626" s="94"/>
      <c r="AI626" s="94"/>
    </row>
    <row r="627" spans="1:35" ht="15.75" customHeight="1" x14ac:dyDescent="0.35">
      <c r="A627" s="104"/>
      <c r="B627" s="4"/>
      <c r="D627" s="119"/>
      <c r="I627" s="94"/>
      <c r="Q627" s="94"/>
      <c r="R627" s="121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G627" s="94"/>
      <c r="AH627" s="94"/>
      <c r="AI627" s="94"/>
    </row>
    <row r="628" spans="1:35" ht="15.75" customHeight="1" x14ac:dyDescent="0.35">
      <c r="A628" s="104"/>
      <c r="B628" s="4"/>
      <c r="D628" s="119"/>
      <c r="I628" s="94"/>
      <c r="Q628" s="94"/>
      <c r="R628" s="121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G628" s="94"/>
      <c r="AH628" s="94"/>
      <c r="AI628" s="94"/>
    </row>
    <row r="629" spans="1:35" ht="15.75" customHeight="1" x14ac:dyDescent="0.35">
      <c r="A629" s="104"/>
      <c r="B629" s="4"/>
      <c r="D629" s="119"/>
      <c r="I629" s="94"/>
      <c r="Q629" s="94"/>
      <c r="R629" s="121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G629" s="94"/>
      <c r="AH629" s="94"/>
      <c r="AI629" s="94"/>
    </row>
    <row r="630" spans="1:35" ht="15.75" customHeight="1" x14ac:dyDescent="0.35">
      <c r="A630" s="104"/>
      <c r="B630" s="4"/>
      <c r="D630" s="119"/>
      <c r="I630" s="94"/>
      <c r="Q630" s="94"/>
      <c r="R630" s="121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G630" s="94"/>
      <c r="AH630" s="94"/>
      <c r="AI630" s="94"/>
    </row>
    <row r="631" spans="1:35" ht="15.75" customHeight="1" x14ac:dyDescent="0.35">
      <c r="A631" s="104"/>
      <c r="B631" s="4"/>
      <c r="D631" s="119"/>
      <c r="I631" s="94"/>
      <c r="Q631" s="94"/>
      <c r="R631" s="121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G631" s="94"/>
      <c r="AH631" s="94"/>
      <c r="AI631" s="94"/>
    </row>
    <row r="632" spans="1:35" ht="15.75" customHeight="1" x14ac:dyDescent="0.35">
      <c r="A632" s="104"/>
      <c r="B632" s="4"/>
      <c r="D632" s="119"/>
      <c r="I632" s="94"/>
      <c r="Q632" s="94"/>
      <c r="R632" s="121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G632" s="94"/>
      <c r="AH632" s="94"/>
      <c r="AI632" s="94"/>
    </row>
    <row r="633" spans="1:35" ht="15.75" customHeight="1" x14ac:dyDescent="0.35">
      <c r="A633" s="104"/>
      <c r="B633" s="4"/>
      <c r="D633" s="119"/>
      <c r="I633" s="94"/>
      <c r="Q633" s="94"/>
      <c r="R633" s="121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G633" s="94"/>
      <c r="AH633" s="94"/>
      <c r="AI633" s="94"/>
    </row>
    <row r="634" spans="1:35" ht="15.75" customHeight="1" x14ac:dyDescent="0.35">
      <c r="A634" s="104"/>
      <c r="B634" s="4"/>
      <c r="D634" s="119"/>
      <c r="I634" s="94"/>
      <c r="Q634" s="94"/>
      <c r="R634" s="121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G634" s="94"/>
      <c r="AH634" s="94"/>
      <c r="AI634" s="94"/>
    </row>
    <row r="635" spans="1:35" ht="15.75" customHeight="1" x14ac:dyDescent="0.35">
      <c r="A635" s="104"/>
      <c r="B635" s="4"/>
      <c r="D635" s="119"/>
      <c r="I635" s="94"/>
      <c r="Q635" s="94"/>
      <c r="R635" s="121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G635" s="94"/>
      <c r="AH635" s="94"/>
      <c r="AI635" s="94"/>
    </row>
    <row r="636" spans="1:35" ht="15.75" customHeight="1" x14ac:dyDescent="0.35">
      <c r="A636" s="104"/>
      <c r="B636" s="4"/>
      <c r="D636" s="119"/>
      <c r="I636" s="94"/>
      <c r="Q636" s="94"/>
      <c r="R636" s="121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G636" s="94"/>
      <c r="AH636" s="94"/>
      <c r="AI636" s="94"/>
    </row>
    <row r="637" spans="1:35" ht="15.75" customHeight="1" x14ac:dyDescent="0.35">
      <c r="A637" s="104"/>
      <c r="B637" s="4"/>
      <c r="D637" s="119"/>
      <c r="I637" s="94"/>
      <c r="Q637" s="94"/>
      <c r="R637" s="121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G637" s="94"/>
      <c r="AH637" s="94"/>
      <c r="AI637" s="94"/>
    </row>
    <row r="638" spans="1:35" ht="15.75" customHeight="1" x14ac:dyDescent="0.35">
      <c r="A638" s="104"/>
      <c r="B638" s="4"/>
      <c r="D638" s="119"/>
      <c r="I638" s="94"/>
      <c r="Q638" s="94"/>
      <c r="R638" s="121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G638" s="94"/>
      <c r="AH638" s="94"/>
      <c r="AI638" s="94"/>
    </row>
    <row r="639" spans="1:35" ht="15.75" customHeight="1" x14ac:dyDescent="0.35">
      <c r="A639" s="104"/>
      <c r="B639" s="4"/>
      <c r="D639" s="119"/>
      <c r="I639" s="94"/>
      <c r="Q639" s="94"/>
      <c r="R639" s="121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G639" s="94"/>
      <c r="AH639" s="94"/>
      <c r="AI639" s="94"/>
    </row>
    <row r="640" spans="1:35" ht="15.75" customHeight="1" x14ac:dyDescent="0.35">
      <c r="A640" s="104"/>
      <c r="B640" s="4"/>
      <c r="D640" s="119"/>
      <c r="I640" s="94"/>
      <c r="Q640" s="94"/>
      <c r="R640" s="121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G640" s="94"/>
      <c r="AH640" s="94"/>
      <c r="AI640" s="94"/>
    </row>
    <row r="641" spans="1:35" ht="15.75" customHeight="1" x14ac:dyDescent="0.35">
      <c r="A641" s="104"/>
      <c r="B641" s="4"/>
      <c r="D641" s="119"/>
      <c r="I641" s="94"/>
      <c r="Q641" s="94"/>
      <c r="R641" s="121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G641" s="94"/>
      <c r="AH641" s="94"/>
      <c r="AI641" s="94"/>
    </row>
    <row r="642" spans="1:35" ht="15.75" customHeight="1" x14ac:dyDescent="0.35">
      <c r="A642" s="104"/>
      <c r="B642" s="4"/>
      <c r="D642" s="119"/>
      <c r="I642" s="94"/>
      <c r="Q642" s="94"/>
      <c r="R642" s="121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G642" s="94"/>
      <c r="AH642" s="94"/>
      <c r="AI642" s="94"/>
    </row>
    <row r="643" spans="1:35" ht="15.75" customHeight="1" x14ac:dyDescent="0.35">
      <c r="A643" s="104"/>
      <c r="B643" s="4"/>
      <c r="D643" s="119"/>
      <c r="I643" s="94"/>
      <c r="Q643" s="94"/>
      <c r="R643" s="121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G643" s="94"/>
      <c r="AH643" s="94"/>
      <c r="AI643" s="94"/>
    </row>
    <row r="644" spans="1:35" ht="15.75" customHeight="1" x14ac:dyDescent="0.35">
      <c r="A644" s="104"/>
      <c r="B644" s="4"/>
      <c r="D644" s="119"/>
      <c r="I644" s="94"/>
      <c r="Q644" s="94"/>
      <c r="R644" s="121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G644" s="94"/>
      <c r="AH644" s="94"/>
      <c r="AI644" s="94"/>
    </row>
    <row r="645" spans="1:35" ht="15.75" customHeight="1" x14ac:dyDescent="0.35">
      <c r="A645" s="104"/>
      <c r="B645" s="4"/>
      <c r="D645" s="119"/>
      <c r="I645" s="94"/>
      <c r="Q645" s="94"/>
      <c r="R645" s="121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G645" s="94"/>
      <c r="AH645" s="94"/>
      <c r="AI645" s="94"/>
    </row>
    <row r="646" spans="1:35" ht="15.75" customHeight="1" x14ac:dyDescent="0.35">
      <c r="A646" s="104"/>
      <c r="B646" s="4"/>
      <c r="D646" s="119"/>
      <c r="I646" s="94"/>
      <c r="Q646" s="94"/>
      <c r="R646" s="121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G646" s="94"/>
      <c r="AH646" s="94"/>
      <c r="AI646" s="94"/>
    </row>
    <row r="647" spans="1:35" ht="15.75" customHeight="1" x14ac:dyDescent="0.35">
      <c r="A647" s="104"/>
      <c r="B647" s="4"/>
      <c r="D647" s="119"/>
      <c r="I647" s="94"/>
      <c r="Q647" s="94"/>
      <c r="R647" s="121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G647" s="94"/>
      <c r="AH647" s="94"/>
      <c r="AI647" s="94"/>
    </row>
    <row r="648" spans="1:35" ht="15.75" customHeight="1" x14ac:dyDescent="0.35">
      <c r="A648" s="104"/>
      <c r="B648" s="4"/>
      <c r="D648" s="119"/>
      <c r="I648" s="94"/>
      <c r="Q648" s="94"/>
      <c r="R648" s="121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G648" s="94"/>
      <c r="AH648" s="94"/>
      <c r="AI648" s="94"/>
    </row>
    <row r="649" spans="1:35" ht="15.75" customHeight="1" x14ac:dyDescent="0.35">
      <c r="A649" s="104"/>
      <c r="B649" s="4"/>
      <c r="D649" s="119"/>
      <c r="I649" s="94"/>
      <c r="Q649" s="94"/>
      <c r="R649" s="121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G649" s="94"/>
      <c r="AH649" s="94"/>
      <c r="AI649" s="94"/>
    </row>
    <row r="650" spans="1:35" ht="15.75" customHeight="1" x14ac:dyDescent="0.35">
      <c r="A650" s="104"/>
      <c r="B650" s="4"/>
      <c r="D650" s="119"/>
      <c r="I650" s="94"/>
      <c r="Q650" s="94"/>
      <c r="R650" s="121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G650" s="94"/>
      <c r="AH650" s="94"/>
      <c r="AI650" s="94"/>
    </row>
    <row r="651" spans="1:35" ht="15.75" customHeight="1" x14ac:dyDescent="0.35">
      <c r="A651" s="104"/>
      <c r="B651" s="4"/>
      <c r="D651" s="119"/>
      <c r="I651" s="94"/>
      <c r="Q651" s="94"/>
      <c r="R651" s="121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G651" s="94"/>
      <c r="AH651" s="94"/>
      <c r="AI651" s="94"/>
    </row>
    <row r="652" spans="1:35" ht="15.75" customHeight="1" x14ac:dyDescent="0.35">
      <c r="A652" s="104"/>
      <c r="B652" s="4"/>
      <c r="D652" s="119"/>
      <c r="I652" s="94"/>
      <c r="Q652" s="94"/>
      <c r="R652" s="121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G652" s="94"/>
      <c r="AH652" s="94"/>
      <c r="AI652" s="94"/>
    </row>
    <row r="653" spans="1:35" ht="15.75" customHeight="1" x14ac:dyDescent="0.35">
      <c r="A653" s="104"/>
      <c r="B653" s="4"/>
      <c r="D653" s="119"/>
      <c r="I653" s="94"/>
      <c r="Q653" s="94"/>
      <c r="R653" s="121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G653" s="94"/>
      <c r="AH653" s="94"/>
      <c r="AI653" s="94"/>
    </row>
    <row r="654" spans="1:35" ht="15.75" customHeight="1" x14ac:dyDescent="0.35">
      <c r="A654" s="104"/>
      <c r="B654" s="4"/>
      <c r="D654" s="119"/>
      <c r="I654" s="94"/>
      <c r="Q654" s="94"/>
      <c r="R654" s="121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G654" s="94"/>
      <c r="AH654" s="94"/>
      <c r="AI654" s="94"/>
    </row>
    <row r="655" spans="1:35" ht="15.75" customHeight="1" x14ac:dyDescent="0.35">
      <c r="A655" s="104"/>
      <c r="B655" s="4"/>
      <c r="D655" s="119"/>
      <c r="I655" s="94"/>
      <c r="Q655" s="94"/>
      <c r="R655" s="121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G655" s="94"/>
      <c r="AH655" s="94"/>
      <c r="AI655" s="94"/>
    </row>
    <row r="656" spans="1:35" ht="15.75" customHeight="1" x14ac:dyDescent="0.35">
      <c r="A656" s="104"/>
      <c r="B656" s="4"/>
      <c r="D656" s="119"/>
      <c r="I656" s="94"/>
      <c r="Q656" s="94"/>
      <c r="R656" s="121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G656" s="94"/>
      <c r="AH656" s="94"/>
      <c r="AI656" s="94"/>
    </row>
    <row r="657" spans="1:35" ht="15.75" customHeight="1" x14ac:dyDescent="0.35">
      <c r="A657" s="104"/>
      <c r="B657" s="4"/>
      <c r="D657" s="119"/>
      <c r="I657" s="94"/>
      <c r="Q657" s="94"/>
      <c r="R657" s="121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G657" s="94"/>
      <c r="AH657" s="94"/>
      <c r="AI657" s="94"/>
    </row>
    <row r="658" spans="1:35" ht="15.75" customHeight="1" x14ac:dyDescent="0.35">
      <c r="A658" s="104"/>
      <c r="B658" s="4"/>
      <c r="D658" s="119"/>
      <c r="I658" s="94"/>
      <c r="Q658" s="94"/>
      <c r="R658" s="121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G658" s="94"/>
      <c r="AH658" s="94"/>
      <c r="AI658" s="94"/>
    </row>
    <row r="659" spans="1:35" ht="15.75" customHeight="1" x14ac:dyDescent="0.35">
      <c r="A659" s="104"/>
      <c r="B659" s="4"/>
      <c r="D659" s="119"/>
      <c r="I659" s="94"/>
      <c r="Q659" s="94"/>
      <c r="R659" s="121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G659" s="94"/>
      <c r="AH659" s="94"/>
      <c r="AI659" s="94"/>
    </row>
    <row r="660" spans="1:35" ht="15.75" customHeight="1" x14ac:dyDescent="0.35">
      <c r="A660" s="104"/>
      <c r="B660" s="4"/>
      <c r="D660" s="119"/>
      <c r="I660" s="94"/>
      <c r="Q660" s="94"/>
      <c r="R660" s="121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G660" s="94"/>
      <c r="AH660" s="94"/>
      <c r="AI660" s="94"/>
    </row>
    <row r="661" spans="1:35" ht="15.75" customHeight="1" x14ac:dyDescent="0.35">
      <c r="A661" s="104"/>
      <c r="B661" s="4"/>
      <c r="D661" s="119"/>
      <c r="I661" s="94"/>
      <c r="Q661" s="94"/>
      <c r="R661" s="121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G661" s="94"/>
      <c r="AH661" s="94"/>
      <c r="AI661" s="94"/>
    </row>
    <row r="662" spans="1:35" ht="15.75" customHeight="1" x14ac:dyDescent="0.35">
      <c r="A662" s="104"/>
      <c r="B662" s="4"/>
      <c r="D662" s="119"/>
      <c r="I662" s="94"/>
      <c r="Q662" s="94"/>
      <c r="R662" s="121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G662" s="94"/>
      <c r="AH662" s="94"/>
      <c r="AI662" s="94"/>
    </row>
    <row r="663" spans="1:35" ht="15.75" customHeight="1" x14ac:dyDescent="0.35">
      <c r="A663" s="104"/>
      <c r="B663" s="4"/>
      <c r="D663" s="119"/>
      <c r="I663" s="94"/>
      <c r="Q663" s="94"/>
      <c r="R663" s="121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G663" s="94"/>
      <c r="AH663" s="94"/>
      <c r="AI663" s="94"/>
    </row>
    <row r="664" spans="1:35" ht="15.75" customHeight="1" x14ac:dyDescent="0.35">
      <c r="A664" s="104"/>
      <c r="B664" s="4"/>
      <c r="D664" s="119"/>
      <c r="I664" s="94"/>
      <c r="Q664" s="94"/>
      <c r="R664" s="121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G664" s="94"/>
      <c r="AH664" s="94"/>
      <c r="AI664" s="94"/>
    </row>
    <row r="665" spans="1:35" ht="15.75" customHeight="1" x14ac:dyDescent="0.35">
      <c r="A665" s="104"/>
      <c r="B665" s="4"/>
      <c r="D665" s="119"/>
      <c r="I665" s="94"/>
      <c r="Q665" s="94"/>
      <c r="R665" s="121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G665" s="94"/>
      <c r="AH665" s="94"/>
      <c r="AI665" s="94"/>
    </row>
    <row r="666" spans="1:35" ht="15.75" customHeight="1" x14ac:dyDescent="0.35">
      <c r="A666" s="104"/>
      <c r="B666" s="4"/>
      <c r="D666" s="119"/>
      <c r="I666" s="94"/>
      <c r="Q666" s="94"/>
      <c r="R666" s="121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G666" s="94"/>
      <c r="AH666" s="94"/>
      <c r="AI666" s="94"/>
    </row>
    <row r="667" spans="1:35" ht="15.75" customHeight="1" x14ac:dyDescent="0.35">
      <c r="A667" s="104"/>
      <c r="B667" s="4"/>
      <c r="D667" s="119"/>
      <c r="I667" s="94"/>
      <c r="Q667" s="94"/>
      <c r="R667" s="121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G667" s="94"/>
      <c r="AH667" s="94"/>
      <c r="AI667" s="94"/>
    </row>
    <row r="668" spans="1:35" ht="15.75" customHeight="1" x14ac:dyDescent="0.35">
      <c r="A668" s="104"/>
      <c r="B668" s="4"/>
      <c r="D668" s="119"/>
      <c r="I668" s="94"/>
      <c r="Q668" s="94"/>
      <c r="R668" s="121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G668" s="94"/>
      <c r="AH668" s="94"/>
      <c r="AI668" s="94"/>
    </row>
    <row r="669" spans="1:35" ht="15.75" customHeight="1" x14ac:dyDescent="0.35">
      <c r="A669" s="104"/>
      <c r="B669" s="4"/>
      <c r="D669" s="119"/>
      <c r="I669" s="94"/>
      <c r="Q669" s="94"/>
      <c r="R669" s="121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G669" s="94"/>
      <c r="AH669" s="94"/>
      <c r="AI669" s="94"/>
    </row>
    <row r="670" spans="1:35" ht="15.75" customHeight="1" x14ac:dyDescent="0.35">
      <c r="A670" s="104"/>
      <c r="B670" s="4"/>
      <c r="D670" s="119"/>
      <c r="I670" s="94"/>
      <c r="Q670" s="94"/>
      <c r="R670" s="121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G670" s="94"/>
      <c r="AH670" s="94"/>
      <c r="AI670" s="94"/>
    </row>
    <row r="671" spans="1:35" ht="15.75" customHeight="1" x14ac:dyDescent="0.35">
      <c r="A671" s="104"/>
      <c r="B671" s="4"/>
      <c r="D671" s="119"/>
      <c r="I671" s="94"/>
      <c r="Q671" s="94"/>
      <c r="R671" s="121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G671" s="94"/>
      <c r="AH671" s="94"/>
      <c r="AI671" s="94"/>
    </row>
    <row r="672" spans="1:35" ht="15.75" customHeight="1" x14ac:dyDescent="0.35">
      <c r="A672" s="104"/>
      <c r="B672" s="4"/>
      <c r="D672" s="119"/>
      <c r="I672" s="94"/>
      <c r="Q672" s="94"/>
      <c r="R672" s="121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G672" s="94"/>
      <c r="AH672" s="94"/>
      <c r="AI672" s="94"/>
    </row>
    <row r="673" spans="1:35" ht="15.75" customHeight="1" x14ac:dyDescent="0.35">
      <c r="A673" s="104"/>
      <c r="B673" s="4"/>
      <c r="D673" s="119"/>
      <c r="I673" s="94"/>
      <c r="Q673" s="94"/>
      <c r="R673" s="121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G673" s="94"/>
      <c r="AH673" s="94"/>
      <c r="AI673" s="94"/>
    </row>
    <row r="674" spans="1:35" ht="15.75" customHeight="1" x14ac:dyDescent="0.35">
      <c r="A674" s="104"/>
      <c r="B674" s="4"/>
      <c r="D674" s="119"/>
      <c r="I674" s="94"/>
      <c r="Q674" s="94"/>
      <c r="R674" s="121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G674" s="94"/>
      <c r="AH674" s="94"/>
      <c r="AI674" s="94"/>
    </row>
    <row r="675" spans="1:35" ht="15.75" customHeight="1" x14ac:dyDescent="0.35">
      <c r="A675" s="104"/>
      <c r="B675" s="4"/>
      <c r="D675" s="119"/>
      <c r="I675" s="94"/>
      <c r="Q675" s="94"/>
      <c r="R675" s="121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G675" s="94"/>
      <c r="AH675" s="94"/>
      <c r="AI675" s="94"/>
    </row>
    <row r="676" spans="1:35" ht="15.75" customHeight="1" x14ac:dyDescent="0.35">
      <c r="A676" s="104"/>
      <c r="B676" s="4"/>
      <c r="D676" s="119"/>
      <c r="I676" s="94"/>
      <c r="Q676" s="94"/>
      <c r="R676" s="121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G676" s="94"/>
      <c r="AH676" s="94"/>
      <c r="AI676" s="94"/>
    </row>
    <row r="677" spans="1:35" ht="15.75" customHeight="1" x14ac:dyDescent="0.35">
      <c r="A677" s="104"/>
      <c r="B677" s="4"/>
      <c r="D677" s="119"/>
      <c r="I677" s="94"/>
      <c r="Q677" s="94"/>
      <c r="R677" s="121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G677" s="94"/>
      <c r="AH677" s="94"/>
      <c r="AI677" s="94"/>
    </row>
    <row r="678" spans="1:35" ht="15.75" customHeight="1" x14ac:dyDescent="0.35">
      <c r="A678" s="104"/>
      <c r="B678" s="4"/>
      <c r="D678" s="119"/>
      <c r="I678" s="94"/>
      <c r="Q678" s="94"/>
      <c r="R678" s="121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G678" s="94"/>
      <c r="AH678" s="94"/>
      <c r="AI678" s="94"/>
    </row>
    <row r="679" spans="1:35" ht="15.75" customHeight="1" x14ac:dyDescent="0.35">
      <c r="A679" s="104"/>
      <c r="B679" s="4"/>
      <c r="D679" s="119"/>
      <c r="I679" s="94"/>
      <c r="Q679" s="94"/>
      <c r="R679" s="121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G679" s="94"/>
      <c r="AH679" s="94"/>
      <c r="AI679" s="94"/>
    </row>
    <row r="680" spans="1:35" ht="15.75" customHeight="1" x14ac:dyDescent="0.35">
      <c r="A680" s="104"/>
      <c r="B680" s="4"/>
      <c r="D680" s="119"/>
      <c r="I680" s="94"/>
      <c r="Q680" s="94"/>
      <c r="R680" s="121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G680" s="94"/>
      <c r="AH680" s="94"/>
      <c r="AI680" s="94"/>
    </row>
    <row r="681" spans="1:35" ht="15.75" customHeight="1" x14ac:dyDescent="0.35">
      <c r="A681" s="104"/>
      <c r="B681" s="4"/>
      <c r="D681" s="119"/>
      <c r="I681" s="94"/>
      <c r="Q681" s="94"/>
      <c r="R681" s="121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G681" s="94"/>
      <c r="AH681" s="94"/>
      <c r="AI681" s="94"/>
    </row>
    <row r="682" spans="1:35" ht="15.75" customHeight="1" x14ac:dyDescent="0.35">
      <c r="A682" s="104"/>
      <c r="B682" s="4"/>
      <c r="D682" s="119"/>
      <c r="I682" s="94"/>
      <c r="Q682" s="94"/>
      <c r="R682" s="121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G682" s="94"/>
      <c r="AH682" s="94"/>
      <c r="AI682" s="94"/>
    </row>
    <row r="683" spans="1:35" ht="15.75" customHeight="1" x14ac:dyDescent="0.35">
      <c r="A683" s="104"/>
      <c r="B683" s="4"/>
      <c r="D683" s="119"/>
      <c r="I683" s="94"/>
      <c r="Q683" s="94"/>
      <c r="R683" s="121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G683" s="94"/>
      <c r="AH683" s="94"/>
      <c r="AI683" s="94"/>
    </row>
    <row r="684" spans="1:35" ht="15.75" customHeight="1" x14ac:dyDescent="0.35">
      <c r="A684" s="104"/>
      <c r="B684" s="4"/>
      <c r="D684" s="119"/>
      <c r="I684" s="94"/>
      <c r="Q684" s="94"/>
      <c r="R684" s="121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G684" s="94"/>
      <c r="AH684" s="94"/>
      <c r="AI684" s="94"/>
    </row>
    <row r="685" spans="1:35" ht="15.75" customHeight="1" x14ac:dyDescent="0.35">
      <c r="A685" s="104"/>
      <c r="B685" s="4"/>
      <c r="D685" s="119"/>
      <c r="I685" s="94"/>
      <c r="Q685" s="94"/>
      <c r="R685" s="121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G685" s="94"/>
      <c r="AH685" s="94"/>
      <c r="AI685" s="94"/>
    </row>
    <row r="686" spans="1:35" ht="15.75" customHeight="1" x14ac:dyDescent="0.35">
      <c r="A686" s="104"/>
      <c r="B686" s="4"/>
      <c r="D686" s="119"/>
      <c r="I686" s="94"/>
      <c r="Q686" s="94"/>
      <c r="R686" s="121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G686" s="94"/>
      <c r="AH686" s="94"/>
      <c r="AI686" s="94"/>
    </row>
    <row r="687" spans="1:35" ht="15.75" customHeight="1" x14ac:dyDescent="0.35">
      <c r="A687" s="104"/>
      <c r="B687" s="4"/>
      <c r="D687" s="119"/>
      <c r="I687" s="94"/>
      <c r="Q687" s="94"/>
      <c r="R687" s="121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G687" s="94"/>
      <c r="AH687" s="94"/>
      <c r="AI687" s="94"/>
    </row>
    <row r="688" spans="1:35" ht="15.75" customHeight="1" x14ac:dyDescent="0.35">
      <c r="A688" s="104"/>
      <c r="B688" s="4"/>
      <c r="D688" s="119"/>
      <c r="I688" s="94"/>
      <c r="Q688" s="94"/>
      <c r="R688" s="121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G688" s="94"/>
      <c r="AH688" s="94"/>
      <c r="AI688" s="94"/>
    </row>
    <row r="689" spans="1:35" ht="15.75" customHeight="1" x14ac:dyDescent="0.35">
      <c r="A689" s="104"/>
      <c r="B689" s="4"/>
      <c r="D689" s="119"/>
      <c r="I689" s="94"/>
      <c r="Q689" s="94"/>
      <c r="R689" s="121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G689" s="94"/>
      <c r="AH689" s="94"/>
      <c r="AI689" s="94"/>
    </row>
    <row r="690" spans="1:35" ht="15.75" customHeight="1" x14ac:dyDescent="0.35">
      <c r="A690" s="104"/>
      <c r="B690" s="4"/>
      <c r="D690" s="119"/>
      <c r="I690" s="94"/>
      <c r="Q690" s="94"/>
      <c r="R690" s="121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G690" s="94"/>
      <c r="AH690" s="94"/>
      <c r="AI690" s="94"/>
    </row>
    <row r="691" spans="1:35" ht="15.75" customHeight="1" x14ac:dyDescent="0.35">
      <c r="A691" s="104"/>
      <c r="B691" s="4"/>
      <c r="D691" s="119"/>
      <c r="I691" s="94"/>
      <c r="Q691" s="94"/>
      <c r="R691" s="121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G691" s="94"/>
      <c r="AH691" s="94"/>
      <c r="AI691" s="94"/>
    </row>
    <row r="692" spans="1:35" ht="15.75" customHeight="1" x14ac:dyDescent="0.35">
      <c r="A692" s="104"/>
      <c r="B692" s="4"/>
      <c r="D692" s="119"/>
      <c r="I692" s="94"/>
      <c r="Q692" s="94"/>
      <c r="R692" s="121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G692" s="94"/>
      <c r="AH692" s="94"/>
      <c r="AI692" s="94"/>
    </row>
    <row r="693" spans="1:35" ht="15.75" customHeight="1" x14ac:dyDescent="0.35">
      <c r="A693" s="104"/>
      <c r="B693" s="4"/>
      <c r="D693" s="119"/>
      <c r="I693" s="94"/>
      <c r="Q693" s="94"/>
      <c r="R693" s="121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G693" s="94"/>
      <c r="AH693" s="94"/>
      <c r="AI693" s="94"/>
    </row>
    <row r="694" spans="1:35" ht="15.75" customHeight="1" x14ac:dyDescent="0.35">
      <c r="A694" s="104"/>
      <c r="B694" s="4"/>
      <c r="D694" s="119"/>
      <c r="I694" s="94"/>
      <c r="Q694" s="94"/>
      <c r="R694" s="121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G694" s="94"/>
      <c r="AH694" s="94"/>
      <c r="AI694" s="94"/>
    </row>
    <row r="695" spans="1:35" ht="15.75" customHeight="1" x14ac:dyDescent="0.35">
      <c r="A695" s="104"/>
      <c r="B695" s="4"/>
      <c r="D695" s="119"/>
      <c r="I695" s="94"/>
      <c r="Q695" s="94"/>
      <c r="R695" s="121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G695" s="94"/>
      <c r="AH695" s="94"/>
      <c r="AI695" s="94"/>
    </row>
    <row r="696" spans="1:35" ht="15.75" customHeight="1" x14ac:dyDescent="0.35">
      <c r="A696" s="104"/>
      <c r="B696" s="4"/>
      <c r="D696" s="119"/>
      <c r="I696" s="94"/>
      <c r="Q696" s="94"/>
      <c r="R696" s="121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G696" s="94"/>
      <c r="AH696" s="94"/>
      <c r="AI696" s="94"/>
    </row>
    <row r="697" spans="1:35" ht="15.75" customHeight="1" x14ac:dyDescent="0.35">
      <c r="A697" s="104"/>
      <c r="B697" s="4"/>
      <c r="D697" s="119"/>
      <c r="I697" s="94"/>
      <c r="Q697" s="94"/>
      <c r="R697" s="121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G697" s="94"/>
      <c r="AH697" s="94"/>
      <c r="AI697" s="94"/>
    </row>
    <row r="698" spans="1:35" ht="15.75" customHeight="1" x14ac:dyDescent="0.35">
      <c r="A698" s="104"/>
      <c r="B698" s="4"/>
      <c r="D698" s="119"/>
      <c r="I698" s="94"/>
      <c r="Q698" s="94"/>
      <c r="R698" s="121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G698" s="94"/>
      <c r="AH698" s="94"/>
      <c r="AI698" s="94"/>
    </row>
    <row r="699" spans="1:35" ht="15.75" customHeight="1" x14ac:dyDescent="0.35">
      <c r="A699" s="104"/>
      <c r="B699" s="4"/>
      <c r="D699" s="119"/>
      <c r="I699" s="94"/>
      <c r="Q699" s="94"/>
      <c r="R699" s="121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G699" s="94"/>
      <c r="AH699" s="94"/>
      <c r="AI699" s="94"/>
    </row>
    <row r="700" spans="1:35" ht="15.75" customHeight="1" x14ac:dyDescent="0.35">
      <c r="A700" s="104"/>
      <c r="B700" s="4"/>
      <c r="D700" s="119"/>
      <c r="I700" s="94"/>
      <c r="Q700" s="94"/>
      <c r="R700" s="121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G700" s="94"/>
      <c r="AH700" s="94"/>
      <c r="AI700" s="94"/>
    </row>
    <row r="701" spans="1:35" ht="15.75" customHeight="1" x14ac:dyDescent="0.35">
      <c r="A701" s="104"/>
      <c r="B701" s="4"/>
      <c r="D701" s="119"/>
      <c r="I701" s="94"/>
      <c r="Q701" s="94"/>
      <c r="R701" s="121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G701" s="94"/>
      <c r="AH701" s="94"/>
      <c r="AI701" s="94"/>
    </row>
    <row r="702" spans="1:35" ht="15.75" customHeight="1" x14ac:dyDescent="0.35">
      <c r="A702" s="104"/>
      <c r="B702" s="4"/>
      <c r="D702" s="119"/>
      <c r="I702" s="94"/>
      <c r="Q702" s="94"/>
      <c r="R702" s="121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G702" s="94"/>
      <c r="AH702" s="94"/>
      <c r="AI702" s="94"/>
    </row>
    <row r="703" spans="1:35" ht="15.75" customHeight="1" x14ac:dyDescent="0.35">
      <c r="A703" s="104"/>
      <c r="B703" s="4"/>
      <c r="D703" s="119"/>
      <c r="I703" s="94"/>
      <c r="Q703" s="94"/>
      <c r="R703" s="121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G703" s="94"/>
      <c r="AH703" s="94"/>
      <c r="AI703" s="94"/>
    </row>
    <row r="704" spans="1:35" ht="15.75" customHeight="1" x14ac:dyDescent="0.35">
      <c r="A704" s="104"/>
      <c r="B704" s="4"/>
      <c r="D704" s="119"/>
      <c r="I704" s="94"/>
      <c r="Q704" s="94"/>
      <c r="R704" s="121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G704" s="94"/>
      <c r="AH704" s="94"/>
      <c r="AI704" s="94"/>
    </row>
    <row r="705" spans="1:35" ht="15.75" customHeight="1" x14ac:dyDescent="0.35">
      <c r="A705" s="104"/>
      <c r="B705" s="4"/>
      <c r="D705" s="119"/>
      <c r="I705" s="94"/>
      <c r="Q705" s="94"/>
      <c r="R705" s="121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G705" s="94"/>
      <c r="AH705" s="94"/>
      <c r="AI705" s="94"/>
    </row>
    <row r="706" spans="1:35" ht="15.75" customHeight="1" x14ac:dyDescent="0.35">
      <c r="A706" s="104"/>
      <c r="B706" s="4"/>
      <c r="D706" s="119"/>
      <c r="I706" s="94"/>
      <c r="Q706" s="94"/>
      <c r="R706" s="121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G706" s="94"/>
      <c r="AH706" s="94"/>
      <c r="AI706" s="94"/>
    </row>
    <row r="707" spans="1:35" ht="15.75" customHeight="1" x14ac:dyDescent="0.35">
      <c r="A707" s="104"/>
      <c r="B707" s="4"/>
      <c r="D707" s="119"/>
      <c r="I707" s="94"/>
      <c r="Q707" s="94"/>
      <c r="R707" s="121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G707" s="94"/>
      <c r="AH707" s="94"/>
      <c r="AI707" s="94"/>
    </row>
    <row r="708" spans="1:35" ht="15.75" customHeight="1" x14ac:dyDescent="0.35">
      <c r="A708" s="104"/>
      <c r="B708" s="4"/>
      <c r="D708" s="119"/>
      <c r="I708" s="94"/>
      <c r="Q708" s="94"/>
      <c r="R708" s="121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G708" s="94"/>
      <c r="AH708" s="94"/>
      <c r="AI708" s="94"/>
    </row>
    <row r="709" spans="1:35" ht="15.75" customHeight="1" x14ac:dyDescent="0.35">
      <c r="A709" s="104"/>
      <c r="B709" s="4"/>
      <c r="D709" s="119"/>
      <c r="I709" s="94"/>
      <c r="Q709" s="94"/>
      <c r="R709" s="121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G709" s="94"/>
      <c r="AH709" s="94"/>
      <c r="AI709" s="94"/>
    </row>
    <row r="710" spans="1:35" ht="15.75" customHeight="1" x14ac:dyDescent="0.35">
      <c r="A710" s="104"/>
      <c r="B710" s="4"/>
      <c r="D710" s="119"/>
      <c r="I710" s="94"/>
      <c r="Q710" s="94"/>
      <c r="R710" s="121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G710" s="94"/>
      <c r="AH710" s="94"/>
      <c r="AI710" s="94"/>
    </row>
    <row r="711" spans="1:35" ht="15.75" customHeight="1" x14ac:dyDescent="0.35">
      <c r="A711" s="104"/>
      <c r="B711" s="4"/>
      <c r="D711" s="119"/>
      <c r="I711" s="94"/>
      <c r="Q711" s="94"/>
      <c r="R711" s="121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G711" s="94"/>
      <c r="AH711" s="94"/>
      <c r="AI711" s="94"/>
    </row>
    <row r="712" spans="1:35" ht="15.75" customHeight="1" x14ac:dyDescent="0.35">
      <c r="A712" s="104"/>
      <c r="B712" s="4"/>
      <c r="D712" s="119"/>
      <c r="I712" s="94"/>
      <c r="Q712" s="94"/>
      <c r="R712" s="121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G712" s="94"/>
      <c r="AH712" s="94"/>
      <c r="AI712" s="94"/>
    </row>
    <row r="713" spans="1:35" ht="15.75" customHeight="1" x14ac:dyDescent="0.35">
      <c r="A713" s="104"/>
      <c r="B713" s="4"/>
      <c r="D713" s="119"/>
      <c r="I713" s="94"/>
      <c r="Q713" s="94"/>
      <c r="R713" s="121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G713" s="94"/>
      <c r="AH713" s="94"/>
      <c r="AI713" s="94"/>
    </row>
    <row r="714" spans="1:35" ht="15.75" customHeight="1" x14ac:dyDescent="0.35">
      <c r="A714" s="104"/>
      <c r="B714" s="4"/>
      <c r="D714" s="119"/>
      <c r="I714" s="94"/>
      <c r="Q714" s="94"/>
      <c r="R714" s="121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G714" s="94"/>
      <c r="AH714" s="94"/>
      <c r="AI714" s="94"/>
    </row>
    <row r="715" spans="1:35" ht="15.75" customHeight="1" x14ac:dyDescent="0.35">
      <c r="A715" s="104"/>
      <c r="B715" s="4"/>
      <c r="D715" s="119"/>
      <c r="I715" s="94"/>
      <c r="Q715" s="94"/>
      <c r="R715" s="121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G715" s="94"/>
      <c r="AH715" s="94"/>
      <c r="AI715" s="94"/>
    </row>
    <row r="716" spans="1:35" ht="15.75" customHeight="1" x14ac:dyDescent="0.35">
      <c r="A716" s="104"/>
      <c r="B716" s="4"/>
      <c r="D716" s="119"/>
      <c r="I716" s="94"/>
      <c r="Q716" s="94"/>
      <c r="R716" s="121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G716" s="94"/>
      <c r="AH716" s="94"/>
      <c r="AI716" s="94"/>
    </row>
    <row r="717" spans="1:35" ht="15.75" customHeight="1" x14ac:dyDescent="0.35">
      <c r="A717" s="104"/>
      <c r="B717" s="4"/>
      <c r="D717" s="119"/>
      <c r="I717" s="94"/>
      <c r="Q717" s="94"/>
      <c r="R717" s="121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G717" s="94"/>
      <c r="AH717" s="94"/>
      <c r="AI717" s="94"/>
    </row>
    <row r="718" spans="1:35" ht="15.75" customHeight="1" x14ac:dyDescent="0.35">
      <c r="A718" s="104"/>
      <c r="B718" s="4"/>
      <c r="D718" s="119"/>
      <c r="I718" s="94"/>
      <c r="Q718" s="94"/>
      <c r="R718" s="121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G718" s="94"/>
      <c r="AH718" s="94"/>
      <c r="AI718" s="94"/>
    </row>
    <row r="719" spans="1:35" ht="15.75" customHeight="1" x14ac:dyDescent="0.35">
      <c r="A719" s="104"/>
      <c r="B719" s="4"/>
      <c r="D719" s="119"/>
      <c r="I719" s="94"/>
      <c r="Q719" s="94"/>
      <c r="R719" s="121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G719" s="94"/>
      <c r="AH719" s="94"/>
      <c r="AI719" s="94"/>
    </row>
    <row r="720" spans="1:35" ht="15.75" customHeight="1" x14ac:dyDescent="0.35">
      <c r="A720" s="104"/>
      <c r="B720" s="4"/>
      <c r="D720" s="119"/>
      <c r="I720" s="94"/>
      <c r="Q720" s="94"/>
      <c r="R720" s="121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G720" s="94"/>
      <c r="AH720" s="94"/>
      <c r="AI720" s="94"/>
    </row>
    <row r="721" spans="1:35" ht="15.75" customHeight="1" x14ac:dyDescent="0.35">
      <c r="A721" s="104"/>
      <c r="B721" s="4"/>
      <c r="D721" s="119"/>
      <c r="I721" s="94"/>
      <c r="Q721" s="94"/>
      <c r="R721" s="121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G721" s="94"/>
      <c r="AH721" s="94"/>
      <c r="AI721" s="94"/>
    </row>
    <row r="722" spans="1:35" ht="15.75" customHeight="1" x14ac:dyDescent="0.35">
      <c r="A722" s="104"/>
      <c r="B722" s="4"/>
      <c r="D722" s="119"/>
      <c r="I722" s="94"/>
      <c r="Q722" s="94"/>
      <c r="R722" s="121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G722" s="94"/>
      <c r="AH722" s="94"/>
      <c r="AI722" s="94"/>
    </row>
    <row r="723" spans="1:35" ht="15.75" customHeight="1" x14ac:dyDescent="0.35">
      <c r="A723" s="104"/>
      <c r="B723" s="4"/>
      <c r="D723" s="119"/>
      <c r="I723" s="94"/>
      <c r="Q723" s="94"/>
      <c r="R723" s="121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G723" s="94"/>
      <c r="AH723" s="94"/>
      <c r="AI723" s="94"/>
    </row>
    <row r="724" spans="1:35" ht="15.75" customHeight="1" x14ac:dyDescent="0.35">
      <c r="A724" s="104"/>
      <c r="B724" s="4"/>
      <c r="D724" s="119"/>
      <c r="I724" s="94"/>
      <c r="Q724" s="94"/>
      <c r="R724" s="121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G724" s="94"/>
      <c r="AH724" s="94"/>
      <c r="AI724" s="94"/>
    </row>
    <row r="725" spans="1:35" ht="15.75" customHeight="1" x14ac:dyDescent="0.35">
      <c r="A725" s="104"/>
      <c r="B725" s="4"/>
      <c r="D725" s="119"/>
      <c r="I725" s="94"/>
      <c r="Q725" s="94"/>
      <c r="R725" s="121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G725" s="94"/>
      <c r="AH725" s="94"/>
      <c r="AI725" s="94"/>
    </row>
    <row r="726" spans="1:35" ht="15.75" customHeight="1" x14ac:dyDescent="0.35">
      <c r="A726" s="104"/>
      <c r="B726" s="4"/>
      <c r="D726" s="119"/>
      <c r="I726" s="94"/>
      <c r="Q726" s="94"/>
      <c r="R726" s="121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G726" s="94"/>
      <c r="AH726" s="94"/>
      <c r="AI726" s="94"/>
    </row>
    <row r="727" spans="1:35" ht="15.75" customHeight="1" x14ac:dyDescent="0.35">
      <c r="A727" s="104"/>
      <c r="B727" s="4"/>
      <c r="D727" s="119"/>
      <c r="I727" s="94"/>
      <c r="Q727" s="94"/>
      <c r="R727" s="121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G727" s="94"/>
      <c r="AH727" s="94"/>
      <c r="AI727" s="94"/>
    </row>
    <row r="728" spans="1:35" ht="15.75" customHeight="1" x14ac:dyDescent="0.35">
      <c r="A728" s="104"/>
      <c r="B728" s="4"/>
      <c r="D728" s="119"/>
      <c r="I728" s="94"/>
      <c r="Q728" s="94"/>
      <c r="R728" s="121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G728" s="94"/>
      <c r="AH728" s="94"/>
      <c r="AI728" s="94"/>
    </row>
    <row r="729" spans="1:35" ht="15.75" customHeight="1" x14ac:dyDescent="0.35">
      <c r="A729" s="104"/>
      <c r="B729" s="4"/>
      <c r="D729" s="119"/>
      <c r="I729" s="94"/>
      <c r="Q729" s="94"/>
      <c r="R729" s="121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G729" s="94"/>
      <c r="AH729" s="94"/>
      <c r="AI729" s="94"/>
    </row>
    <row r="730" spans="1:35" ht="15.75" customHeight="1" x14ac:dyDescent="0.35">
      <c r="A730" s="104"/>
      <c r="B730" s="4"/>
      <c r="D730" s="119"/>
      <c r="I730" s="94"/>
      <c r="Q730" s="94"/>
      <c r="R730" s="121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G730" s="94"/>
      <c r="AH730" s="94"/>
      <c r="AI730" s="94"/>
    </row>
    <row r="731" spans="1:35" ht="15.75" customHeight="1" x14ac:dyDescent="0.35">
      <c r="A731" s="104"/>
      <c r="B731" s="4"/>
      <c r="D731" s="119"/>
      <c r="I731" s="94"/>
      <c r="Q731" s="94"/>
      <c r="R731" s="121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G731" s="94"/>
      <c r="AH731" s="94"/>
      <c r="AI731" s="94"/>
    </row>
    <row r="732" spans="1:35" ht="15.75" customHeight="1" x14ac:dyDescent="0.35">
      <c r="A732" s="104"/>
      <c r="B732" s="4"/>
      <c r="D732" s="119"/>
      <c r="I732" s="94"/>
      <c r="Q732" s="94"/>
      <c r="R732" s="121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G732" s="94"/>
      <c r="AH732" s="94"/>
      <c r="AI732" s="94"/>
    </row>
    <row r="733" spans="1:35" ht="15.75" customHeight="1" x14ac:dyDescent="0.35">
      <c r="A733" s="104"/>
      <c r="B733" s="4"/>
      <c r="D733" s="119"/>
      <c r="I733" s="94"/>
      <c r="Q733" s="94"/>
      <c r="R733" s="121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G733" s="94"/>
      <c r="AH733" s="94"/>
      <c r="AI733" s="94"/>
    </row>
    <row r="734" spans="1:35" ht="15.75" customHeight="1" x14ac:dyDescent="0.35">
      <c r="A734" s="104"/>
      <c r="B734" s="4"/>
      <c r="D734" s="119"/>
      <c r="I734" s="94"/>
      <c r="Q734" s="94"/>
      <c r="R734" s="121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G734" s="94"/>
      <c r="AH734" s="94"/>
      <c r="AI734" s="94"/>
    </row>
    <row r="735" spans="1:35" ht="15.75" customHeight="1" x14ac:dyDescent="0.35">
      <c r="A735" s="104"/>
      <c r="B735" s="4"/>
      <c r="D735" s="119"/>
      <c r="I735" s="94"/>
      <c r="Q735" s="94"/>
      <c r="R735" s="121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G735" s="94"/>
      <c r="AH735" s="94"/>
      <c r="AI735" s="94"/>
    </row>
    <row r="736" spans="1:35" ht="15.75" customHeight="1" x14ac:dyDescent="0.35">
      <c r="A736" s="104"/>
      <c r="B736" s="4"/>
      <c r="D736" s="119"/>
      <c r="I736" s="94"/>
      <c r="Q736" s="94"/>
      <c r="R736" s="121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G736" s="94"/>
      <c r="AH736" s="94"/>
      <c r="AI736" s="94"/>
    </row>
    <row r="737" spans="1:35" ht="15.75" customHeight="1" x14ac:dyDescent="0.35">
      <c r="A737" s="104"/>
      <c r="B737" s="4"/>
      <c r="D737" s="119"/>
      <c r="I737" s="94"/>
      <c r="Q737" s="94"/>
      <c r="R737" s="121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G737" s="94"/>
      <c r="AH737" s="94"/>
      <c r="AI737" s="94"/>
    </row>
    <row r="738" spans="1:35" ht="15.75" customHeight="1" x14ac:dyDescent="0.35">
      <c r="A738" s="104"/>
      <c r="B738" s="4"/>
      <c r="D738" s="119"/>
      <c r="I738" s="94"/>
      <c r="Q738" s="94"/>
      <c r="R738" s="121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G738" s="94"/>
      <c r="AH738" s="94"/>
      <c r="AI738" s="94"/>
    </row>
    <row r="739" spans="1:35" ht="15.75" customHeight="1" x14ac:dyDescent="0.35">
      <c r="A739" s="104"/>
      <c r="B739" s="4"/>
      <c r="D739" s="119"/>
      <c r="I739" s="94"/>
      <c r="Q739" s="94"/>
      <c r="R739" s="121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G739" s="94"/>
      <c r="AH739" s="94"/>
      <c r="AI739" s="94"/>
    </row>
    <row r="740" spans="1:35" ht="15.75" customHeight="1" x14ac:dyDescent="0.35">
      <c r="A740" s="104"/>
      <c r="B740" s="4"/>
      <c r="D740" s="119"/>
      <c r="I740" s="94"/>
      <c r="Q740" s="94"/>
      <c r="R740" s="121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G740" s="94"/>
      <c r="AH740" s="94"/>
      <c r="AI740" s="94"/>
    </row>
    <row r="741" spans="1:35" ht="15.75" customHeight="1" x14ac:dyDescent="0.35">
      <c r="A741" s="104"/>
      <c r="B741" s="4"/>
      <c r="D741" s="119"/>
      <c r="I741" s="94"/>
      <c r="Q741" s="94"/>
      <c r="R741" s="121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G741" s="94"/>
      <c r="AH741" s="94"/>
      <c r="AI741" s="94"/>
    </row>
    <row r="742" spans="1:35" ht="15.75" customHeight="1" x14ac:dyDescent="0.35">
      <c r="A742" s="104"/>
      <c r="B742" s="4"/>
      <c r="D742" s="119"/>
      <c r="I742" s="94"/>
      <c r="Q742" s="94"/>
      <c r="R742" s="121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G742" s="94"/>
      <c r="AH742" s="94"/>
      <c r="AI742" s="94"/>
    </row>
    <row r="743" spans="1:35" ht="15.75" customHeight="1" x14ac:dyDescent="0.35">
      <c r="A743" s="104"/>
      <c r="B743" s="4"/>
      <c r="D743" s="119"/>
      <c r="I743" s="94"/>
      <c r="Q743" s="94"/>
      <c r="R743" s="121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G743" s="94"/>
      <c r="AH743" s="94"/>
      <c r="AI743" s="94"/>
    </row>
    <row r="744" spans="1:35" ht="15.75" customHeight="1" x14ac:dyDescent="0.35">
      <c r="A744" s="104"/>
      <c r="B744" s="4"/>
      <c r="D744" s="119"/>
      <c r="I744" s="94"/>
      <c r="Q744" s="94"/>
      <c r="R744" s="121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G744" s="94"/>
      <c r="AH744" s="94"/>
      <c r="AI744" s="94"/>
    </row>
    <row r="745" spans="1:35" ht="15.75" customHeight="1" x14ac:dyDescent="0.35">
      <c r="A745" s="104"/>
      <c r="B745" s="4"/>
      <c r="D745" s="119"/>
      <c r="I745" s="94"/>
      <c r="Q745" s="94"/>
      <c r="R745" s="121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G745" s="94"/>
      <c r="AH745" s="94"/>
      <c r="AI745" s="94"/>
    </row>
    <row r="746" spans="1:35" ht="15.75" customHeight="1" x14ac:dyDescent="0.35">
      <c r="A746" s="104"/>
      <c r="B746" s="4"/>
      <c r="D746" s="119"/>
      <c r="I746" s="94"/>
      <c r="Q746" s="94"/>
      <c r="R746" s="121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G746" s="94"/>
      <c r="AH746" s="94"/>
      <c r="AI746" s="94"/>
    </row>
    <row r="747" spans="1:35" ht="15.75" customHeight="1" x14ac:dyDescent="0.35">
      <c r="A747" s="104"/>
      <c r="B747" s="4"/>
      <c r="D747" s="119"/>
      <c r="I747" s="94"/>
      <c r="Q747" s="94"/>
      <c r="R747" s="121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G747" s="94"/>
      <c r="AH747" s="94"/>
      <c r="AI747" s="94"/>
    </row>
    <row r="748" spans="1:35" ht="15.75" customHeight="1" x14ac:dyDescent="0.35">
      <c r="A748" s="104"/>
      <c r="B748" s="4"/>
      <c r="D748" s="119"/>
      <c r="I748" s="94"/>
      <c r="Q748" s="94"/>
      <c r="R748" s="121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G748" s="94"/>
      <c r="AH748" s="94"/>
      <c r="AI748" s="94"/>
    </row>
    <row r="749" spans="1:35" ht="15.75" customHeight="1" x14ac:dyDescent="0.35">
      <c r="A749" s="104"/>
      <c r="B749" s="4"/>
      <c r="D749" s="119"/>
      <c r="I749" s="94"/>
      <c r="Q749" s="94"/>
      <c r="R749" s="121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G749" s="94"/>
      <c r="AH749" s="94"/>
      <c r="AI749" s="94"/>
    </row>
    <row r="750" spans="1:35" ht="15.75" customHeight="1" x14ac:dyDescent="0.35">
      <c r="A750" s="104"/>
      <c r="B750" s="4"/>
      <c r="D750" s="119"/>
      <c r="I750" s="94"/>
      <c r="Q750" s="94"/>
      <c r="R750" s="121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G750" s="94"/>
      <c r="AH750" s="94"/>
      <c r="AI750" s="94"/>
    </row>
    <row r="751" spans="1:35" ht="15.75" customHeight="1" x14ac:dyDescent="0.35">
      <c r="A751" s="104"/>
      <c r="B751" s="4"/>
      <c r="D751" s="119"/>
      <c r="I751" s="94"/>
      <c r="Q751" s="94"/>
      <c r="R751" s="121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G751" s="94"/>
      <c r="AH751" s="94"/>
      <c r="AI751" s="94"/>
    </row>
    <row r="752" spans="1:35" ht="15.75" customHeight="1" x14ac:dyDescent="0.35">
      <c r="A752" s="104"/>
      <c r="B752" s="4"/>
      <c r="D752" s="119"/>
      <c r="I752" s="94"/>
      <c r="Q752" s="94"/>
      <c r="R752" s="121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G752" s="94"/>
      <c r="AH752" s="94"/>
      <c r="AI752" s="94"/>
    </row>
    <row r="753" spans="1:35" ht="15.75" customHeight="1" x14ac:dyDescent="0.35">
      <c r="A753" s="104"/>
      <c r="B753" s="4"/>
      <c r="D753" s="119"/>
      <c r="I753" s="94"/>
      <c r="Q753" s="94"/>
      <c r="R753" s="121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G753" s="94"/>
      <c r="AH753" s="94"/>
      <c r="AI753" s="94"/>
    </row>
    <row r="754" spans="1:35" ht="15.75" customHeight="1" x14ac:dyDescent="0.35">
      <c r="A754" s="104"/>
      <c r="B754" s="4"/>
      <c r="D754" s="119"/>
      <c r="I754" s="94"/>
      <c r="Q754" s="94"/>
      <c r="R754" s="121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G754" s="94"/>
      <c r="AH754" s="94"/>
      <c r="AI754" s="94"/>
    </row>
    <row r="755" spans="1:35" ht="15.75" customHeight="1" x14ac:dyDescent="0.35">
      <c r="A755" s="104"/>
      <c r="B755" s="4"/>
      <c r="D755" s="119"/>
      <c r="I755" s="94"/>
      <c r="Q755" s="94"/>
      <c r="R755" s="121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G755" s="94"/>
      <c r="AH755" s="94"/>
      <c r="AI755" s="94"/>
    </row>
    <row r="756" spans="1:35" ht="15.75" customHeight="1" x14ac:dyDescent="0.35">
      <c r="A756" s="104"/>
      <c r="B756" s="4"/>
      <c r="D756" s="119"/>
      <c r="I756" s="94"/>
      <c r="Q756" s="94"/>
      <c r="R756" s="121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G756" s="94"/>
      <c r="AH756" s="94"/>
      <c r="AI756" s="94"/>
    </row>
    <row r="757" spans="1:35" ht="15.75" customHeight="1" x14ac:dyDescent="0.35">
      <c r="A757" s="104"/>
      <c r="B757" s="4"/>
      <c r="D757" s="119"/>
      <c r="I757" s="94"/>
      <c r="Q757" s="94"/>
      <c r="R757" s="121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G757" s="94"/>
      <c r="AH757" s="94"/>
      <c r="AI757" s="94"/>
    </row>
    <row r="758" spans="1:35" ht="15.75" customHeight="1" x14ac:dyDescent="0.35">
      <c r="A758" s="104"/>
      <c r="B758" s="4"/>
      <c r="D758" s="119"/>
      <c r="I758" s="94"/>
      <c r="Q758" s="94"/>
      <c r="R758" s="121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G758" s="94"/>
      <c r="AH758" s="94"/>
      <c r="AI758" s="94"/>
    </row>
    <row r="759" spans="1:35" ht="15.75" customHeight="1" x14ac:dyDescent="0.35">
      <c r="A759" s="104"/>
      <c r="B759" s="4"/>
      <c r="D759" s="119"/>
      <c r="I759" s="94"/>
      <c r="Q759" s="94"/>
      <c r="R759" s="121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G759" s="94"/>
      <c r="AH759" s="94"/>
      <c r="AI759" s="94"/>
    </row>
    <row r="760" spans="1:35" ht="15.75" customHeight="1" x14ac:dyDescent="0.35">
      <c r="A760" s="104"/>
      <c r="B760" s="4"/>
      <c r="D760" s="119"/>
      <c r="I760" s="94"/>
      <c r="Q760" s="94"/>
      <c r="R760" s="121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G760" s="94"/>
      <c r="AH760" s="94"/>
      <c r="AI760" s="94"/>
    </row>
    <row r="761" spans="1:35" ht="15.75" customHeight="1" x14ac:dyDescent="0.35">
      <c r="A761" s="104"/>
      <c r="B761" s="4"/>
      <c r="D761" s="119"/>
      <c r="I761" s="94"/>
      <c r="Q761" s="94"/>
      <c r="R761" s="121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G761" s="94"/>
      <c r="AH761" s="94"/>
      <c r="AI761" s="94"/>
    </row>
    <row r="762" spans="1:35" ht="15.75" customHeight="1" x14ac:dyDescent="0.35">
      <c r="A762" s="104"/>
      <c r="B762" s="4"/>
      <c r="D762" s="119"/>
      <c r="I762" s="94"/>
      <c r="Q762" s="94"/>
      <c r="R762" s="121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G762" s="94"/>
      <c r="AH762" s="94"/>
      <c r="AI762" s="94"/>
    </row>
    <row r="763" spans="1:35" ht="15.75" customHeight="1" x14ac:dyDescent="0.35">
      <c r="A763" s="104"/>
      <c r="B763" s="4"/>
      <c r="D763" s="119"/>
      <c r="I763" s="94"/>
      <c r="Q763" s="94"/>
      <c r="R763" s="121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G763" s="94"/>
      <c r="AH763" s="94"/>
      <c r="AI763" s="94"/>
    </row>
    <row r="764" spans="1:35" ht="15.75" customHeight="1" x14ac:dyDescent="0.35">
      <c r="A764" s="104"/>
      <c r="B764" s="4"/>
      <c r="D764" s="119"/>
      <c r="I764" s="94"/>
      <c r="Q764" s="94"/>
      <c r="R764" s="121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G764" s="94"/>
      <c r="AH764" s="94"/>
      <c r="AI764" s="94"/>
    </row>
    <row r="765" spans="1:35" ht="15.75" customHeight="1" x14ac:dyDescent="0.35">
      <c r="A765" s="104"/>
      <c r="B765" s="4"/>
      <c r="D765" s="119"/>
      <c r="I765" s="94"/>
      <c r="Q765" s="94"/>
      <c r="R765" s="121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G765" s="94"/>
      <c r="AH765" s="94"/>
      <c r="AI765" s="94"/>
    </row>
    <row r="766" spans="1:35" ht="15.75" customHeight="1" x14ac:dyDescent="0.35">
      <c r="A766" s="104"/>
      <c r="B766" s="4"/>
      <c r="D766" s="119"/>
      <c r="I766" s="94"/>
      <c r="Q766" s="94"/>
      <c r="R766" s="121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G766" s="94"/>
      <c r="AH766" s="94"/>
      <c r="AI766" s="94"/>
    </row>
    <row r="767" spans="1:35" ht="15.75" customHeight="1" x14ac:dyDescent="0.35">
      <c r="A767" s="104"/>
      <c r="B767" s="4"/>
      <c r="D767" s="119"/>
      <c r="I767" s="94"/>
      <c r="Q767" s="94"/>
      <c r="R767" s="121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G767" s="94"/>
      <c r="AH767" s="94"/>
      <c r="AI767" s="94"/>
    </row>
    <row r="768" spans="1:35" ht="15.75" customHeight="1" x14ac:dyDescent="0.35">
      <c r="A768" s="104"/>
      <c r="B768" s="4"/>
      <c r="D768" s="119"/>
      <c r="I768" s="94"/>
      <c r="Q768" s="94"/>
      <c r="R768" s="121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G768" s="94"/>
      <c r="AH768" s="94"/>
      <c r="AI768" s="94"/>
    </row>
    <row r="769" spans="1:35" ht="15.75" customHeight="1" x14ac:dyDescent="0.35">
      <c r="A769" s="104"/>
      <c r="B769" s="4"/>
      <c r="D769" s="119"/>
      <c r="I769" s="94"/>
      <c r="Q769" s="94"/>
      <c r="R769" s="121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G769" s="94"/>
      <c r="AH769" s="94"/>
      <c r="AI769" s="94"/>
    </row>
    <row r="770" spans="1:35" ht="15.75" customHeight="1" x14ac:dyDescent="0.35">
      <c r="A770" s="104"/>
      <c r="B770" s="4"/>
      <c r="D770" s="119"/>
      <c r="I770" s="94"/>
      <c r="Q770" s="94"/>
      <c r="R770" s="121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G770" s="94"/>
      <c r="AH770" s="94"/>
      <c r="AI770" s="94"/>
    </row>
    <row r="771" spans="1:35" ht="15.75" customHeight="1" x14ac:dyDescent="0.35">
      <c r="A771" s="104"/>
      <c r="B771" s="4"/>
      <c r="D771" s="119"/>
      <c r="I771" s="94"/>
      <c r="Q771" s="94"/>
      <c r="R771" s="121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G771" s="94"/>
      <c r="AH771" s="94"/>
      <c r="AI771" s="94"/>
    </row>
    <row r="772" spans="1:35" ht="15.75" customHeight="1" x14ac:dyDescent="0.35">
      <c r="A772" s="104"/>
      <c r="B772" s="4"/>
      <c r="D772" s="119"/>
      <c r="I772" s="94"/>
      <c r="Q772" s="94"/>
      <c r="R772" s="121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G772" s="94"/>
      <c r="AH772" s="94"/>
      <c r="AI772" s="94"/>
    </row>
    <row r="773" spans="1:35" ht="15.75" customHeight="1" x14ac:dyDescent="0.35">
      <c r="A773" s="104"/>
      <c r="B773" s="4"/>
      <c r="D773" s="119"/>
      <c r="I773" s="94"/>
      <c r="Q773" s="94"/>
      <c r="R773" s="121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G773" s="94"/>
      <c r="AH773" s="94"/>
      <c r="AI773" s="94"/>
    </row>
    <row r="774" spans="1:35" ht="15.75" customHeight="1" x14ac:dyDescent="0.35">
      <c r="A774" s="104"/>
      <c r="B774" s="4"/>
      <c r="D774" s="119"/>
      <c r="I774" s="94"/>
      <c r="Q774" s="94"/>
      <c r="R774" s="121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G774" s="94"/>
      <c r="AH774" s="94"/>
      <c r="AI774" s="94"/>
    </row>
    <row r="775" spans="1:35" ht="15.75" customHeight="1" x14ac:dyDescent="0.35">
      <c r="A775" s="104"/>
      <c r="B775" s="4"/>
      <c r="D775" s="119"/>
      <c r="I775" s="94"/>
      <c r="Q775" s="94"/>
      <c r="R775" s="121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G775" s="94"/>
      <c r="AH775" s="94"/>
      <c r="AI775" s="94"/>
    </row>
    <row r="776" spans="1:35" ht="15.75" customHeight="1" x14ac:dyDescent="0.35">
      <c r="A776" s="104"/>
      <c r="B776" s="4"/>
      <c r="D776" s="119"/>
      <c r="I776" s="94"/>
      <c r="Q776" s="94"/>
      <c r="R776" s="121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G776" s="94"/>
      <c r="AH776" s="94"/>
      <c r="AI776" s="94"/>
    </row>
    <row r="777" spans="1:35" ht="15.75" customHeight="1" x14ac:dyDescent="0.35">
      <c r="A777" s="104"/>
      <c r="B777" s="4"/>
      <c r="D777" s="119"/>
      <c r="I777" s="94"/>
      <c r="Q777" s="94"/>
      <c r="R777" s="121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G777" s="94"/>
      <c r="AH777" s="94"/>
      <c r="AI777" s="94"/>
    </row>
    <row r="778" spans="1:35" ht="15.75" customHeight="1" x14ac:dyDescent="0.35">
      <c r="A778" s="104"/>
      <c r="B778" s="4"/>
      <c r="D778" s="119"/>
      <c r="I778" s="94"/>
      <c r="Q778" s="94"/>
      <c r="R778" s="121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G778" s="94"/>
      <c r="AH778" s="94"/>
      <c r="AI778" s="94"/>
    </row>
    <row r="779" spans="1:35" ht="15.75" customHeight="1" x14ac:dyDescent="0.35">
      <c r="A779" s="104"/>
      <c r="B779" s="4"/>
      <c r="D779" s="119"/>
      <c r="I779" s="94"/>
      <c r="Q779" s="94"/>
      <c r="R779" s="121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G779" s="94"/>
      <c r="AH779" s="94"/>
      <c r="AI779" s="94"/>
    </row>
    <row r="780" spans="1:35" ht="15.75" customHeight="1" x14ac:dyDescent="0.35">
      <c r="A780" s="104"/>
      <c r="B780" s="4"/>
      <c r="D780" s="119"/>
      <c r="I780" s="94"/>
      <c r="Q780" s="94"/>
      <c r="R780" s="121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G780" s="94"/>
      <c r="AH780" s="94"/>
      <c r="AI780" s="94"/>
    </row>
    <row r="781" spans="1:35" ht="15.75" customHeight="1" x14ac:dyDescent="0.35">
      <c r="A781" s="104"/>
      <c r="B781" s="4"/>
      <c r="D781" s="119"/>
      <c r="I781" s="94"/>
      <c r="Q781" s="94"/>
      <c r="R781" s="121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G781" s="94"/>
      <c r="AH781" s="94"/>
      <c r="AI781" s="94"/>
    </row>
    <row r="782" spans="1:35" ht="15.75" customHeight="1" x14ac:dyDescent="0.35">
      <c r="A782" s="104"/>
      <c r="B782" s="4"/>
      <c r="D782" s="119"/>
      <c r="I782" s="94"/>
      <c r="Q782" s="94"/>
      <c r="R782" s="121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G782" s="94"/>
      <c r="AH782" s="94"/>
      <c r="AI782" s="94"/>
    </row>
    <row r="783" spans="1:35" ht="15.75" customHeight="1" x14ac:dyDescent="0.35">
      <c r="A783" s="104"/>
      <c r="B783" s="4"/>
      <c r="D783" s="119"/>
      <c r="I783" s="94"/>
      <c r="Q783" s="94"/>
      <c r="R783" s="121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G783" s="94"/>
      <c r="AH783" s="94"/>
      <c r="AI783" s="94"/>
    </row>
    <row r="784" spans="1:35" ht="15.75" customHeight="1" x14ac:dyDescent="0.35">
      <c r="A784" s="104"/>
      <c r="B784" s="4"/>
      <c r="D784" s="119"/>
      <c r="I784" s="94"/>
      <c r="Q784" s="94"/>
      <c r="R784" s="121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G784" s="94"/>
      <c r="AH784" s="94"/>
      <c r="AI784" s="94"/>
    </row>
    <row r="785" spans="1:35" ht="15.75" customHeight="1" x14ac:dyDescent="0.35">
      <c r="A785" s="104"/>
      <c r="B785" s="4"/>
      <c r="D785" s="119"/>
      <c r="I785" s="94"/>
      <c r="Q785" s="94"/>
      <c r="R785" s="121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G785" s="94"/>
      <c r="AH785" s="94"/>
      <c r="AI785" s="94"/>
    </row>
    <row r="786" spans="1:35" ht="15.75" customHeight="1" x14ac:dyDescent="0.35">
      <c r="A786" s="104"/>
      <c r="B786" s="4"/>
      <c r="D786" s="119"/>
      <c r="I786" s="94"/>
      <c r="Q786" s="94"/>
      <c r="R786" s="121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G786" s="94"/>
      <c r="AH786" s="94"/>
      <c r="AI786" s="94"/>
    </row>
    <row r="787" spans="1:35" ht="15.75" customHeight="1" x14ac:dyDescent="0.35">
      <c r="A787" s="104"/>
      <c r="B787" s="4"/>
      <c r="D787" s="119"/>
      <c r="I787" s="94"/>
      <c r="Q787" s="94"/>
      <c r="R787" s="121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G787" s="94"/>
      <c r="AH787" s="94"/>
      <c r="AI787" s="94"/>
    </row>
    <row r="788" spans="1:35" ht="15.75" customHeight="1" x14ac:dyDescent="0.35">
      <c r="A788" s="104"/>
      <c r="B788" s="4"/>
      <c r="D788" s="119"/>
      <c r="I788" s="94"/>
      <c r="Q788" s="94"/>
      <c r="R788" s="121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G788" s="94"/>
      <c r="AH788" s="94"/>
      <c r="AI788" s="94"/>
    </row>
    <row r="789" spans="1:35" ht="15.75" customHeight="1" x14ac:dyDescent="0.35">
      <c r="A789" s="104"/>
      <c r="B789" s="4"/>
      <c r="D789" s="119"/>
      <c r="I789" s="94"/>
      <c r="Q789" s="94"/>
      <c r="R789" s="121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G789" s="94"/>
      <c r="AH789" s="94"/>
      <c r="AI789" s="94"/>
    </row>
    <row r="790" spans="1:35" ht="15.75" customHeight="1" x14ac:dyDescent="0.35">
      <c r="A790" s="104"/>
      <c r="B790" s="4"/>
      <c r="D790" s="119"/>
      <c r="I790" s="94"/>
      <c r="Q790" s="94"/>
      <c r="R790" s="121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G790" s="94"/>
      <c r="AH790" s="94"/>
      <c r="AI790" s="94"/>
    </row>
    <row r="791" spans="1:35" ht="15.75" customHeight="1" x14ac:dyDescent="0.35">
      <c r="A791" s="104"/>
      <c r="B791" s="4"/>
      <c r="D791" s="119"/>
      <c r="I791" s="94"/>
      <c r="Q791" s="94"/>
      <c r="R791" s="121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G791" s="94"/>
      <c r="AH791" s="94"/>
      <c r="AI791" s="94"/>
    </row>
    <row r="792" spans="1:35" ht="15.75" customHeight="1" x14ac:dyDescent="0.35">
      <c r="A792" s="104"/>
      <c r="B792" s="4"/>
      <c r="D792" s="119"/>
      <c r="I792" s="94"/>
      <c r="Q792" s="94"/>
      <c r="R792" s="121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G792" s="94"/>
      <c r="AH792" s="94"/>
      <c r="AI792" s="94"/>
    </row>
    <row r="793" spans="1:35" ht="15.75" customHeight="1" x14ac:dyDescent="0.35">
      <c r="A793" s="104"/>
      <c r="B793" s="4"/>
      <c r="D793" s="119"/>
      <c r="I793" s="94"/>
      <c r="Q793" s="94"/>
      <c r="R793" s="121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G793" s="94"/>
      <c r="AH793" s="94"/>
      <c r="AI793" s="94"/>
    </row>
    <row r="794" spans="1:35" ht="15.75" customHeight="1" x14ac:dyDescent="0.35">
      <c r="A794" s="104"/>
      <c r="B794" s="4"/>
      <c r="D794" s="119"/>
      <c r="I794" s="94"/>
      <c r="Q794" s="94"/>
      <c r="R794" s="121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G794" s="94"/>
      <c r="AH794" s="94"/>
      <c r="AI794" s="94"/>
    </row>
    <row r="795" spans="1:35" ht="15.75" customHeight="1" x14ac:dyDescent="0.35">
      <c r="A795" s="104"/>
      <c r="B795" s="4"/>
      <c r="D795" s="119"/>
      <c r="I795" s="94"/>
      <c r="Q795" s="94"/>
      <c r="R795" s="121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G795" s="94"/>
      <c r="AH795" s="94"/>
      <c r="AI795" s="94"/>
    </row>
    <row r="796" spans="1:35" ht="15.75" customHeight="1" x14ac:dyDescent="0.35">
      <c r="A796" s="104"/>
      <c r="B796" s="4"/>
      <c r="D796" s="119"/>
      <c r="I796" s="94"/>
      <c r="Q796" s="94"/>
      <c r="R796" s="121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G796" s="94"/>
      <c r="AH796" s="94"/>
      <c r="AI796" s="94"/>
    </row>
    <row r="797" spans="1:35" ht="15.75" customHeight="1" x14ac:dyDescent="0.35">
      <c r="A797" s="104"/>
      <c r="B797" s="4"/>
      <c r="D797" s="119"/>
      <c r="I797" s="94"/>
      <c r="Q797" s="94"/>
      <c r="R797" s="121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G797" s="94"/>
      <c r="AH797" s="94"/>
      <c r="AI797" s="94"/>
    </row>
    <row r="798" spans="1:35" ht="15.75" customHeight="1" x14ac:dyDescent="0.35">
      <c r="A798" s="104"/>
      <c r="B798" s="4"/>
      <c r="D798" s="119"/>
      <c r="I798" s="94"/>
      <c r="Q798" s="94"/>
      <c r="R798" s="121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G798" s="94"/>
      <c r="AH798" s="94"/>
      <c r="AI798" s="94"/>
    </row>
    <row r="799" spans="1:35" ht="15.75" customHeight="1" x14ac:dyDescent="0.35">
      <c r="A799" s="104"/>
      <c r="B799" s="4"/>
      <c r="D799" s="119"/>
      <c r="I799" s="94"/>
      <c r="Q799" s="94"/>
      <c r="R799" s="121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G799" s="94"/>
      <c r="AH799" s="94"/>
      <c r="AI799" s="94"/>
    </row>
    <row r="800" spans="1:35" ht="15.75" customHeight="1" x14ac:dyDescent="0.35">
      <c r="A800" s="104"/>
      <c r="B800" s="4"/>
      <c r="D800" s="119"/>
      <c r="I800" s="94"/>
      <c r="Q800" s="94"/>
      <c r="R800" s="121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G800" s="94"/>
      <c r="AH800" s="94"/>
      <c r="AI800" s="94"/>
    </row>
    <row r="801" spans="1:35" ht="15.75" customHeight="1" x14ac:dyDescent="0.35">
      <c r="A801" s="104"/>
      <c r="B801" s="4"/>
      <c r="D801" s="119"/>
      <c r="I801" s="94"/>
      <c r="Q801" s="94"/>
      <c r="R801" s="121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G801" s="94"/>
      <c r="AH801" s="94"/>
      <c r="AI801" s="94"/>
    </row>
    <row r="802" spans="1:35" ht="15.75" customHeight="1" x14ac:dyDescent="0.35">
      <c r="A802" s="104"/>
      <c r="B802" s="4"/>
      <c r="D802" s="119"/>
      <c r="I802" s="94"/>
      <c r="Q802" s="94"/>
      <c r="R802" s="121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G802" s="94"/>
      <c r="AH802" s="94"/>
      <c r="AI802" s="94"/>
    </row>
    <row r="803" spans="1:35" ht="15.75" customHeight="1" x14ac:dyDescent="0.35">
      <c r="A803" s="104"/>
      <c r="B803" s="4"/>
      <c r="D803" s="119"/>
      <c r="I803" s="94"/>
      <c r="Q803" s="94"/>
      <c r="R803" s="121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G803" s="94"/>
      <c r="AH803" s="94"/>
      <c r="AI803" s="94"/>
    </row>
    <row r="804" spans="1:35" ht="15.75" customHeight="1" x14ac:dyDescent="0.35">
      <c r="A804" s="104"/>
      <c r="B804" s="4"/>
      <c r="D804" s="119"/>
      <c r="I804" s="94"/>
      <c r="Q804" s="94"/>
      <c r="R804" s="121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G804" s="94"/>
      <c r="AH804" s="94"/>
      <c r="AI804" s="94"/>
    </row>
    <row r="805" spans="1:35" ht="15.75" customHeight="1" x14ac:dyDescent="0.35">
      <c r="A805" s="104"/>
      <c r="B805" s="4"/>
      <c r="D805" s="119"/>
      <c r="I805" s="94"/>
      <c r="Q805" s="94"/>
      <c r="R805" s="121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G805" s="94"/>
      <c r="AH805" s="94"/>
      <c r="AI805" s="94"/>
    </row>
    <row r="806" spans="1:35" ht="15.75" customHeight="1" x14ac:dyDescent="0.35">
      <c r="A806" s="104"/>
      <c r="B806" s="4"/>
      <c r="D806" s="119"/>
      <c r="I806" s="94"/>
      <c r="Q806" s="94"/>
      <c r="R806" s="121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G806" s="94"/>
      <c r="AH806" s="94"/>
      <c r="AI806" s="94"/>
    </row>
    <row r="807" spans="1:35" ht="15.75" customHeight="1" x14ac:dyDescent="0.35">
      <c r="A807" s="104"/>
      <c r="B807" s="4"/>
      <c r="D807" s="119"/>
      <c r="I807" s="94"/>
      <c r="Q807" s="94"/>
      <c r="R807" s="121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G807" s="94"/>
      <c r="AH807" s="94"/>
      <c r="AI807" s="94"/>
    </row>
    <row r="808" spans="1:35" ht="15.75" customHeight="1" x14ac:dyDescent="0.35">
      <c r="A808" s="104"/>
      <c r="B808" s="4"/>
      <c r="D808" s="119"/>
      <c r="I808" s="94"/>
      <c r="Q808" s="94"/>
      <c r="R808" s="121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G808" s="94"/>
      <c r="AH808" s="94"/>
      <c r="AI808" s="94"/>
    </row>
    <row r="809" spans="1:35" ht="15.75" customHeight="1" x14ac:dyDescent="0.35">
      <c r="A809" s="104"/>
      <c r="B809" s="4"/>
      <c r="D809" s="119"/>
      <c r="I809" s="94"/>
      <c r="Q809" s="94"/>
      <c r="R809" s="121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G809" s="94"/>
      <c r="AH809" s="94"/>
      <c r="AI809" s="94"/>
    </row>
    <row r="810" spans="1:35" ht="15.75" customHeight="1" x14ac:dyDescent="0.35">
      <c r="A810" s="104"/>
      <c r="B810" s="4"/>
      <c r="D810" s="119"/>
      <c r="I810" s="94"/>
      <c r="Q810" s="94"/>
      <c r="R810" s="121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G810" s="94"/>
      <c r="AH810" s="94"/>
      <c r="AI810" s="94"/>
    </row>
    <row r="811" spans="1:35" ht="15.75" customHeight="1" x14ac:dyDescent="0.35">
      <c r="A811" s="104"/>
      <c r="B811" s="4"/>
      <c r="D811" s="119"/>
      <c r="I811" s="94"/>
      <c r="Q811" s="94"/>
      <c r="R811" s="121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G811" s="94"/>
      <c r="AH811" s="94"/>
      <c r="AI811" s="94"/>
    </row>
    <row r="812" spans="1:35" ht="15.75" customHeight="1" x14ac:dyDescent="0.35">
      <c r="A812" s="104"/>
      <c r="B812" s="4"/>
      <c r="D812" s="119"/>
      <c r="I812" s="94"/>
      <c r="Q812" s="94"/>
      <c r="R812" s="121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G812" s="94"/>
      <c r="AH812" s="94"/>
      <c r="AI812" s="94"/>
    </row>
    <row r="813" spans="1:35" ht="15.75" customHeight="1" x14ac:dyDescent="0.35">
      <c r="A813" s="104"/>
      <c r="B813" s="4"/>
      <c r="D813" s="119"/>
      <c r="I813" s="94"/>
      <c r="Q813" s="94"/>
      <c r="R813" s="121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G813" s="94"/>
      <c r="AH813" s="94"/>
      <c r="AI813" s="94"/>
    </row>
    <row r="814" spans="1:35" ht="15.75" customHeight="1" x14ac:dyDescent="0.35">
      <c r="A814" s="104"/>
      <c r="B814" s="4"/>
      <c r="D814" s="119"/>
      <c r="I814" s="94"/>
      <c r="Q814" s="94"/>
      <c r="R814" s="121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G814" s="94"/>
      <c r="AH814" s="94"/>
      <c r="AI814" s="94"/>
    </row>
    <row r="815" spans="1:35" ht="15.75" customHeight="1" x14ac:dyDescent="0.35">
      <c r="A815" s="104"/>
      <c r="B815" s="4"/>
      <c r="D815" s="119"/>
      <c r="I815" s="94"/>
      <c r="Q815" s="94"/>
      <c r="R815" s="121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G815" s="94"/>
      <c r="AH815" s="94"/>
      <c r="AI815" s="94"/>
    </row>
    <row r="816" spans="1:35" ht="15.75" customHeight="1" x14ac:dyDescent="0.35">
      <c r="A816" s="104"/>
      <c r="B816" s="4"/>
      <c r="D816" s="119"/>
      <c r="I816" s="94"/>
      <c r="Q816" s="94"/>
      <c r="R816" s="121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G816" s="94"/>
      <c r="AH816" s="94"/>
      <c r="AI816" s="94"/>
    </row>
    <row r="817" spans="1:35" ht="15.75" customHeight="1" x14ac:dyDescent="0.35">
      <c r="A817" s="104"/>
      <c r="B817" s="4"/>
      <c r="D817" s="119"/>
      <c r="I817" s="94"/>
      <c r="Q817" s="94"/>
      <c r="R817" s="121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G817" s="94"/>
      <c r="AH817" s="94"/>
      <c r="AI817" s="94"/>
    </row>
    <row r="818" spans="1:35" ht="15.75" customHeight="1" x14ac:dyDescent="0.35">
      <c r="A818" s="104"/>
      <c r="B818" s="4"/>
      <c r="D818" s="119"/>
      <c r="I818" s="94"/>
      <c r="Q818" s="94"/>
      <c r="R818" s="121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G818" s="94"/>
      <c r="AH818" s="94"/>
      <c r="AI818" s="94"/>
    </row>
    <row r="819" spans="1:35" ht="15.75" customHeight="1" x14ac:dyDescent="0.35">
      <c r="A819" s="104"/>
      <c r="B819" s="4"/>
      <c r="D819" s="119"/>
      <c r="I819" s="94"/>
      <c r="Q819" s="94"/>
      <c r="R819" s="121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G819" s="94"/>
      <c r="AH819" s="94"/>
      <c r="AI819" s="94"/>
    </row>
    <row r="820" spans="1:35" ht="15.75" customHeight="1" x14ac:dyDescent="0.35">
      <c r="A820" s="104"/>
      <c r="B820" s="4"/>
      <c r="D820" s="119"/>
      <c r="I820" s="94"/>
      <c r="Q820" s="94"/>
      <c r="R820" s="121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G820" s="94"/>
      <c r="AH820" s="94"/>
      <c r="AI820" s="94"/>
    </row>
    <row r="821" spans="1:35" ht="15.75" customHeight="1" x14ac:dyDescent="0.35">
      <c r="A821" s="104"/>
      <c r="B821" s="4"/>
      <c r="D821" s="119"/>
      <c r="I821" s="94"/>
      <c r="Q821" s="94"/>
      <c r="R821" s="121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G821" s="94"/>
      <c r="AH821" s="94"/>
      <c r="AI821" s="94"/>
    </row>
    <row r="822" spans="1:35" ht="15.75" customHeight="1" x14ac:dyDescent="0.35">
      <c r="A822" s="104"/>
      <c r="B822" s="4"/>
      <c r="D822" s="119"/>
      <c r="I822" s="94"/>
      <c r="Q822" s="94"/>
      <c r="R822" s="121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G822" s="94"/>
      <c r="AH822" s="94"/>
      <c r="AI822" s="94"/>
    </row>
    <row r="823" spans="1:35" ht="15.75" customHeight="1" x14ac:dyDescent="0.35">
      <c r="A823" s="104"/>
      <c r="B823" s="4"/>
      <c r="D823" s="119"/>
      <c r="I823" s="94"/>
      <c r="Q823" s="94"/>
      <c r="R823" s="121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G823" s="94"/>
      <c r="AH823" s="94"/>
      <c r="AI823" s="94"/>
    </row>
    <row r="824" spans="1:35" ht="15.75" customHeight="1" x14ac:dyDescent="0.35">
      <c r="A824" s="104"/>
      <c r="B824" s="4"/>
      <c r="D824" s="119"/>
      <c r="I824" s="94"/>
      <c r="Q824" s="94"/>
      <c r="R824" s="121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G824" s="94"/>
      <c r="AH824" s="94"/>
      <c r="AI824" s="94"/>
    </row>
    <row r="825" spans="1:35" ht="15.75" customHeight="1" x14ac:dyDescent="0.35">
      <c r="A825" s="104"/>
      <c r="B825" s="4"/>
      <c r="D825" s="119"/>
      <c r="I825" s="94"/>
      <c r="Q825" s="94"/>
      <c r="R825" s="121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G825" s="94"/>
      <c r="AH825" s="94"/>
      <c r="AI825" s="94"/>
    </row>
    <row r="826" spans="1:35" ht="15.75" customHeight="1" x14ac:dyDescent="0.35">
      <c r="A826" s="104"/>
      <c r="B826" s="4"/>
      <c r="D826" s="119"/>
      <c r="I826" s="94"/>
      <c r="Q826" s="94"/>
      <c r="R826" s="121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G826" s="94"/>
      <c r="AH826" s="94"/>
      <c r="AI826" s="94"/>
    </row>
    <row r="827" spans="1:35" ht="15.75" customHeight="1" x14ac:dyDescent="0.35">
      <c r="A827" s="104"/>
      <c r="B827" s="4"/>
      <c r="D827" s="119"/>
      <c r="I827" s="94"/>
      <c r="Q827" s="94"/>
      <c r="R827" s="121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G827" s="94"/>
      <c r="AH827" s="94"/>
      <c r="AI827" s="94"/>
    </row>
    <row r="828" spans="1:35" ht="15.75" customHeight="1" x14ac:dyDescent="0.35">
      <c r="A828" s="104"/>
      <c r="B828" s="4"/>
      <c r="D828" s="119"/>
      <c r="I828" s="94"/>
      <c r="Q828" s="94"/>
      <c r="R828" s="121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G828" s="94"/>
      <c r="AH828" s="94"/>
      <c r="AI828" s="94"/>
    </row>
    <row r="829" spans="1:35" ht="15.75" customHeight="1" x14ac:dyDescent="0.35">
      <c r="A829" s="104"/>
      <c r="B829" s="4"/>
      <c r="D829" s="119"/>
      <c r="I829" s="94"/>
      <c r="Q829" s="94"/>
      <c r="R829" s="121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G829" s="94"/>
      <c r="AH829" s="94"/>
      <c r="AI829" s="94"/>
    </row>
    <row r="830" spans="1:35" ht="15.75" customHeight="1" x14ac:dyDescent="0.35">
      <c r="A830" s="104"/>
      <c r="B830" s="4"/>
      <c r="D830" s="119"/>
      <c r="I830" s="94"/>
      <c r="Q830" s="94"/>
      <c r="R830" s="121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G830" s="94"/>
      <c r="AH830" s="94"/>
      <c r="AI830" s="94"/>
    </row>
    <row r="831" spans="1:35" ht="15.75" customHeight="1" x14ac:dyDescent="0.35">
      <c r="A831" s="104"/>
      <c r="B831" s="4"/>
      <c r="D831" s="119"/>
      <c r="I831" s="94"/>
      <c r="Q831" s="94"/>
      <c r="R831" s="121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G831" s="94"/>
      <c r="AH831" s="94"/>
      <c r="AI831" s="94"/>
    </row>
    <row r="832" spans="1:35" ht="15.75" customHeight="1" x14ac:dyDescent="0.35">
      <c r="A832" s="104"/>
      <c r="B832" s="4"/>
      <c r="D832" s="119"/>
      <c r="I832" s="94"/>
      <c r="Q832" s="94"/>
      <c r="R832" s="121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G832" s="94"/>
      <c r="AH832" s="94"/>
      <c r="AI832" s="94"/>
    </row>
    <row r="833" spans="1:35" ht="15.75" customHeight="1" x14ac:dyDescent="0.35">
      <c r="A833" s="104"/>
      <c r="B833" s="4"/>
      <c r="D833" s="119"/>
      <c r="I833" s="94"/>
      <c r="Q833" s="94"/>
      <c r="R833" s="121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G833" s="94"/>
      <c r="AH833" s="94"/>
      <c r="AI833" s="94"/>
    </row>
    <row r="834" spans="1:35" ht="15.75" customHeight="1" x14ac:dyDescent="0.35">
      <c r="A834" s="104"/>
      <c r="B834" s="4"/>
      <c r="D834" s="119"/>
      <c r="I834" s="94"/>
      <c r="Q834" s="94"/>
      <c r="R834" s="121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G834" s="94"/>
      <c r="AH834" s="94"/>
      <c r="AI834" s="94"/>
    </row>
    <row r="835" spans="1:35" ht="15.75" customHeight="1" x14ac:dyDescent="0.35">
      <c r="A835" s="104"/>
      <c r="B835" s="4"/>
      <c r="D835" s="119"/>
      <c r="I835" s="94"/>
      <c r="Q835" s="94"/>
      <c r="R835" s="121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G835" s="94"/>
      <c r="AH835" s="94"/>
      <c r="AI835" s="94"/>
    </row>
    <row r="836" spans="1:35" ht="15.75" customHeight="1" x14ac:dyDescent="0.35">
      <c r="A836" s="104"/>
      <c r="B836" s="4"/>
      <c r="D836" s="119"/>
      <c r="I836" s="94"/>
      <c r="Q836" s="94"/>
      <c r="R836" s="121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G836" s="94"/>
      <c r="AH836" s="94"/>
      <c r="AI836" s="94"/>
    </row>
    <row r="837" spans="1:35" ht="15.75" customHeight="1" x14ac:dyDescent="0.35">
      <c r="A837" s="104"/>
      <c r="B837" s="4"/>
      <c r="D837" s="119"/>
      <c r="I837" s="94"/>
      <c r="Q837" s="94"/>
      <c r="R837" s="121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G837" s="94"/>
      <c r="AH837" s="94"/>
      <c r="AI837" s="94"/>
    </row>
    <row r="838" spans="1:35" ht="15.75" customHeight="1" x14ac:dyDescent="0.35">
      <c r="A838" s="104"/>
      <c r="B838" s="4"/>
      <c r="D838" s="119"/>
      <c r="I838" s="94"/>
      <c r="Q838" s="94"/>
      <c r="R838" s="121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G838" s="94"/>
      <c r="AH838" s="94"/>
      <c r="AI838" s="94"/>
    </row>
    <row r="839" spans="1:35" ht="15.75" customHeight="1" x14ac:dyDescent="0.35">
      <c r="A839" s="104"/>
      <c r="B839" s="4"/>
      <c r="D839" s="119"/>
      <c r="I839" s="94"/>
      <c r="Q839" s="94"/>
      <c r="R839" s="121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G839" s="94"/>
      <c r="AH839" s="94"/>
      <c r="AI839" s="94"/>
    </row>
    <row r="840" spans="1:35" ht="15.75" customHeight="1" x14ac:dyDescent="0.35">
      <c r="A840" s="104"/>
      <c r="B840" s="4"/>
      <c r="D840" s="119"/>
      <c r="I840" s="94"/>
      <c r="Q840" s="94"/>
      <c r="R840" s="121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G840" s="94"/>
      <c r="AH840" s="94"/>
      <c r="AI840" s="94"/>
    </row>
    <row r="841" spans="1:35" ht="15.75" customHeight="1" x14ac:dyDescent="0.35">
      <c r="A841" s="104"/>
      <c r="B841" s="4"/>
      <c r="D841" s="119"/>
      <c r="I841" s="94"/>
      <c r="Q841" s="94"/>
      <c r="R841" s="121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G841" s="94"/>
      <c r="AH841" s="94"/>
      <c r="AI841" s="94"/>
    </row>
    <row r="842" spans="1:35" ht="15.75" customHeight="1" x14ac:dyDescent="0.35">
      <c r="A842" s="104"/>
      <c r="B842" s="4"/>
      <c r="D842" s="119"/>
      <c r="I842" s="94"/>
      <c r="Q842" s="94"/>
      <c r="R842" s="121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G842" s="94"/>
      <c r="AH842" s="94"/>
      <c r="AI842" s="94"/>
    </row>
    <row r="843" spans="1:35" ht="15.75" customHeight="1" x14ac:dyDescent="0.35">
      <c r="A843" s="104"/>
      <c r="B843" s="4"/>
      <c r="D843" s="119"/>
      <c r="I843" s="94"/>
      <c r="Q843" s="94"/>
      <c r="R843" s="121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G843" s="94"/>
      <c r="AH843" s="94"/>
      <c r="AI843" s="94"/>
    </row>
    <row r="844" spans="1:35" ht="15.75" customHeight="1" x14ac:dyDescent="0.35">
      <c r="A844" s="104"/>
      <c r="B844" s="4"/>
      <c r="D844" s="119"/>
      <c r="I844" s="94"/>
      <c r="Q844" s="94"/>
      <c r="R844" s="121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G844" s="94"/>
      <c r="AH844" s="94"/>
      <c r="AI844" s="94"/>
    </row>
    <row r="845" spans="1:35" ht="15.75" customHeight="1" x14ac:dyDescent="0.35">
      <c r="A845" s="104"/>
      <c r="B845" s="4"/>
      <c r="D845" s="119"/>
      <c r="I845" s="94"/>
      <c r="Q845" s="94"/>
      <c r="R845" s="121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G845" s="94"/>
      <c r="AH845" s="94"/>
      <c r="AI845" s="94"/>
    </row>
    <row r="846" spans="1:35" ht="15.75" customHeight="1" x14ac:dyDescent="0.35">
      <c r="A846" s="104"/>
      <c r="B846" s="4"/>
      <c r="D846" s="119"/>
      <c r="I846" s="94"/>
      <c r="Q846" s="94"/>
      <c r="R846" s="121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G846" s="94"/>
      <c r="AH846" s="94"/>
      <c r="AI846" s="94"/>
    </row>
    <row r="847" spans="1:35" ht="15.75" customHeight="1" x14ac:dyDescent="0.35">
      <c r="A847" s="104"/>
      <c r="B847" s="4"/>
      <c r="D847" s="119"/>
      <c r="I847" s="94"/>
      <c r="Q847" s="94"/>
      <c r="R847" s="121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G847" s="94"/>
      <c r="AH847" s="94"/>
      <c r="AI847" s="94"/>
    </row>
    <row r="848" spans="1:35" ht="15.75" customHeight="1" x14ac:dyDescent="0.35">
      <c r="A848" s="104"/>
      <c r="B848" s="4"/>
      <c r="D848" s="119"/>
      <c r="I848" s="94"/>
      <c r="Q848" s="94"/>
      <c r="R848" s="121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G848" s="94"/>
      <c r="AH848" s="94"/>
      <c r="AI848" s="94"/>
    </row>
    <row r="849" spans="1:35" ht="15.75" customHeight="1" x14ac:dyDescent="0.35">
      <c r="A849" s="104"/>
      <c r="B849" s="4"/>
      <c r="D849" s="119"/>
      <c r="I849" s="94"/>
      <c r="Q849" s="94"/>
      <c r="R849" s="121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G849" s="94"/>
      <c r="AH849" s="94"/>
      <c r="AI849" s="94"/>
    </row>
    <row r="850" spans="1:35" ht="15.75" customHeight="1" x14ac:dyDescent="0.35">
      <c r="A850" s="104"/>
      <c r="B850" s="4"/>
      <c r="D850" s="119"/>
      <c r="I850" s="94"/>
      <c r="Q850" s="94"/>
      <c r="R850" s="121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G850" s="94"/>
      <c r="AH850" s="94"/>
      <c r="AI850" s="94"/>
    </row>
    <row r="851" spans="1:35" ht="15.75" customHeight="1" x14ac:dyDescent="0.35">
      <c r="A851" s="104"/>
      <c r="B851" s="4"/>
      <c r="D851" s="119"/>
      <c r="I851" s="94"/>
      <c r="Q851" s="94"/>
      <c r="R851" s="121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G851" s="94"/>
      <c r="AH851" s="94"/>
      <c r="AI851" s="94"/>
    </row>
    <row r="852" spans="1:35" ht="15.75" customHeight="1" x14ac:dyDescent="0.35">
      <c r="A852" s="104"/>
      <c r="B852" s="4"/>
      <c r="D852" s="119"/>
      <c r="I852" s="94"/>
      <c r="Q852" s="94"/>
      <c r="R852" s="121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G852" s="94"/>
      <c r="AH852" s="94"/>
      <c r="AI852" s="94"/>
    </row>
    <row r="853" spans="1:35" ht="15.75" customHeight="1" x14ac:dyDescent="0.35">
      <c r="A853" s="104"/>
      <c r="B853" s="4"/>
      <c r="D853" s="119"/>
      <c r="I853" s="94"/>
      <c r="Q853" s="94"/>
      <c r="R853" s="121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G853" s="94"/>
      <c r="AH853" s="94"/>
      <c r="AI853" s="94"/>
    </row>
    <row r="854" spans="1:35" ht="15.75" customHeight="1" x14ac:dyDescent="0.35">
      <c r="A854" s="104"/>
      <c r="B854" s="4"/>
      <c r="D854" s="119"/>
      <c r="I854" s="94"/>
      <c r="Q854" s="94"/>
      <c r="R854" s="121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G854" s="94"/>
      <c r="AH854" s="94"/>
      <c r="AI854" s="94"/>
    </row>
    <row r="855" spans="1:35" ht="15.75" customHeight="1" x14ac:dyDescent="0.35">
      <c r="A855" s="104"/>
      <c r="B855" s="4"/>
      <c r="D855" s="119"/>
      <c r="I855" s="94"/>
      <c r="Q855" s="94"/>
      <c r="R855" s="121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G855" s="94"/>
      <c r="AH855" s="94"/>
      <c r="AI855" s="94"/>
    </row>
    <row r="856" spans="1:35" ht="15.75" customHeight="1" x14ac:dyDescent="0.35">
      <c r="A856" s="104"/>
      <c r="B856" s="4"/>
      <c r="D856" s="119"/>
      <c r="I856" s="94"/>
      <c r="Q856" s="94"/>
      <c r="R856" s="121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G856" s="94"/>
      <c r="AH856" s="94"/>
      <c r="AI856" s="94"/>
    </row>
    <row r="857" spans="1:35" ht="15.75" customHeight="1" x14ac:dyDescent="0.35">
      <c r="A857" s="104"/>
      <c r="B857" s="4"/>
      <c r="D857" s="119"/>
      <c r="I857" s="94"/>
      <c r="Q857" s="94"/>
      <c r="R857" s="121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G857" s="94"/>
      <c r="AH857" s="94"/>
      <c r="AI857" s="94"/>
    </row>
    <row r="858" spans="1:35" ht="15.75" customHeight="1" x14ac:dyDescent="0.35">
      <c r="A858" s="104"/>
      <c r="B858" s="4"/>
      <c r="D858" s="119"/>
      <c r="I858" s="94"/>
      <c r="Q858" s="94"/>
      <c r="R858" s="121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G858" s="94"/>
      <c r="AH858" s="94"/>
      <c r="AI858" s="94"/>
    </row>
    <row r="859" spans="1:35" ht="15.75" customHeight="1" x14ac:dyDescent="0.35">
      <c r="A859" s="104"/>
      <c r="B859" s="4"/>
      <c r="D859" s="119"/>
      <c r="I859" s="94"/>
      <c r="Q859" s="94"/>
      <c r="R859" s="121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G859" s="94"/>
      <c r="AH859" s="94"/>
      <c r="AI859" s="94"/>
    </row>
    <row r="860" spans="1:35" ht="15.75" customHeight="1" x14ac:dyDescent="0.35">
      <c r="A860" s="104"/>
      <c r="B860" s="4"/>
      <c r="D860" s="119"/>
      <c r="I860" s="94"/>
      <c r="Q860" s="94"/>
      <c r="R860" s="121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G860" s="94"/>
      <c r="AH860" s="94"/>
      <c r="AI860" s="94"/>
    </row>
    <row r="861" spans="1:35" ht="15.75" customHeight="1" x14ac:dyDescent="0.35">
      <c r="A861" s="104"/>
      <c r="B861" s="4"/>
      <c r="D861" s="119"/>
      <c r="I861" s="94"/>
      <c r="Q861" s="94"/>
      <c r="R861" s="121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G861" s="94"/>
      <c r="AH861" s="94"/>
      <c r="AI861" s="94"/>
    </row>
    <row r="862" spans="1:35" ht="15.75" customHeight="1" x14ac:dyDescent="0.35">
      <c r="A862" s="104"/>
      <c r="B862" s="4"/>
      <c r="D862" s="119"/>
      <c r="I862" s="94"/>
      <c r="Q862" s="94"/>
      <c r="R862" s="121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G862" s="94"/>
      <c r="AH862" s="94"/>
      <c r="AI862" s="94"/>
    </row>
    <row r="863" spans="1:35" ht="15.75" customHeight="1" x14ac:dyDescent="0.35">
      <c r="A863" s="104"/>
      <c r="B863" s="4"/>
      <c r="D863" s="119"/>
      <c r="I863" s="94"/>
      <c r="Q863" s="94"/>
      <c r="R863" s="121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G863" s="94"/>
      <c r="AH863" s="94"/>
      <c r="AI863" s="94"/>
    </row>
    <row r="864" spans="1:35" ht="15.75" customHeight="1" x14ac:dyDescent="0.35">
      <c r="A864" s="104"/>
      <c r="B864" s="4"/>
      <c r="D864" s="119"/>
      <c r="I864" s="94"/>
      <c r="Q864" s="94"/>
      <c r="R864" s="121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G864" s="94"/>
      <c r="AH864" s="94"/>
      <c r="AI864" s="94"/>
    </row>
    <row r="865" spans="1:35" ht="15.75" customHeight="1" x14ac:dyDescent="0.35">
      <c r="A865" s="104"/>
      <c r="B865" s="4"/>
      <c r="D865" s="119"/>
      <c r="I865" s="94"/>
      <c r="Q865" s="94"/>
      <c r="R865" s="121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G865" s="94"/>
      <c r="AH865" s="94"/>
      <c r="AI865" s="94"/>
    </row>
    <row r="866" spans="1:35" ht="15.75" customHeight="1" x14ac:dyDescent="0.35">
      <c r="A866" s="104"/>
      <c r="B866" s="4"/>
      <c r="D866" s="119"/>
      <c r="I866" s="94"/>
      <c r="Q866" s="94"/>
      <c r="R866" s="121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G866" s="94"/>
      <c r="AH866" s="94"/>
      <c r="AI866" s="94"/>
    </row>
    <row r="867" spans="1:35" ht="15.75" customHeight="1" x14ac:dyDescent="0.35">
      <c r="A867" s="104"/>
      <c r="B867" s="4"/>
      <c r="D867" s="119"/>
      <c r="I867" s="94"/>
      <c r="Q867" s="94"/>
      <c r="R867" s="121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G867" s="94"/>
      <c r="AH867" s="94"/>
      <c r="AI867" s="94"/>
    </row>
    <row r="868" spans="1:35" ht="15.75" customHeight="1" x14ac:dyDescent="0.35">
      <c r="A868" s="104"/>
      <c r="B868" s="4"/>
      <c r="D868" s="119"/>
      <c r="I868" s="94"/>
      <c r="Q868" s="94"/>
      <c r="R868" s="121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G868" s="94"/>
      <c r="AH868" s="94"/>
      <c r="AI868" s="94"/>
    </row>
    <row r="869" spans="1:35" ht="15.75" customHeight="1" x14ac:dyDescent="0.35">
      <c r="A869" s="104"/>
      <c r="B869" s="4"/>
      <c r="D869" s="119"/>
      <c r="I869" s="94"/>
      <c r="Q869" s="94"/>
      <c r="R869" s="121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G869" s="94"/>
      <c r="AH869" s="94"/>
      <c r="AI869" s="94"/>
    </row>
    <row r="870" spans="1:35" ht="15.75" customHeight="1" x14ac:dyDescent="0.35">
      <c r="A870" s="104"/>
      <c r="B870" s="4"/>
      <c r="D870" s="119"/>
      <c r="I870" s="94"/>
      <c r="Q870" s="94"/>
      <c r="R870" s="121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G870" s="94"/>
      <c r="AH870" s="94"/>
      <c r="AI870" s="94"/>
    </row>
    <row r="871" spans="1:35" ht="15.75" customHeight="1" x14ac:dyDescent="0.35">
      <c r="A871" s="104"/>
      <c r="B871" s="4"/>
      <c r="D871" s="119"/>
      <c r="I871" s="94"/>
      <c r="Q871" s="94"/>
      <c r="R871" s="121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G871" s="94"/>
      <c r="AH871" s="94"/>
      <c r="AI871" s="94"/>
    </row>
    <row r="872" spans="1:35" ht="15.75" customHeight="1" x14ac:dyDescent="0.35">
      <c r="A872" s="104"/>
      <c r="B872" s="4"/>
      <c r="D872" s="119"/>
      <c r="I872" s="94"/>
      <c r="Q872" s="94"/>
      <c r="R872" s="121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G872" s="94"/>
      <c r="AH872" s="94"/>
      <c r="AI872" s="94"/>
    </row>
    <row r="873" spans="1:35" ht="15.75" customHeight="1" x14ac:dyDescent="0.35">
      <c r="A873" s="104"/>
      <c r="B873" s="4"/>
      <c r="D873" s="119"/>
      <c r="I873" s="94"/>
      <c r="Q873" s="94"/>
      <c r="R873" s="121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G873" s="94"/>
      <c r="AH873" s="94"/>
      <c r="AI873" s="94"/>
    </row>
    <row r="874" spans="1:35" ht="15.75" customHeight="1" x14ac:dyDescent="0.35">
      <c r="A874" s="104"/>
      <c r="B874" s="4"/>
      <c r="D874" s="119"/>
      <c r="I874" s="94"/>
      <c r="Q874" s="94"/>
      <c r="R874" s="121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G874" s="94"/>
      <c r="AH874" s="94"/>
      <c r="AI874" s="94"/>
    </row>
    <row r="875" spans="1:35" ht="15.75" customHeight="1" x14ac:dyDescent="0.35">
      <c r="A875" s="104"/>
      <c r="B875" s="4"/>
      <c r="D875" s="119"/>
      <c r="I875" s="94"/>
      <c r="Q875" s="94"/>
      <c r="R875" s="121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G875" s="94"/>
      <c r="AH875" s="94"/>
      <c r="AI875" s="94"/>
    </row>
    <row r="876" spans="1:35" ht="15.75" customHeight="1" x14ac:dyDescent="0.35">
      <c r="A876" s="104"/>
      <c r="B876" s="4"/>
      <c r="D876" s="119"/>
      <c r="I876" s="94"/>
      <c r="Q876" s="94"/>
      <c r="R876" s="121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G876" s="94"/>
      <c r="AH876" s="94"/>
      <c r="AI876" s="94"/>
    </row>
    <row r="877" spans="1:35" ht="15.75" customHeight="1" x14ac:dyDescent="0.35">
      <c r="A877" s="104"/>
      <c r="B877" s="4"/>
      <c r="D877" s="119"/>
      <c r="I877" s="94"/>
      <c r="Q877" s="94"/>
      <c r="R877" s="121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G877" s="94"/>
      <c r="AH877" s="94"/>
      <c r="AI877" s="94"/>
    </row>
    <row r="878" spans="1:35" ht="15.75" customHeight="1" x14ac:dyDescent="0.35">
      <c r="A878" s="104"/>
      <c r="B878" s="4"/>
      <c r="D878" s="119"/>
      <c r="I878" s="94"/>
      <c r="Q878" s="94"/>
      <c r="R878" s="121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G878" s="94"/>
      <c r="AH878" s="94"/>
      <c r="AI878" s="94"/>
    </row>
    <row r="879" spans="1:35" ht="15.75" customHeight="1" x14ac:dyDescent="0.35">
      <c r="A879" s="104"/>
      <c r="B879" s="4"/>
      <c r="D879" s="119"/>
      <c r="I879" s="94"/>
      <c r="Q879" s="94"/>
      <c r="R879" s="121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G879" s="94"/>
      <c r="AH879" s="94"/>
      <c r="AI879" s="94"/>
    </row>
    <row r="880" spans="1:35" ht="15.75" customHeight="1" x14ac:dyDescent="0.35">
      <c r="A880" s="104"/>
      <c r="B880" s="4"/>
      <c r="D880" s="119"/>
      <c r="I880" s="94"/>
      <c r="Q880" s="94"/>
      <c r="R880" s="121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G880" s="94"/>
      <c r="AH880" s="94"/>
      <c r="AI880" s="94"/>
    </row>
    <row r="881" spans="1:35" ht="15.75" customHeight="1" x14ac:dyDescent="0.35">
      <c r="A881" s="104"/>
      <c r="B881" s="4"/>
      <c r="D881" s="119"/>
      <c r="I881" s="94"/>
      <c r="Q881" s="94"/>
      <c r="R881" s="121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G881" s="94"/>
      <c r="AH881" s="94"/>
      <c r="AI881" s="94"/>
    </row>
    <row r="882" spans="1:35" ht="15.75" customHeight="1" x14ac:dyDescent="0.35">
      <c r="A882" s="104"/>
      <c r="B882" s="4"/>
      <c r="D882" s="119"/>
      <c r="I882" s="94"/>
      <c r="Q882" s="94"/>
      <c r="R882" s="121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G882" s="94"/>
      <c r="AH882" s="94"/>
      <c r="AI882" s="94"/>
    </row>
    <row r="883" spans="1:35" ht="15.75" customHeight="1" x14ac:dyDescent="0.35">
      <c r="A883" s="104"/>
      <c r="B883" s="4"/>
      <c r="D883" s="119"/>
      <c r="I883" s="94"/>
      <c r="Q883" s="94"/>
      <c r="R883" s="121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G883" s="94"/>
      <c r="AH883" s="94"/>
      <c r="AI883" s="94"/>
    </row>
    <row r="884" spans="1:35" ht="15.75" customHeight="1" x14ac:dyDescent="0.35">
      <c r="A884" s="104"/>
      <c r="B884" s="4"/>
      <c r="D884" s="119"/>
      <c r="I884" s="94"/>
      <c r="Q884" s="94"/>
      <c r="R884" s="121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G884" s="94"/>
      <c r="AH884" s="94"/>
      <c r="AI884" s="94"/>
    </row>
    <row r="885" spans="1:35" ht="15.75" customHeight="1" x14ac:dyDescent="0.35">
      <c r="A885" s="104"/>
      <c r="B885" s="4"/>
      <c r="D885" s="119"/>
      <c r="I885" s="94"/>
      <c r="Q885" s="94"/>
      <c r="R885" s="121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G885" s="94"/>
      <c r="AH885" s="94"/>
      <c r="AI885" s="94"/>
    </row>
    <row r="886" spans="1:35" ht="15.75" customHeight="1" x14ac:dyDescent="0.35">
      <c r="A886" s="104"/>
      <c r="B886" s="4"/>
      <c r="D886" s="119"/>
      <c r="I886" s="94"/>
      <c r="Q886" s="94"/>
      <c r="R886" s="121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G886" s="94"/>
      <c r="AH886" s="94"/>
      <c r="AI886" s="94"/>
    </row>
    <row r="887" spans="1:35" ht="15.75" customHeight="1" x14ac:dyDescent="0.35">
      <c r="A887" s="104"/>
      <c r="B887" s="4"/>
      <c r="D887" s="119"/>
      <c r="I887" s="94"/>
      <c r="Q887" s="94"/>
      <c r="R887" s="121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G887" s="94"/>
      <c r="AH887" s="94"/>
      <c r="AI887" s="94"/>
    </row>
    <row r="888" spans="1:35" ht="15.75" customHeight="1" x14ac:dyDescent="0.35">
      <c r="A888" s="104"/>
      <c r="B888" s="4"/>
      <c r="D888" s="119"/>
      <c r="I888" s="94"/>
      <c r="Q888" s="94"/>
      <c r="R888" s="121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G888" s="94"/>
      <c r="AH888" s="94"/>
      <c r="AI888" s="94"/>
    </row>
    <row r="889" spans="1:35" ht="15.75" customHeight="1" x14ac:dyDescent="0.35">
      <c r="A889" s="104"/>
      <c r="B889" s="4"/>
      <c r="D889" s="119"/>
      <c r="I889" s="94"/>
      <c r="Q889" s="94"/>
      <c r="R889" s="121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G889" s="94"/>
      <c r="AH889" s="94"/>
      <c r="AI889" s="94"/>
    </row>
    <row r="890" spans="1:35" ht="15.75" customHeight="1" x14ac:dyDescent="0.35">
      <c r="A890" s="104"/>
      <c r="B890" s="4"/>
      <c r="D890" s="119"/>
      <c r="I890" s="94"/>
      <c r="Q890" s="94"/>
      <c r="R890" s="121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G890" s="94"/>
      <c r="AH890" s="94"/>
      <c r="AI890" s="94"/>
    </row>
    <row r="891" spans="1:35" ht="15.75" customHeight="1" x14ac:dyDescent="0.35">
      <c r="A891" s="104"/>
      <c r="B891" s="4"/>
      <c r="D891" s="119"/>
      <c r="I891" s="94"/>
      <c r="Q891" s="94"/>
      <c r="R891" s="121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G891" s="94"/>
      <c r="AH891" s="94"/>
      <c r="AI891" s="94"/>
    </row>
    <row r="892" spans="1:35" ht="15.75" customHeight="1" x14ac:dyDescent="0.35">
      <c r="A892" s="104"/>
      <c r="B892" s="4"/>
      <c r="D892" s="119"/>
      <c r="I892" s="94"/>
      <c r="Q892" s="94"/>
      <c r="R892" s="121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G892" s="94"/>
      <c r="AH892" s="94"/>
      <c r="AI892" s="94"/>
    </row>
    <row r="893" spans="1:35" ht="15.75" customHeight="1" x14ac:dyDescent="0.35">
      <c r="A893" s="104"/>
      <c r="B893" s="4"/>
      <c r="D893" s="119"/>
      <c r="I893" s="94"/>
      <c r="Q893" s="94"/>
      <c r="R893" s="121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G893" s="94"/>
      <c r="AH893" s="94"/>
      <c r="AI893" s="94"/>
    </row>
    <row r="894" spans="1:35" ht="15.75" customHeight="1" x14ac:dyDescent="0.35">
      <c r="A894" s="104"/>
      <c r="B894" s="4"/>
      <c r="D894" s="119"/>
      <c r="I894" s="94"/>
      <c r="Q894" s="94"/>
      <c r="R894" s="121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G894" s="94"/>
      <c r="AH894" s="94"/>
      <c r="AI894" s="94"/>
    </row>
    <row r="895" spans="1:35" ht="15.75" customHeight="1" x14ac:dyDescent="0.35">
      <c r="A895" s="104"/>
      <c r="B895" s="4"/>
      <c r="D895" s="119"/>
      <c r="I895" s="94"/>
      <c r="Q895" s="94"/>
      <c r="R895" s="121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G895" s="94"/>
      <c r="AH895" s="94"/>
      <c r="AI895" s="94"/>
    </row>
    <row r="896" spans="1:35" ht="15.75" customHeight="1" x14ac:dyDescent="0.35">
      <c r="A896" s="104"/>
      <c r="B896" s="4"/>
      <c r="D896" s="119"/>
      <c r="I896" s="94"/>
      <c r="Q896" s="94"/>
      <c r="R896" s="121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G896" s="94"/>
      <c r="AH896" s="94"/>
      <c r="AI896" s="94"/>
    </row>
    <row r="897" spans="1:35" ht="15.75" customHeight="1" x14ac:dyDescent="0.35">
      <c r="A897" s="104"/>
      <c r="B897" s="4"/>
      <c r="D897" s="119"/>
      <c r="I897" s="94"/>
      <c r="Q897" s="94"/>
      <c r="R897" s="121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G897" s="94"/>
      <c r="AH897" s="94"/>
      <c r="AI897" s="94"/>
    </row>
    <row r="898" spans="1:35" ht="15.75" customHeight="1" x14ac:dyDescent="0.35">
      <c r="A898" s="104"/>
      <c r="B898" s="4"/>
      <c r="D898" s="119"/>
      <c r="I898" s="94"/>
      <c r="Q898" s="94"/>
      <c r="R898" s="121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G898" s="94"/>
      <c r="AH898" s="94"/>
      <c r="AI898" s="94"/>
    </row>
    <row r="899" spans="1:35" ht="15.75" customHeight="1" x14ac:dyDescent="0.35">
      <c r="A899" s="104"/>
      <c r="B899" s="4"/>
      <c r="D899" s="119"/>
      <c r="I899" s="94"/>
      <c r="Q899" s="94"/>
      <c r="R899" s="121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G899" s="94"/>
      <c r="AH899" s="94"/>
      <c r="AI899" s="94"/>
    </row>
    <row r="900" spans="1:35" ht="15.75" customHeight="1" x14ac:dyDescent="0.35">
      <c r="A900" s="104"/>
      <c r="B900" s="4"/>
      <c r="D900" s="119"/>
      <c r="I900" s="94"/>
      <c r="Q900" s="94"/>
      <c r="R900" s="121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G900" s="94"/>
      <c r="AH900" s="94"/>
      <c r="AI900" s="94"/>
    </row>
    <row r="901" spans="1:35" ht="15.75" customHeight="1" x14ac:dyDescent="0.35">
      <c r="A901" s="104"/>
      <c r="B901" s="4"/>
      <c r="D901" s="119"/>
      <c r="I901" s="94"/>
      <c r="Q901" s="94"/>
      <c r="R901" s="121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G901" s="94"/>
      <c r="AH901" s="94"/>
      <c r="AI901" s="94"/>
    </row>
    <row r="902" spans="1:35" ht="15.75" customHeight="1" x14ac:dyDescent="0.35">
      <c r="A902" s="104"/>
      <c r="B902" s="4"/>
      <c r="D902" s="119"/>
      <c r="I902" s="94"/>
      <c r="Q902" s="94"/>
      <c r="R902" s="121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G902" s="94"/>
      <c r="AH902" s="94"/>
      <c r="AI902" s="94"/>
    </row>
    <row r="903" spans="1:35" ht="15.75" customHeight="1" x14ac:dyDescent="0.35">
      <c r="A903" s="104"/>
      <c r="B903" s="4"/>
      <c r="D903" s="119"/>
      <c r="I903" s="94"/>
      <c r="Q903" s="94"/>
      <c r="R903" s="121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G903" s="94"/>
      <c r="AH903" s="94"/>
      <c r="AI903" s="94"/>
    </row>
    <row r="904" spans="1:35" ht="15.75" customHeight="1" x14ac:dyDescent="0.35">
      <c r="A904" s="104"/>
      <c r="B904" s="4"/>
      <c r="D904" s="119"/>
      <c r="I904" s="94"/>
      <c r="Q904" s="94"/>
      <c r="R904" s="121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G904" s="94"/>
      <c r="AH904" s="94"/>
      <c r="AI904" s="94"/>
    </row>
    <row r="905" spans="1:35" ht="15.75" customHeight="1" x14ac:dyDescent="0.35">
      <c r="A905" s="104"/>
      <c r="B905" s="4"/>
      <c r="D905" s="119"/>
      <c r="I905" s="94"/>
      <c r="Q905" s="94"/>
      <c r="R905" s="121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G905" s="94"/>
      <c r="AH905" s="94"/>
      <c r="AI905" s="94"/>
    </row>
    <row r="906" spans="1:35" ht="15.75" customHeight="1" x14ac:dyDescent="0.35">
      <c r="A906" s="104"/>
      <c r="B906" s="4"/>
      <c r="D906" s="119"/>
      <c r="I906" s="94"/>
      <c r="Q906" s="94"/>
      <c r="R906" s="121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G906" s="94"/>
      <c r="AH906" s="94"/>
      <c r="AI906" s="94"/>
    </row>
    <row r="907" spans="1:35" ht="15.75" customHeight="1" x14ac:dyDescent="0.35">
      <c r="A907" s="104"/>
      <c r="B907" s="4"/>
      <c r="D907" s="119"/>
      <c r="I907" s="94"/>
      <c r="Q907" s="94"/>
      <c r="R907" s="121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G907" s="94"/>
      <c r="AH907" s="94"/>
      <c r="AI907" s="94"/>
    </row>
    <row r="908" spans="1:35" ht="15.75" customHeight="1" x14ac:dyDescent="0.35">
      <c r="A908" s="104"/>
      <c r="B908" s="4"/>
      <c r="D908" s="119"/>
      <c r="I908" s="94"/>
      <c r="Q908" s="94"/>
      <c r="R908" s="121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G908" s="94"/>
      <c r="AH908" s="94"/>
      <c r="AI908" s="94"/>
    </row>
    <row r="909" spans="1:35" ht="15.75" customHeight="1" x14ac:dyDescent="0.35">
      <c r="A909" s="104"/>
      <c r="B909" s="4"/>
      <c r="D909" s="119"/>
      <c r="I909" s="94"/>
      <c r="Q909" s="94"/>
      <c r="R909" s="121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G909" s="94"/>
      <c r="AH909" s="94"/>
      <c r="AI909" s="94"/>
    </row>
    <row r="910" spans="1:35" ht="15.75" customHeight="1" x14ac:dyDescent="0.35">
      <c r="A910" s="104"/>
      <c r="B910" s="4"/>
      <c r="D910" s="119"/>
      <c r="I910" s="94"/>
      <c r="Q910" s="94"/>
      <c r="R910" s="121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G910" s="94"/>
      <c r="AH910" s="94"/>
      <c r="AI910" s="94"/>
    </row>
    <row r="911" spans="1:35" ht="15.75" customHeight="1" x14ac:dyDescent="0.35">
      <c r="A911" s="104"/>
      <c r="B911" s="4"/>
      <c r="D911" s="119"/>
      <c r="I911" s="94"/>
      <c r="Q911" s="94"/>
      <c r="R911" s="121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G911" s="94"/>
      <c r="AH911" s="94"/>
      <c r="AI911" s="94"/>
    </row>
    <row r="912" spans="1:35" ht="15.75" customHeight="1" x14ac:dyDescent="0.35">
      <c r="A912" s="104"/>
      <c r="B912" s="4"/>
      <c r="D912" s="119"/>
      <c r="I912" s="94"/>
      <c r="Q912" s="94"/>
      <c r="R912" s="121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G912" s="94"/>
      <c r="AH912" s="94"/>
      <c r="AI912" s="94"/>
    </row>
    <row r="913" spans="1:35" ht="15.75" customHeight="1" x14ac:dyDescent="0.35">
      <c r="A913" s="104"/>
      <c r="B913" s="4"/>
      <c r="D913" s="119"/>
      <c r="I913" s="94"/>
      <c r="Q913" s="94"/>
      <c r="R913" s="121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G913" s="94"/>
      <c r="AH913" s="94"/>
      <c r="AI913" s="94"/>
    </row>
    <row r="914" spans="1:35" ht="15.75" customHeight="1" x14ac:dyDescent="0.35">
      <c r="A914" s="104"/>
      <c r="B914" s="4"/>
      <c r="D914" s="119"/>
      <c r="I914" s="94"/>
      <c r="Q914" s="94"/>
      <c r="R914" s="121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G914" s="94"/>
      <c r="AH914" s="94"/>
      <c r="AI914" s="94"/>
    </row>
    <row r="915" spans="1:35" ht="15.75" customHeight="1" x14ac:dyDescent="0.35">
      <c r="A915" s="104"/>
      <c r="B915" s="4"/>
      <c r="D915" s="119"/>
      <c r="I915" s="94"/>
      <c r="Q915" s="94"/>
      <c r="R915" s="121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G915" s="94"/>
      <c r="AH915" s="94"/>
      <c r="AI915" s="94"/>
    </row>
    <row r="916" spans="1:35" ht="15.75" customHeight="1" x14ac:dyDescent="0.35">
      <c r="A916" s="104"/>
      <c r="B916" s="4"/>
      <c r="D916" s="119"/>
      <c r="I916" s="94"/>
      <c r="Q916" s="94"/>
      <c r="R916" s="121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G916" s="94"/>
      <c r="AH916" s="94"/>
      <c r="AI916" s="94"/>
    </row>
    <row r="917" spans="1:35" ht="15.75" customHeight="1" x14ac:dyDescent="0.35">
      <c r="A917" s="104"/>
      <c r="B917" s="4"/>
      <c r="D917" s="119"/>
      <c r="I917" s="94"/>
      <c r="Q917" s="94"/>
      <c r="R917" s="121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G917" s="94"/>
      <c r="AH917" s="94"/>
      <c r="AI917" s="94"/>
    </row>
    <row r="918" spans="1:35" ht="15.75" customHeight="1" x14ac:dyDescent="0.35">
      <c r="A918" s="104"/>
      <c r="B918" s="4"/>
      <c r="D918" s="119"/>
      <c r="I918" s="94"/>
      <c r="Q918" s="94"/>
      <c r="R918" s="121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G918" s="94"/>
      <c r="AH918" s="94"/>
      <c r="AI918" s="94"/>
    </row>
    <row r="919" spans="1:35" ht="15.75" customHeight="1" x14ac:dyDescent="0.35">
      <c r="A919" s="104"/>
      <c r="B919" s="4"/>
      <c r="D919" s="119"/>
      <c r="I919" s="94"/>
      <c r="Q919" s="94"/>
      <c r="R919" s="121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G919" s="94"/>
      <c r="AH919" s="94"/>
      <c r="AI919" s="94"/>
    </row>
    <row r="920" spans="1:35" ht="15.75" customHeight="1" x14ac:dyDescent="0.35">
      <c r="A920" s="104"/>
      <c r="B920" s="4"/>
      <c r="D920" s="119"/>
      <c r="I920" s="94"/>
      <c r="Q920" s="94"/>
      <c r="R920" s="121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G920" s="94"/>
      <c r="AH920" s="94"/>
      <c r="AI920" s="94"/>
    </row>
    <row r="921" spans="1:35" ht="15.75" customHeight="1" x14ac:dyDescent="0.35">
      <c r="A921" s="104"/>
      <c r="B921" s="4"/>
      <c r="D921" s="119"/>
      <c r="I921" s="94"/>
      <c r="Q921" s="94"/>
      <c r="R921" s="121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G921" s="94"/>
      <c r="AH921" s="94"/>
      <c r="AI921" s="94"/>
    </row>
    <row r="922" spans="1:35" ht="15.75" customHeight="1" x14ac:dyDescent="0.35">
      <c r="A922" s="104"/>
      <c r="B922" s="4"/>
      <c r="D922" s="119"/>
      <c r="I922" s="94"/>
      <c r="Q922" s="94"/>
      <c r="R922" s="121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G922" s="94"/>
      <c r="AH922" s="94"/>
      <c r="AI922" s="94"/>
    </row>
    <row r="923" spans="1:35" ht="15.75" customHeight="1" x14ac:dyDescent="0.35">
      <c r="A923" s="104"/>
      <c r="B923" s="4"/>
      <c r="D923" s="119"/>
      <c r="I923" s="94"/>
      <c r="Q923" s="94"/>
      <c r="R923" s="121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G923" s="94"/>
      <c r="AH923" s="94"/>
      <c r="AI923" s="94"/>
    </row>
    <row r="924" spans="1:35" ht="15.75" customHeight="1" x14ac:dyDescent="0.35">
      <c r="A924" s="104"/>
      <c r="B924" s="4"/>
      <c r="D924" s="119"/>
      <c r="I924" s="94"/>
      <c r="Q924" s="94"/>
      <c r="R924" s="121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G924" s="94"/>
      <c r="AH924" s="94"/>
      <c r="AI924" s="94"/>
    </row>
    <row r="925" spans="1:35" ht="15.75" customHeight="1" x14ac:dyDescent="0.35">
      <c r="A925" s="104"/>
      <c r="B925" s="4"/>
      <c r="D925" s="119"/>
      <c r="I925" s="94"/>
      <c r="Q925" s="94"/>
      <c r="R925" s="121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G925" s="94"/>
      <c r="AH925" s="94"/>
      <c r="AI925" s="94"/>
    </row>
    <row r="926" spans="1:35" ht="15.75" customHeight="1" x14ac:dyDescent="0.35">
      <c r="A926" s="104"/>
      <c r="B926" s="4"/>
      <c r="D926" s="119"/>
      <c r="I926" s="94"/>
      <c r="Q926" s="94"/>
      <c r="R926" s="121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G926" s="94"/>
      <c r="AH926" s="94"/>
      <c r="AI926" s="94"/>
    </row>
    <row r="927" spans="1:35" ht="15.75" customHeight="1" x14ac:dyDescent="0.35">
      <c r="A927" s="104"/>
      <c r="B927" s="4"/>
      <c r="D927" s="119"/>
      <c r="I927" s="94"/>
      <c r="Q927" s="94"/>
      <c r="R927" s="121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G927" s="94"/>
      <c r="AH927" s="94"/>
      <c r="AI927" s="94"/>
    </row>
    <row r="928" spans="1:35" ht="15.75" customHeight="1" x14ac:dyDescent="0.35">
      <c r="A928" s="104"/>
      <c r="B928" s="4"/>
      <c r="D928" s="119"/>
      <c r="I928" s="94"/>
      <c r="Q928" s="94"/>
      <c r="R928" s="121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G928" s="94"/>
      <c r="AH928" s="94"/>
      <c r="AI928" s="94"/>
    </row>
    <row r="929" spans="1:35" ht="15.75" customHeight="1" x14ac:dyDescent="0.35">
      <c r="A929" s="104"/>
      <c r="B929" s="4"/>
      <c r="D929" s="119"/>
      <c r="I929" s="94"/>
      <c r="Q929" s="94"/>
      <c r="R929" s="121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G929" s="94"/>
      <c r="AH929" s="94"/>
      <c r="AI929" s="94"/>
    </row>
    <row r="930" spans="1:35" ht="15.75" customHeight="1" x14ac:dyDescent="0.35">
      <c r="A930" s="104"/>
      <c r="B930" s="4"/>
      <c r="D930" s="119"/>
      <c r="I930" s="94"/>
      <c r="Q930" s="94"/>
      <c r="R930" s="121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G930" s="94"/>
      <c r="AH930" s="94"/>
      <c r="AI930" s="94"/>
    </row>
    <row r="931" spans="1:35" ht="15.75" customHeight="1" x14ac:dyDescent="0.35">
      <c r="A931" s="104"/>
      <c r="B931" s="4"/>
      <c r="D931" s="119"/>
      <c r="I931" s="94"/>
      <c r="Q931" s="94"/>
      <c r="R931" s="121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G931" s="94"/>
      <c r="AH931" s="94"/>
      <c r="AI931" s="94"/>
    </row>
    <row r="932" spans="1:35" ht="15.75" customHeight="1" x14ac:dyDescent="0.35">
      <c r="A932" s="104"/>
      <c r="B932" s="4"/>
      <c r="D932" s="119"/>
      <c r="I932" s="94"/>
      <c r="Q932" s="94"/>
      <c r="R932" s="121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G932" s="94"/>
      <c r="AH932" s="94"/>
      <c r="AI932" s="94"/>
    </row>
    <row r="933" spans="1:35" ht="15.75" customHeight="1" x14ac:dyDescent="0.35">
      <c r="A933" s="104"/>
      <c r="B933" s="4"/>
      <c r="D933" s="119"/>
      <c r="I933" s="94"/>
      <c r="Q933" s="94"/>
      <c r="R933" s="121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G933" s="94"/>
      <c r="AH933" s="94"/>
      <c r="AI933" s="94"/>
    </row>
    <row r="934" spans="1:35" ht="15.75" customHeight="1" x14ac:dyDescent="0.35">
      <c r="A934" s="104"/>
      <c r="B934" s="4"/>
      <c r="D934" s="119"/>
      <c r="I934" s="94"/>
      <c r="Q934" s="94"/>
      <c r="R934" s="121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G934" s="94"/>
      <c r="AH934" s="94"/>
      <c r="AI934" s="94"/>
    </row>
    <row r="935" spans="1:35" ht="15.75" customHeight="1" x14ac:dyDescent="0.35">
      <c r="A935" s="104"/>
      <c r="B935" s="4"/>
      <c r="D935" s="119"/>
      <c r="I935" s="94"/>
      <c r="Q935" s="94"/>
      <c r="R935" s="121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G935" s="94"/>
      <c r="AH935" s="94"/>
      <c r="AI935" s="94"/>
    </row>
    <row r="936" spans="1:35" ht="15.75" customHeight="1" x14ac:dyDescent="0.35">
      <c r="A936" s="104"/>
      <c r="B936" s="4"/>
      <c r="D936" s="119"/>
      <c r="I936" s="94"/>
      <c r="Q936" s="94"/>
      <c r="R936" s="121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  <c r="AD936" s="94"/>
      <c r="AG936" s="94"/>
      <c r="AH936" s="94"/>
      <c r="AI936" s="94"/>
    </row>
    <row r="937" spans="1:35" ht="15.75" customHeight="1" x14ac:dyDescent="0.35">
      <c r="A937" s="104"/>
      <c r="B937" s="4"/>
      <c r="D937" s="119"/>
      <c r="I937" s="94"/>
      <c r="Q937" s="94"/>
      <c r="R937" s="121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  <c r="AD937" s="94"/>
      <c r="AG937" s="94"/>
      <c r="AH937" s="94"/>
      <c r="AI937" s="94"/>
    </row>
    <row r="938" spans="1:35" ht="15.75" customHeight="1" x14ac:dyDescent="0.35">
      <c r="A938" s="104"/>
      <c r="B938" s="4"/>
      <c r="D938" s="119"/>
      <c r="I938" s="94"/>
      <c r="Q938" s="94"/>
      <c r="R938" s="121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  <c r="AD938" s="94"/>
      <c r="AG938" s="94"/>
      <c r="AH938" s="94"/>
      <c r="AI938" s="94"/>
    </row>
    <row r="939" spans="1:35" ht="15.75" customHeight="1" x14ac:dyDescent="0.35">
      <c r="A939" s="104"/>
      <c r="B939" s="4"/>
      <c r="D939" s="119"/>
      <c r="I939" s="94"/>
      <c r="Q939" s="94"/>
      <c r="R939" s="121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  <c r="AD939" s="94"/>
      <c r="AG939" s="94"/>
      <c r="AH939" s="94"/>
      <c r="AI939" s="94"/>
    </row>
    <row r="940" spans="1:35" ht="15.75" customHeight="1" x14ac:dyDescent="0.35">
      <c r="A940" s="104"/>
      <c r="B940" s="4"/>
      <c r="D940" s="119"/>
      <c r="I940" s="94"/>
      <c r="Q940" s="94"/>
      <c r="R940" s="121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  <c r="AD940" s="94"/>
      <c r="AG940" s="94"/>
      <c r="AH940" s="94"/>
      <c r="AI940" s="94"/>
    </row>
    <row r="941" spans="1:35" ht="15.75" customHeight="1" x14ac:dyDescent="0.35">
      <c r="A941" s="104"/>
      <c r="B941" s="4"/>
      <c r="D941" s="119"/>
      <c r="I941" s="94"/>
      <c r="Q941" s="94"/>
      <c r="R941" s="121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  <c r="AD941" s="94"/>
      <c r="AG941" s="94"/>
      <c r="AH941" s="94"/>
      <c r="AI941" s="94"/>
    </row>
    <row r="942" spans="1:35" ht="15.75" customHeight="1" x14ac:dyDescent="0.35">
      <c r="A942" s="104"/>
      <c r="B942" s="4"/>
      <c r="D942" s="119"/>
      <c r="I942" s="94"/>
      <c r="Q942" s="94"/>
      <c r="R942" s="121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  <c r="AD942" s="94"/>
      <c r="AG942" s="94"/>
      <c r="AH942" s="94"/>
      <c r="AI942" s="94"/>
    </row>
    <row r="943" spans="1:35" ht="15.75" customHeight="1" x14ac:dyDescent="0.35">
      <c r="A943" s="104"/>
      <c r="B943" s="4"/>
      <c r="D943" s="119"/>
      <c r="I943" s="94"/>
      <c r="Q943" s="94"/>
      <c r="R943" s="121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  <c r="AD943" s="94"/>
      <c r="AG943" s="94"/>
      <c r="AH943" s="94"/>
      <c r="AI943" s="94"/>
    </row>
    <row r="944" spans="1:35" ht="15.75" customHeight="1" x14ac:dyDescent="0.35">
      <c r="A944" s="104"/>
      <c r="B944" s="4"/>
      <c r="D944" s="119"/>
      <c r="I944" s="94"/>
      <c r="Q944" s="94"/>
      <c r="R944" s="121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  <c r="AD944" s="94"/>
      <c r="AG944" s="94"/>
      <c r="AH944" s="94"/>
      <c r="AI944" s="94"/>
    </row>
    <row r="945" spans="1:35" ht="15.75" customHeight="1" x14ac:dyDescent="0.35">
      <c r="A945" s="104"/>
      <c r="B945" s="4"/>
      <c r="D945" s="119"/>
      <c r="I945" s="94"/>
      <c r="Q945" s="94"/>
      <c r="R945" s="121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  <c r="AD945" s="94"/>
      <c r="AG945" s="94"/>
      <c r="AH945" s="94"/>
      <c r="AI945" s="94"/>
    </row>
    <row r="946" spans="1:35" ht="15.75" customHeight="1" x14ac:dyDescent="0.35">
      <c r="A946" s="104"/>
      <c r="B946" s="4"/>
      <c r="D946" s="119"/>
      <c r="I946" s="94"/>
      <c r="Q946" s="94"/>
      <c r="R946" s="121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  <c r="AD946" s="94"/>
      <c r="AG946" s="94"/>
      <c r="AH946" s="94"/>
      <c r="AI946" s="94"/>
    </row>
    <row r="947" spans="1:35" ht="15.75" customHeight="1" x14ac:dyDescent="0.35">
      <c r="A947" s="104"/>
      <c r="B947" s="4"/>
      <c r="D947" s="119"/>
      <c r="I947" s="94"/>
      <c r="Q947" s="94"/>
      <c r="R947" s="121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  <c r="AD947" s="94"/>
      <c r="AG947" s="94"/>
      <c r="AH947" s="94"/>
      <c r="AI947" s="94"/>
    </row>
    <row r="948" spans="1:35" ht="15.75" customHeight="1" x14ac:dyDescent="0.35">
      <c r="A948" s="104"/>
      <c r="B948" s="4"/>
      <c r="D948" s="119"/>
      <c r="I948" s="94"/>
      <c r="Q948" s="94"/>
      <c r="R948" s="121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  <c r="AD948" s="94"/>
      <c r="AG948" s="94"/>
      <c r="AH948" s="94"/>
      <c r="AI948" s="94"/>
    </row>
    <row r="949" spans="1:35" ht="15.75" customHeight="1" x14ac:dyDescent="0.35">
      <c r="A949" s="104"/>
      <c r="B949" s="4"/>
      <c r="D949" s="119"/>
      <c r="I949" s="94"/>
      <c r="Q949" s="94"/>
      <c r="R949" s="121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  <c r="AD949" s="94"/>
      <c r="AG949" s="94"/>
      <c r="AH949" s="94"/>
      <c r="AI949" s="94"/>
    </row>
    <row r="950" spans="1:35" ht="15.75" customHeight="1" x14ac:dyDescent="0.35">
      <c r="A950" s="104"/>
      <c r="B950" s="4"/>
      <c r="D950" s="119"/>
      <c r="I950" s="94"/>
      <c r="Q950" s="94"/>
      <c r="R950" s="121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  <c r="AD950" s="94"/>
      <c r="AG950" s="94"/>
      <c r="AH950" s="94"/>
      <c r="AI950" s="94"/>
    </row>
    <row r="951" spans="1:35" ht="15.75" customHeight="1" x14ac:dyDescent="0.35">
      <c r="A951" s="104"/>
      <c r="B951" s="4"/>
      <c r="D951" s="119"/>
      <c r="I951" s="94"/>
      <c r="Q951" s="94"/>
      <c r="R951" s="121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  <c r="AD951" s="94"/>
      <c r="AG951" s="94"/>
      <c r="AH951" s="94"/>
      <c r="AI951" s="94"/>
    </row>
    <row r="952" spans="1:35" ht="15.75" customHeight="1" x14ac:dyDescent="0.35">
      <c r="A952" s="104"/>
      <c r="B952" s="4"/>
      <c r="D952" s="119"/>
      <c r="I952" s="94"/>
      <c r="Q952" s="94"/>
      <c r="R952" s="121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  <c r="AD952" s="94"/>
      <c r="AG952" s="94"/>
      <c r="AH952" s="94"/>
      <c r="AI952" s="94"/>
    </row>
    <row r="953" spans="1:35" ht="15.75" customHeight="1" x14ac:dyDescent="0.35">
      <c r="A953" s="104"/>
      <c r="B953" s="4"/>
      <c r="D953" s="119"/>
      <c r="I953" s="94"/>
      <c r="Q953" s="94"/>
      <c r="R953" s="121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  <c r="AD953" s="94"/>
      <c r="AG953" s="94"/>
      <c r="AH953" s="94"/>
      <c r="AI953" s="94"/>
    </row>
    <row r="954" spans="1:35" ht="15.75" customHeight="1" x14ac:dyDescent="0.35">
      <c r="A954" s="104"/>
      <c r="B954" s="4"/>
      <c r="D954" s="119"/>
      <c r="I954" s="94"/>
      <c r="Q954" s="94"/>
      <c r="R954" s="121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  <c r="AD954" s="94"/>
      <c r="AG954" s="94"/>
      <c r="AH954" s="94"/>
      <c r="AI954" s="94"/>
    </row>
    <row r="955" spans="1:35" ht="15.75" customHeight="1" x14ac:dyDescent="0.35">
      <c r="A955" s="104"/>
      <c r="B955" s="4"/>
      <c r="D955" s="119"/>
      <c r="I955" s="94"/>
      <c r="Q955" s="94"/>
      <c r="R955" s="121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  <c r="AD955" s="94"/>
      <c r="AG955" s="94"/>
      <c r="AH955" s="94"/>
      <c r="AI955" s="94"/>
    </row>
    <row r="956" spans="1:35" ht="15.75" customHeight="1" x14ac:dyDescent="0.35">
      <c r="A956" s="104"/>
      <c r="B956" s="4"/>
      <c r="D956" s="119"/>
      <c r="I956" s="94"/>
      <c r="Q956" s="94"/>
      <c r="R956" s="121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  <c r="AD956" s="94"/>
      <c r="AG956" s="94"/>
      <c r="AH956" s="94"/>
      <c r="AI956" s="94"/>
    </row>
    <row r="957" spans="1:35" ht="15.75" customHeight="1" x14ac:dyDescent="0.35">
      <c r="A957" s="104"/>
      <c r="B957" s="4"/>
      <c r="D957" s="119"/>
      <c r="I957" s="94"/>
      <c r="Q957" s="94"/>
      <c r="R957" s="121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G957" s="94"/>
      <c r="AH957" s="94"/>
      <c r="AI957" s="94"/>
    </row>
    <row r="958" spans="1:35" ht="15.75" customHeight="1" x14ac:dyDescent="0.35">
      <c r="A958" s="104"/>
      <c r="B958" s="4"/>
      <c r="D958" s="119"/>
      <c r="I958" s="94"/>
      <c r="Q958" s="94"/>
      <c r="R958" s="121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G958" s="94"/>
      <c r="AH958" s="94"/>
      <c r="AI958" s="94"/>
    </row>
    <row r="959" spans="1:35" ht="15.75" customHeight="1" x14ac:dyDescent="0.35">
      <c r="A959" s="104"/>
      <c r="B959" s="4"/>
      <c r="D959" s="119"/>
      <c r="I959" s="94"/>
      <c r="Q959" s="94"/>
      <c r="R959" s="121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G959" s="94"/>
      <c r="AH959" s="94"/>
      <c r="AI959" s="94"/>
    </row>
    <row r="960" spans="1:35" ht="15.75" customHeight="1" x14ac:dyDescent="0.35">
      <c r="A960" s="104"/>
      <c r="B960" s="4"/>
      <c r="D960" s="119"/>
      <c r="I960" s="94"/>
      <c r="Q960" s="94"/>
      <c r="R960" s="121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G960" s="94"/>
      <c r="AH960" s="94"/>
      <c r="AI960" s="94"/>
    </row>
    <row r="961" spans="1:35" ht="15.75" customHeight="1" x14ac:dyDescent="0.35">
      <c r="A961" s="104"/>
      <c r="B961" s="4"/>
      <c r="D961" s="119"/>
      <c r="I961" s="94"/>
      <c r="Q961" s="94"/>
      <c r="R961" s="121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G961" s="94"/>
      <c r="AH961" s="94"/>
      <c r="AI961" s="94"/>
    </row>
    <row r="962" spans="1:35" ht="15.75" customHeight="1" x14ac:dyDescent="0.35">
      <c r="A962" s="104"/>
      <c r="B962" s="4"/>
      <c r="D962" s="119"/>
      <c r="I962" s="94"/>
      <c r="Q962" s="94"/>
      <c r="R962" s="121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G962" s="94"/>
      <c r="AH962" s="94"/>
      <c r="AI962" s="94"/>
    </row>
    <row r="963" spans="1:35" ht="15.75" customHeight="1" x14ac:dyDescent="0.35">
      <c r="A963" s="104"/>
      <c r="B963" s="4"/>
      <c r="D963" s="119"/>
      <c r="I963" s="94"/>
      <c r="Q963" s="94"/>
      <c r="R963" s="121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  <c r="AD963" s="94"/>
      <c r="AG963" s="94"/>
      <c r="AH963" s="94"/>
      <c r="AI963" s="94"/>
    </row>
    <row r="964" spans="1:35" ht="15.75" customHeight="1" x14ac:dyDescent="0.35">
      <c r="A964" s="104"/>
      <c r="B964" s="4"/>
      <c r="D964" s="119"/>
      <c r="I964" s="94"/>
      <c r="Q964" s="94"/>
      <c r="R964" s="121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  <c r="AD964" s="94"/>
      <c r="AG964" s="94"/>
      <c r="AH964" s="94"/>
      <c r="AI964" s="94"/>
    </row>
    <row r="965" spans="1:35" ht="15.75" customHeight="1" x14ac:dyDescent="0.35">
      <c r="A965" s="104"/>
      <c r="B965" s="4"/>
      <c r="D965" s="119"/>
      <c r="I965" s="94"/>
      <c r="Q965" s="94"/>
      <c r="R965" s="121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  <c r="AD965" s="94"/>
      <c r="AG965" s="94"/>
      <c r="AH965" s="94"/>
      <c r="AI965" s="94"/>
    </row>
    <row r="966" spans="1:35" ht="15.75" customHeight="1" x14ac:dyDescent="0.35">
      <c r="A966" s="104"/>
      <c r="B966" s="4"/>
      <c r="D966" s="119"/>
      <c r="I966" s="94"/>
      <c r="Q966" s="94"/>
      <c r="R966" s="121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  <c r="AD966" s="94"/>
      <c r="AG966" s="94"/>
      <c r="AH966" s="94"/>
      <c r="AI966" s="94"/>
    </row>
    <row r="967" spans="1:35" ht="15.75" customHeight="1" x14ac:dyDescent="0.35">
      <c r="A967" s="104"/>
      <c r="B967" s="4"/>
      <c r="D967" s="119"/>
      <c r="I967" s="94"/>
      <c r="Q967" s="94"/>
      <c r="R967" s="121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  <c r="AD967" s="94"/>
      <c r="AG967" s="94"/>
      <c r="AH967" s="94"/>
      <c r="AI967" s="94"/>
    </row>
    <row r="968" spans="1:35" ht="15.75" customHeight="1" x14ac:dyDescent="0.35">
      <c r="A968" s="104"/>
      <c r="B968" s="4"/>
      <c r="D968" s="119"/>
      <c r="I968" s="94"/>
      <c r="Q968" s="94"/>
      <c r="R968" s="121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  <c r="AD968" s="94"/>
      <c r="AG968" s="94"/>
      <c r="AH968" s="94"/>
      <c r="AI968" s="94"/>
    </row>
    <row r="969" spans="1:35" ht="15.75" customHeight="1" x14ac:dyDescent="0.35">
      <c r="A969" s="104"/>
      <c r="B969" s="4"/>
      <c r="D969" s="119"/>
      <c r="I969" s="94"/>
      <c r="Q969" s="94"/>
      <c r="R969" s="121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  <c r="AD969" s="94"/>
      <c r="AG969" s="94"/>
      <c r="AH969" s="94"/>
      <c r="AI969" s="94"/>
    </row>
    <row r="970" spans="1:35" ht="15.75" customHeight="1" x14ac:dyDescent="0.35">
      <c r="A970" s="104"/>
      <c r="B970" s="4"/>
      <c r="D970" s="119"/>
      <c r="I970" s="94"/>
      <c r="Q970" s="94"/>
      <c r="R970" s="121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  <c r="AD970" s="94"/>
      <c r="AG970" s="94"/>
      <c r="AH970" s="94"/>
      <c r="AI970" s="94"/>
    </row>
    <row r="971" spans="1:35" ht="15.75" customHeight="1" x14ac:dyDescent="0.35">
      <c r="A971" s="104"/>
      <c r="B971" s="4"/>
      <c r="D971" s="119"/>
      <c r="I971" s="94"/>
      <c r="Q971" s="94"/>
      <c r="R971" s="121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  <c r="AD971" s="94"/>
      <c r="AG971" s="94"/>
      <c r="AH971" s="94"/>
      <c r="AI971" s="94"/>
    </row>
    <row r="972" spans="1:35" ht="15.75" customHeight="1" x14ac:dyDescent="0.35">
      <c r="A972" s="104"/>
      <c r="B972" s="4"/>
      <c r="D972" s="119"/>
      <c r="I972" s="94"/>
      <c r="Q972" s="94"/>
      <c r="R972" s="121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  <c r="AD972" s="94"/>
      <c r="AG972" s="94"/>
      <c r="AH972" s="94"/>
      <c r="AI972" s="94"/>
    </row>
    <row r="973" spans="1:35" ht="15.75" customHeight="1" x14ac:dyDescent="0.35">
      <c r="A973" s="104"/>
      <c r="B973" s="4"/>
      <c r="D973" s="119"/>
      <c r="I973" s="94"/>
      <c r="Q973" s="94"/>
      <c r="R973" s="121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  <c r="AD973" s="94"/>
      <c r="AG973" s="94"/>
      <c r="AH973" s="94"/>
      <c r="AI973" s="94"/>
    </row>
    <row r="974" spans="1:35" ht="15.75" customHeight="1" x14ac:dyDescent="0.35">
      <c r="A974" s="104"/>
      <c r="B974" s="4"/>
      <c r="D974" s="119"/>
      <c r="I974" s="94"/>
      <c r="Q974" s="94"/>
      <c r="R974" s="121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  <c r="AD974" s="94"/>
      <c r="AG974" s="94"/>
      <c r="AH974" s="94"/>
      <c r="AI974" s="94"/>
    </row>
    <row r="975" spans="1:35" ht="15.75" customHeight="1" x14ac:dyDescent="0.35">
      <c r="A975" s="104"/>
      <c r="B975" s="4"/>
      <c r="D975" s="119"/>
      <c r="I975" s="94"/>
      <c r="Q975" s="94"/>
      <c r="R975" s="121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  <c r="AD975" s="94"/>
      <c r="AG975" s="94"/>
      <c r="AH975" s="94"/>
      <c r="AI975" s="94"/>
    </row>
    <row r="976" spans="1:35" ht="15.75" customHeight="1" x14ac:dyDescent="0.35">
      <c r="A976" s="104"/>
      <c r="B976" s="4"/>
      <c r="D976" s="119"/>
      <c r="I976" s="94"/>
      <c r="Q976" s="94"/>
      <c r="R976" s="121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  <c r="AD976" s="94"/>
      <c r="AG976" s="94"/>
      <c r="AH976" s="94"/>
      <c r="AI976" s="94"/>
    </row>
    <row r="977" spans="1:35" ht="15.75" customHeight="1" x14ac:dyDescent="0.35">
      <c r="A977" s="104"/>
      <c r="B977" s="4"/>
      <c r="D977" s="119"/>
      <c r="I977" s="94"/>
      <c r="Q977" s="94"/>
      <c r="R977" s="121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  <c r="AD977" s="94"/>
      <c r="AG977" s="94"/>
      <c r="AH977" s="94"/>
      <c r="AI977" s="94"/>
    </row>
    <row r="978" spans="1:35" ht="15.75" customHeight="1" x14ac:dyDescent="0.35">
      <c r="A978" s="104"/>
      <c r="B978" s="4"/>
      <c r="D978" s="119"/>
      <c r="I978" s="94"/>
      <c r="Q978" s="94"/>
      <c r="R978" s="121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  <c r="AD978" s="94"/>
      <c r="AG978" s="94"/>
      <c r="AH978" s="94"/>
      <c r="AI978" s="94"/>
    </row>
    <row r="979" spans="1:35" ht="15.75" customHeight="1" x14ac:dyDescent="0.35">
      <c r="A979" s="104"/>
      <c r="B979" s="4"/>
      <c r="D979" s="119"/>
      <c r="I979" s="94"/>
      <c r="Q979" s="94"/>
      <c r="R979" s="121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  <c r="AD979" s="94"/>
      <c r="AG979" s="94"/>
      <c r="AH979" s="94"/>
      <c r="AI979" s="94"/>
    </row>
    <row r="980" spans="1:35" ht="15.75" customHeight="1" x14ac:dyDescent="0.35">
      <c r="A980" s="104"/>
      <c r="B980" s="4"/>
      <c r="D980" s="119"/>
      <c r="I980" s="94"/>
      <c r="Q980" s="94"/>
      <c r="R980" s="121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  <c r="AD980" s="94"/>
      <c r="AG980" s="94"/>
      <c r="AH980" s="94"/>
      <c r="AI980" s="94"/>
    </row>
    <row r="981" spans="1:35" ht="15.75" customHeight="1" x14ac:dyDescent="0.35">
      <c r="A981" s="104"/>
      <c r="B981" s="4"/>
      <c r="D981" s="119"/>
      <c r="I981" s="94"/>
      <c r="Q981" s="94"/>
      <c r="R981" s="121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  <c r="AD981" s="94"/>
      <c r="AG981" s="94"/>
      <c r="AH981" s="94"/>
      <c r="AI981" s="94"/>
    </row>
    <row r="982" spans="1:35" ht="15.75" customHeight="1" x14ac:dyDescent="0.35">
      <c r="A982" s="104"/>
      <c r="B982" s="4"/>
      <c r="D982" s="119"/>
      <c r="I982" s="94"/>
      <c r="Q982" s="94"/>
      <c r="R982" s="121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  <c r="AD982" s="94"/>
      <c r="AG982" s="94"/>
      <c r="AH982" s="94"/>
      <c r="AI982" s="94"/>
    </row>
    <row r="983" spans="1:35" ht="15.75" customHeight="1" x14ac:dyDescent="0.35">
      <c r="A983" s="104"/>
      <c r="B983" s="4"/>
      <c r="D983" s="119"/>
      <c r="I983" s="94"/>
      <c r="Q983" s="94"/>
      <c r="R983" s="121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  <c r="AD983" s="94"/>
      <c r="AG983" s="94"/>
      <c r="AH983" s="94"/>
      <c r="AI983" s="94"/>
    </row>
    <row r="984" spans="1:35" ht="15.75" customHeight="1" x14ac:dyDescent="0.35">
      <c r="A984" s="104"/>
      <c r="B984" s="4"/>
      <c r="D984" s="119"/>
      <c r="I984" s="94"/>
      <c r="Q984" s="94"/>
      <c r="R984" s="121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  <c r="AD984" s="94"/>
      <c r="AG984" s="94"/>
      <c r="AH984" s="94"/>
      <c r="AI984" s="94"/>
    </row>
    <row r="985" spans="1:35" ht="15.75" customHeight="1" x14ac:dyDescent="0.35">
      <c r="A985" s="104"/>
      <c r="B985" s="4"/>
      <c r="D985" s="119"/>
      <c r="I985" s="94"/>
      <c r="Q985" s="94"/>
      <c r="R985" s="121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  <c r="AD985" s="94"/>
      <c r="AG985" s="94"/>
      <c r="AH985" s="94"/>
      <c r="AI985" s="94"/>
    </row>
    <row r="986" spans="1:35" ht="15.75" customHeight="1" x14ac:dyDescent="0.35">
      <c r="A986" s="104"/>
      <c r="B986" s="4"/>
      <c r="D986" s="119"/>
      <c r="I986" s="94"/>
      <c r="Q986" s="94"/>
      <c r="R986" s="121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  <c r="AD986" s="94"/>
      <c r="AG986" s="94"/>
      <c r="AH986" s="94"/>
      <c r="AI986" s="94"/>
    </row>
    <row r="987" spans="1:35" ht="15.75" customHeight="1" x14ac:dyDescent="0.35">
      <c r="A987" s="104"/>
      <c r="B987" s="4"/>
      <c r="D987" s="119"/>
      <c r="I987" s="94"/>
      <c r="Q987" s="94"/>
      <c r="R987" s="121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  <c r="AD987" s="94"/>
      <c r="AG987" s="94"/>
      <c r="AH987" s="94"/>
      <c r="AI987" s="94"/>
    </row>
    <row r="988" spans="1:35" ht="15.75" customHeight="1" x14ac:dyDescent="0.35">
      <c r="A988" s="104"/>
      <c r="B988" s="4"/>
      <c r="D988" s="119"/>
      <c r="I988" s="94"/>
      <c r="Q988" s="94"/>
      <c r="R988" s="121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  <c r="AD988" s="94"/>
      <c r="AG988" s="94"/>
      <c r="AH988" s="94"/>
      <c r="AI988" s="94"/>
    </row>
    <row r="989" spans="1:35" ht="15.75" customHeight="1" x14ac:dyDescent="0.35">
      <c r="A989" s="104"/>
      <c r="B989" s="4"/>
      <c r="D989" s="119"/>
      <c r="I989" s="94"/>
      <c r="Q989" s="94"/>
      <c r="R989" s="121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  <c r="AD989" s="94"/>
      <c r="AG989" s="94"/>
      <c r="AH989" s="94"/>
      <c r="AI989" s="94"/>
    </row>
    <row r="990" spans="1:35" ht="15.75" customHeight="1" x14ac:dyDescent="0.35">
      <c r="A990" s="104"/>
      <c r="B990" s="4"/>
      <c r="D990" s="119"/>
      <c r="I990" s="94"/>
      <c r="Q990" s="94"/>
      <c r="R990" s="121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  <c r="AD990" s="94"/>
      <c r="AG990" s="94"/>
      <c r="AH990" s="94"/>
      <c r="AI990" s="94"/>
    </row>
    <row r="991" spans="1:35" ht="15.75" customHeight="1" x14ac:dyDescent="0.35">
      <c r="A991" s="104"/>
      <c r="B991" s="4"/>
      <c r="D991" s="119"/>
      <c r="I991" s="94"/>
      <c r="Q991" s="94"/>
      <c r="R991" s="121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  <c r="AD991" s="94"/>
      <c r="AG991" s="94"/>
      <c r="AH991" s="94"/>
      <c r="AI991" s="94"/>
    </row>
    <row r="992" spans="1:35" ht="15.75" customHeight="1" x14ac:dyDescent="0.35">
      <c r="A992" s="104"/>
      <c r="B992" s="4"/>
      <c r="D992" s="119"/>
      <c r="I992" s="94"/>
      <c r="Q992" s="94"/>
      <c r="R992" s="121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  <c r="AD992" s="94"/>
      <c r="AG992" s="94"/>
      <c r="AH992" s="94"/>
      <c r="AI992" s="94"/>
    </row>
    <row r="993" spans="1:35" ht="15.75" customHeight="1" x14ac:dyDescent="0.35">
      <c r="A993" s="104"/>
      <c r="B993" s="4"/>
      <c r="D993" s="119"/>
      <c r="I993" s="94"/>
      <c r="Q993" s="94"/>
      <c r="R993" s="121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G993" s="94"/>
      <c r="AH993" s="94"/>
      <c r="AI993" s="94"/>
    </row>
    <row r="994" spans="1:35" ht="15.75" customHeight="1" x14ac:dyDescent="0.35">
      <c r="A994" s="104"/>
      <c r="B994" s="4"/>
      <c r="D994" s="119"/>
      <c r="I994" s="94"/>
      <c r="Q994" s="94"/>
      <c r="R994" s="121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  <c r="AD994" s="94"/>
      <c r="AG994" s="94"/>
      <c r="AH994" s="94"/>
      <c r="AI994" s="94"/>
    </row>
    <row r="995" spans="1:35" ht="15.75" customHeight="1" x14ac:dyDescent="0.35">
      <c r="A995" s="104"/>
      <c r="B995" s="4"/>
      <c r="D995" s="119"/>
      <c r="I995" s="94"/>
      <c r="Q995" s="94"/>
      <c r="R995" s="121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  <c r="AD995" s="94"/>
      <c r="AG995" s="94"/>
      <c r="AH995" s="94"/>
      <c r="AI995" s="94"/>
    </row>
    <row r="996" spans="1:35" ht="15.75" customHeight="1" x14ac:dyDescent="0.35">
      <c r="A996" s="104"/>
      <c r="B996" s="4"/>
      <c r="D996" s="119"/>
      <c r="I996" s="94"/>
      <c r="Q996" s="94"/>
      <c r="R996" s="121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  <c r="AD996" s="94"/>
      <c r="AG996" s="94"/>
      <c r="AH996" s="94"/>
      <c r="AI996" s="94"/>
    </row>
    <row r="997" spans="1:35" ht="15.75" customHeight="1" x14ac:dyDescent="0.35">
      <c r="A997" s="104"/>
      <c r="B997" s="4"/>
      <c r="D997" s="119"/>
      <c r="I997" s="94"/>
      <c r="Q997" s="94"/>
      <c r="R997" s="121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  <c r="AD997" s="94"/>
      <c r="AG997" s="94"/>
      <c r="AH997" s="94"/>
      <c r="AI997" s="94"/>
    </row>
    <row r="998" spans="1:35" ht="15.75" customHeight="1" x14ac:dyDescent="0.35">
      <c r="A998" s="104"/>
      <c r="B998" s="4"/>
      <c r="D998" s="119"/>
      <c r="I998" s="94"/>
      <c r="Q998" s="94"/>
      <c r="R998" s="121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  <c r="AD998" s="94"/>
      <c r="AG998" s="94"/>
      <c r="AH998" s="94"/>
      <c r="AI998" s="94"/>
    </row>
  </sheetData>
  <autoFilter ref="A1:AJ296" xr:uid="{00000000-0001-0000-0100-000000000000}"/>
  <customSheetViews>
    <customSheetView guid="{9FE09895-0446-4AD1-AA4E-140155A8861F}" filter="1" showAutoFilter="1">
      <pageMargins left="0.7" right="0.7" top="0.75" bottom="0.75" header="0.3" footer="0.3"/>
      <autoFilter ref="A3:V299" xr:uid="{6617A90D-A26C-473A-9CE3-52A96F00FFD5}"/>
      <extLst>
        <ext uri="GoogleSheetsCustomDataVersion1">
          <go:sheetsCustomData xmlns:go="http://customooxmlschemas.google.com/" filterViewId="1748885536"/>
        </ext>
      </extLst>
    </customSheetView>
    <customSheetView guid="{C8577A14-7C2A-48CD-AB97-E8309A89DABE}" filter="1" showAutoFilter="1">
      <pageMargins left="0.7" right="0.7" top="0.75" bottom="0.75" header="0.3" footer="0.3"/>
      <autoFilter ref="A3:V299" xr:uid="{06F76EDF-DA6D-429F-A40B-07F5BEE883E4}"/>
      <extLst>
        <ext uri="GoogleSheetsCustomDataVersion1">
          <go:sheetsCustomData xmlns:go="http://customooxmlschemas.google.com/" filterViewId="1632624181"/>
        </ext>
      </extLst>
    </customSheetView>
    <customSheetView guid="{C8577A14-7C2A-48CD-AB97-E8309A89DABE}" filter="1" showAutoFilter="1">
      <pageMargins left="0.7" right="0.7" top="0.75" bottom="0.75" header="0.3" footer="0.3"/>
      <autoFilter ref="A3:V299" xr:uid="{939ABDE2-1B48-4A08-BD3E-1518B2EF34F2}"/>
      <extLst>
        <ext uri="GoogleSheetsCustomDataVersion1">
          <go:sheetsCustomData xmlns:go="http://customooxmlschemas.google.com/" filterViewId="1498871227"/>
        </ext>
      </extLst>
    </customSheetView>
  </customSheetViews>
  <phoneticPr fontId="15" type="noConversion"/>
  <dataValidations count="1">
    <dataValidation type="list" allowBlank="1" showErrorMessage="1" sqref="AJ2:AJ151" xr:uid="{00000000-0002-0000-0100-000004000000}">
      <formula1>"Sesuai,Perbaikan"</formula1>
    </dataValidation>
  </dataValidation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100-000002000000}">
          <x14:formula1>
            <xm:f>KETERANGAN!$R$4:$R$7</xm:f>
          </x14:formula1>
          <xm:sqref>V2:V296 W297:W998 Y297:AD998 X298:X998</xm:sqref>
        </x14:dataValidation>
        <x14:dataValidation type="list" allowBlank="1" showErrorMessage="1" xr:uid="{00000000-0002-0000-0100-000006000000}">
          <x14:formula1>
            <xm:f>KETERANGAN!$Q$4:$Q$8</xm:f>
          </x14:formula1>
          <xm:sqref>U298:V998 T2:T296 T297:T998</xm:sqref>
        </x14:dataValidation>
        <x14:dataValidation type="list" allowBlank="1" showErrorMessage="1" xr:uid="{00000000-0002-0000-0100-000000000000}">
          <x14:formula1>
            <xm:f>KETERANGAN!$M$4:$M$9</xm:f>
          </x14:formula1>
          <xm:sqref>Q297:Q998 Q2:Q296</xm:sqref>
        </x14:dataValidation>
        <x14:dataValidation type="list" allowBlank="1" showErrorMessage="1" xr:uid="{00000000-0002-0000-0100-000001000000}">
          <x14:formula1>
            <xm:f>KETERANGAN!$N$4:$N$12</xm:f>
          </x14:formula1>
          <xm:sqref>R297:R998 R2:R296</xm:sqref>
        </x14:dataValidation>
        <x14:dataValidation type="list" allowBlank="1" showErrorMessage="1" xr:uid="{00000000-0002-0000-0100-000003000000}">
          <x14:formula1>
            <xm:f>KETERANGAN!$F$4:$F$5</xm:f>
          </x14:formula1>
          <xm:sqref>I297:I998 I2:I296</xm:sqref>
        </x14:dataValidation>
        <x14:dataValidation type="list" allowBlank="1" showErrorMessage="1" xr:uid="{00000000-0002-0000-0100-000005000000}">
          <x14:formula1>
            <xm:f>KETERANGAN!$B$4:$B$5</xm:f>
          </x14:formula1>
          <xm:sqref>B297:B998 A2:A296</xm:sqref>
        </x14:dataValidation>
        <x14:dataValidation type="list" allowBlank="1" showErrorMessage="1" xr:uid="{00000000-0002-0000-0100-000007000000}">
          <x14:formula1>
            <xm:f>KETERANGAN!$U$4:$U$8</xm:f>
          </x14:formula1>
          <xm:sqref>AG297:AI998 AG2:AI296</xm:sqref>
        </x14:dataValidation>
        <x14:dataValidation type="list" allowBlank="1" showErrorMessage="1" xr:uid="{00000000-0002-0000-0100-000008000000}">
          <x14:formula1>
            <xm:f>KETERANGAN!$A$4:$A$34</xm:f>
          </x14:formula1>
          <xm:sqref>A297:A998 B2:B296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82"/>
  <sheetViews>
    <sheetView topLeftCell="A19" workbookViewId="0">
      <selection sqref="A1:D1"/>
    </sheetView>
  </sheetViews>
  <sheetFormatPr defaultColWidth="14.453125" defaultRowHeight="15" customHeight="1" x14ac:dyDescent="0.35"/>
  <cols>
    <col min="1" max="1" width="27.26953125" customWidth="1"/>
    <col min="7" max="7" width="20.54296875" customWidth="1"/>
    <col min="12" max="12" width="27.26953125" customWidth="1"/>
  </cols>
  <sheetData>
    <row r="1" spans="1:16" x14ac:dyDescent="0.35">
      <c r="A1" s="56" t="s">
        <v>0</v>
      </c>
      <c r="B1" s="57"/>
      <c r="C1" s="57"/>
      <c r="D1" s="57"/>
    </row>
    <row r="2" spans="1:16" x14ac:dyDescent="0.35">
      <c r="A2" s="56" t="s">
        <v>1</v>
      </c>
      <c r="B2" s="57"/>
      <c r="C2" s="57"/>
      <c r="D2" s="57"/>
    </row>
    <row r="3" spans="1:16" x14ac:dyDescent="0.35">
      <c r="A3" s="1"/>
    </row>
    <row r="4" spans="1:16" x14ac:dyDescent="0.35">
      <c r="A4" s="2"/>
    </row>
    <row r="5" spans="1:16" x14ac:dyDescent="0.35">
      <c r="A5" s="2" t="s">
        <v>2</v>
      </c>
    </row>
    <row r="6" spans="1:16" x14ac:dyDescent="0.35">
      <c r="A6" s="3" t="s">
        <v>3</v>
      </c>
      <c r="B6" s="3" t="s">
        <v>4</v>
      </c>
      <c r="C6" s="3" t="s">
        <v>5</v>
      </c>
      <c r="D6" s="3" t="s">
        <v>6</v>
      </c>
      <c r="G6" s="61" t="s">
        <v>7</v>
      </c>
      <c r="H6" s="61" t="s">
        <v>8</v>
      </c>
      <c r="I6" s="73"/>
      <c r="J6" s="62"/>
      <c r="L6" s="2" t="s">
        <v>3</v>
      </c>
      <c r="M6" s="2" t="s">
        <v>4</v>
      </c>
      <c r="N6" s="2" t="s">
        <v>5</v>
      </c>
      <c r="O6" s="2" t="s">
        <v>6</v>
      </c>
    </row>
    <row r="7" spans="1:16" x14ac:dyDescent="0.35">
      <c r="A7" s="5" t="s">
        <v>9</v>
      </c>
      <c r="B7" s="6">
        <f t="shared" ref="B7:B23" si="0">IFERROR(VLOOKUP(A7,$G$8:$J$24,2,FALSE),"")</f>
        <v>5</v>
      </c>
      <c r="C7" s="6">
        <f t="shared" ref="C7:C23" si="1">IFERROR(VLOOKUP(A7, $G$8:$J$24, 3, FALSE),"")</f>
        <v>4</v>
      </c>
      <c r="D7" s="6">
        <f t="shared" ref="D7:D23" si="2">IFERROR(VLOOKUP(A7, $G$8:$J$24, 4, FALSE),"")</f>
        <v>9</v>
      </c>
      <c r="G7" s="61" t="s">
        <v>3</v>
      </c>
      <c r="H7" s="74" t="s">
        <v>4</v>
      </c>
      <c r="I7" s="75" t="s">
        <v>5</v>
      </c>
      <c r="J7" s="76" t="s">
        <v>10</v>
      </c>
      <c r="L7" s="7" t="s">
        <v>9</v>
      </c>
      <c r="M7" s="4">
        <v>2</v>
      </c>
      <c r="N7" s="4">
        <v>3</v>
      </c>
      <c r="O7" s="4">
        <v>5</v>
      </c>
      <c r="P7" s="8">
        <f t="shared" ref="P7:P23" si="3">O7/$O$23*100</f>
        <v>1.6949152542372881</v>
      </c>
    </row>
    <row r="8" spans="1:16" x14ac:dyDescent="0.35">
      <c r="A8" s="5" t="s">
        <v>11</v>
      </c>
      <c r="B8" s="6">
        <f t="shared" si="0"/>
        <v>10</v>
      </c>
      <c r="C8" s="6">
        <f t="shared" si="1"/>
        <v>10</v>
      </c>
      <c r="D8" s="6">
        <f t="shared" si="2"/>
        <v>20</v>
      </c>
      <c r="G8" s="74" t="s">
        <v>9</v>
      </c>
      <c r="H8" s="65">
        <v>5</v>
      </c>
      <c r="I8" s="77">
        <v>4</v>
      </c>
      <c r="J8" s="66">
        <v>9</v>
      </c>
      <c r="L8" s="7" t="s">
        <v>11</v>
      </c>
      <c r="M8" s="4">
        <v>7</v>
      </c>
      <c r="N8" s="4">
        <v>7</v>
      </c>
      <c r="O8" s="4">
        <v>14</v>
      </c>
      <c r="P8" s="8">
        <f t="shared" si="3"/>
        <v>4.7457627118644066</v>
      </c>
    </row>
    <row r="9" spans="1:16" x14ac:dyDescent="0.35">
      <c r="A9" s="5" t="s">
        <v>12</v>
      </c>
      <c r="B9" s="6">
        <f t="shared" si="0"/>
        <v>16</v>
      </c>
      <c r="C9" s="6">
        <f t="shared" si="1"/>
        <v>10</v>
      </c>
      <c r="D9" s="6">
        <f t="shared" si="2"/>
        <v>26</v>
      </c>
      <c r="G9" s="82" t="s">
        <v>12</v>
      </c>
      <c r="H9" s="68">
        <v>16</v>
      </c>
      <c r="I9" s="83">
        <v>10</v>
      </c>
      <c r="J9" s="69">
        <v>26</v>
      </c>
      <c r="L9" s="7" t="s">
        <v>12</v>
      </c>
      <c r="M9" s="4">
        <v>13</v>
      </c>
      <c r="N9" s="4">
        <v>11</v>
      </c>
      <c r="O9" s="4">
        <v>24</v>
      </c>
      <c r="P9" s="8">
        <f t="shared" si="3"/>
        <v>8.1355932203389827</v>
      </c>
    </row>
    <row r="10" spans="1:16" x14ac:dyDescent="0.35">
      <c r="A10" s="9" t="s">
        <v>13</v>
      </c>
      <c r="B10" s="6">
        <f t="shared" si="0"/>
        <v>11</v>
      </c>
      <c r="C10" s="6">
        <f t="shared" si="1"/>
        <v>19</v>
      </c>
      <c r="D10" s="6">
        <f t="shared" si="2"/>
        <v>30</v>
      </c>
      <c r="G10" s="82" t="s">
        <v>13</v>
      </c>
      <c r="H10" s="68">
        <v>11</v>
      </c>
      <c r="I10" s="83">
        <v>19</v>
      </c>
      <c r="J10" s="69">
        <v>30</v>
      </c>
      <c r="L10" s="7" t="s">
        <v>13</v>
      </c>
      <c r="M10" s="4">
        <v>14</v>
      </c>
      <c r="N10" s="4">
        <v>13</v>
      </c>
      <c r="O10" s="4">
        <v>27</v>
      </c>
      <c r="P10" s="8">
        <f t="shared" si="3"/>
        <v>9.1525423728813564</v>
      </c>
    </row>
    <row r="11" spans="1:16" x14ac:dyDescent="0.35">
      <c r="A11" s="9" t="s">
        <v>14</v>
      </c>
      <c r="B11" s="6">
        <f t="shared" si="0"/>
        <v>5</v>
      </c>
      <c r="C11" s="6">
        <f t="shared" si="1"/>
        <v>17</v>
      </c>
      <c r="D11" s="6">
        <f t="shared" si="2"/>
        <v>22</v>
      </c>
      <c r="G11" s="82" t="s">
        <v>14</v>
      </c>
      <c r="H11" s="68">
        <v>5</v>
      </c>
      <c r="I11" s="83">
        <v>17</v>
      </c>
      <c r="J11" s="69">
        <v>22</v>
      </c>
      <c r="L11" s="7" t="s">
        <v>14</v>
      </c>
      <c r="M11" s="4">
        <v>7</v>
      </c>
      <c r="N11" s="4">
        <v>16</v>
      </c>
      <c r="O11" s="4">
        <v>23</v>
      </c>
      <c r="P11" s="8">
        <f t="shared" si="3"/>
        <v>7.796610169491526</v>
      </c>
    </row>
    <row r="12" spans="1:16" x14ac:dyDescent="0.35">
      <c r="A12" s="9" t="s">
        <v>15</v>
      </c>
      <c r="B12" s="6">
        <f t="shared" si="0"/>
        <v>16</v>
      </c>
      <c r="C12" s="6">
        <f t="shared" si="1"/>
        <v>11</v>
      </c>
      <c r="D12" s="6">
        <f t="shared" si="2"/>
        <v>27</v>
      </c>
      <c r="G12" s="82" t="s">
        <v>15</v>
      </c>
      <c r="H12" s="68">
        <v>16</v>
      </c>
      <c r="I12" s="83">
        <v>11</v>
      </c>
      <c r="J12" s="69">
        <v>27</v>
      </c>
      <c r="L12" s="7" t="s">
        <v>15</v>
      </c>
      <c r="M12" s="4">
        <v>16</v>
      </c>
      <c r="N12" s="4">
        <v>16</v>
      </c>
      <c r="O12" s="4">
        <v>32</v>
      </c>
      <c r="P12" s="8">
        <f t="shared" si="3"/>
        <v>10.847457627118644</v>
      </c>
    </row>
    <row r="13" spans="1:16" x14ac:dyDescent="0.35">
      <c r="A13" s="9" t="s">
        <v>16</v>
      </c>
      <c r="B13" s="6">
        <f t="shared" si="0"/>
        <v>11</v>
      </c>
      <c r="C13" s="6">
        <f t="shared" si="1"/>
        <v>10</v>
      </c>
      <c r="D13" s="6">
        <f t="shared" si="2"/>
        <v>21</v>
      </c>
      <c r="G13" s="82" t="s">
        <v>16</v>
      </c>
      <c r="H13" s="68">
        <v>11</v>
      </c>
      <c r="I13" s="83">
        <v>10</v>
      </c>
      <c r="J13" s="69">
        <v>21</v>
      </c>
      <c r="L13" s="7" t="s">
        <v>16</v>
      </c>
      <c r="M13" s="4">
        <v>9</v>
      </c>
      <c r="N13" s="4">
        <v>11</v>
      </c>
      <c r="O13" s="4">
        <v>20</v>
      </c>
      <c r="P13" s="8">
        <f t="shared" si="3"/>
        <v>6.7796610169491522</v>
      </c>
    </row>
    <row r="14" spans="1:16" x14ac:dyDescent="0.35">
      <c r="A14" s="9" t="s">
        <v>17</v>
      </c>
      <c r="B14" s="6">
        <f t="shared" si="0"/>
        <v>9</v>
      </c>
      <c r="C14" s="6">
        <f t="shared" si="1"/>
        <v>10</v>
      </c>
      <c r="D14" s="6">
        <f t="shared" si="2"/>
        <v>19</v>
      </c>
      <c r="G14" s="82" t="s">
        <v>17</v>
      </c>
      <c r="H14" s="68">
        <v>9</v>
      </c>
      <c r="I14" s="83">
        <v>10</v>
      </c>
      <c r="J14" s="69">
        <v>19</v>
      </c>
      <c r="L14" s="7" t="s">
        <v>17</v>
      </c>
      <c r="M14" s="4">
        <v>12</v>
      </c>
      <c r="N14" s="4">
        <v>9</v>
      </c>
      <c r="O14" s="4">
        <v>21</v>
      </c>
      <c r="P14" s="8">
        <f t="shared" si="3"/>
        <v>7.1186440677966107</v>
      </c>
    </row>
    <row r="15" spans="1:16" x14ac:dyDescent="0.35">
      <c r="A15" s="9" t="s">
        <v>18</v>
      </c>
      <c r="B15" s="6">
        <f t="shared" si="0"/>
        <v>11</v>
      </c>
      <c r="C15" s="6">
        <f t="shared" si="1"/>
        <v>15</v>
      </c>
      <c r="D15" s="6">
        <f t="shared" si="2"/>
        <v>26</v>
      </c>
      <c r="G15" s="82" t="s">
        <v>18</v>
      </c>
      <c r="H15" s="68">
        <v>11</v>
      </c>
      <c r="I15" s="83">
        <v>15</v>
      </c>
      <c r="J15" s="69">
        <v>26</v>
      </c>
      <c r="L15" s="7" t="s">
        <v>18</v>
      </c>
      <c r="M15" s="4">
        <v>11</v>
      </c>
      <c r="N15" s="4">
        <v>14</v>
      </c>
      <c r="O15" s="4">
        <v>25</v>
      </c>
      <c r="P15" s="8">
        <f t="shared" si="3"/>
        <v>8.4745762711864394</v>
      </c>
    </row>
    <row r="16" spans="1:16" x14ac:dyDescent="0.35">
      <c r="A16" s="9" t="s">
        <v>19</v>
      </c>
      <c r="B16" s="6">
        <f t="shared" si="0"/>
        <v>17</v>
      </c>
      <c r="C16" s="6">
        <f t="shared" si="1"/>
        <v>11</v>
      </c>
      <c r="D16" s="6">
        <f t="shared" si="2"/>
        <v>28</v>
      </c>
      <c r="G16" s="82" t="s">
        <v>19</v>
      </c>
      <c r="H16" s="68">
        <v>17</v>
      </c>
      <c r="I16" s="83">
        <v>11</v>
      </c>
      <c r="J16" s="69">
        <v>28</v>
      </c>
      <c r="L16" s="7" t="s">
        <v>19</v>
      </c>
      <c r="M16" s="4">
        <v>13</v>
      </c>
      <c r="N16" s="4">
        <v>12</v>
      </c>
      <c r="O16" s="4">
        <v>25</v>
      </c>
      <c r="P16" s="8">
        <f t="shared" si="3"/>
        <v>8.4745762711864394</v>
      </c>
    </row>
    <row r="17" spans="1:16" x14ac:dyDescent="0.35">
      <c r="A17" s="9" t="s">
        <v>20</v>
      </c>
      <c r="B17" s="6">
        <f t="shared" si="0"/>
        <v>10</v>
      </c>
      <c r="C17" s="6">
        <f t="shared" si="1"/>
        <v>12</v>
      </c>
      <c r="D17" s="6">
        <f t="shared" si="2"/>
        <v>22</v>
      </c>
      <c r="G17" s="82" t="s">
        <v>20</v>
      </c>
      <c r="H17" s="68">
        <v>10</v>
      </c>
      <c r="I17" s="83">
        <v>12</v>
      </c>
      <c r="J17" s="69">
        <v>22</v>
      </c>
      <c r="L17" s="7" t="s">
        <v>20</v>
      </c>
      <c r="M17" s="4">
        <v>14</v>
      </c>
      <c r="N17" s="4">
        <v>14</v>
      </c>
      <c r="O17" s="4">
        <v>28</v>
      </c>
      <c r="P17" s="8">
        <f t="shared" si="3"/>
        <v>9.4915254237288131</v>
      </c>
    </row>
    <row r="18" spans="1:16" x14ac:dyDescent="0.35">
      <c r="A18" s="9" t="s">
        <v>21</v>
      </c>
      <c r="B18" s="6">
        <f t="shared" si="0"/>
        <v>4</v>
      </c>
      <c r="C18" s="6">
        <f t="shared" si="1"/>
        <v>8</v>
      </c>
      <c r="D18" s="6">
        <f t="shared" si="2"/>
        <v>12</v>
      </c>
      <c r="G18" s="82" t="s">
        <v>21</v>
      </c>
      <c r="H18" s="68">
        <v>4</v>
      </c>
      <c r="I18" s="83">
        <v>8</v>
      </c>
      <c r="J18" s="69">
        <v>12</v>
      </c>
      <c r="L18" s="7" t="s">
        <v>21</v>
      </c>
      <c r="M18" s="4">
        <v>5</v>
      </c>
      <c r="N18" s="4">
        <v>8</v>
      </c>
      <c r="O18" s="4">
        <v>13</v>
      </c>
      <c r="P18" s="8">
        <f t="shared" si="3"/>
        <v>4.406779661016949</v>
      </c>
    </row>
    <row r="19" spans="1:16" x14ac:dyDescent="0.35">
      <c r="A19" s="9" t="s">
        <v>22</v>
      </c>
      <c r="B19" s="6">
        <f t="shared" si="0"/>
        <v>5</v>
      </c>
      <c r="C19" s="6">
        <f t="shared" si="1"/>
        <v>4</v>
      </c>
      <c r="D19" s="6">
        <f t="shared" si="2"/>
        <v>9</v>
      </c>
      <c r="G19" s="82" t="s">
        <v>11</v>
      </c>
      <c r="H19" s="68">
        <v>10</v>
      </c>
      <c r="I19" s="83">
        <v>10</v>
      </c>
      <c r="J19" s="69">
        <v>20</v>
      </c>
      <c r="L19" s="7" t="s">
        <v>22</v>
      </c>
      <c r="M19" s="4">
        <v>5</v>
      </c>
      <c r="N19" s="4">
        <v>6</v>
      </c>
      <c r="O19" s="4">
        <v>11</v>
      </c>
      <c r="P19" s="8">
        <f t="shared" si="3"/>
        <v>3.7288135593220342</v>
      </c>
    </row>
    <row r="20" spans="1:16" x14ac:dyDescent="0.35">
      <c r="A20" s="9" t="s">
        <v>23</v>
      </c>
      <c r="B20" s="6">
        <f t="shared" si="0"/>
        <v>4</v>
      </c>
      <c r="C20" s="6">
        <f t="shared" si="1"/>
        <v>6</v>
      </c>
      <c r="D20" s="6">
        <f t="shared" si="2"/>
        <v>10</v>
      </c>
      <c r="G20" s="82" t="s">
        <v>22</v>
      </c>
      <c r="H20" s="68">
        <v>5</v>
      </c>
      <c r="I20" s="83">
        <v>4</v>
      </c>
      <c r="J20" s="69">
        <v>9</v>
      </c>
      <c r="L20" s="7" t="s">
        <v>23</v>
      </c>
      <c r="M20" s="4">
        <v>4</v>
      </c>
      <c r="N20" s="4">
        <v>4</v>
      </c>
      <c r="O20" s="4">
        <v>8</v>
      </c>
      <c r="P20" s="8">
        <f t="shared" si="3"/>
        <v>2.7118644067796609</v>
      </c>
    </row>
    <row r="21" spans="1:16" x14ac:dyDescent="0.35">
      <c r="A21" s="9" t="s">
        <v>24</v>
      </c>
      <c r="B21" s="6">
        <f t="shared" si="0"/>
        <v>2</v>
      </c>
      <c r="C21" s="6">
        <f t="shared" si="1"/>
        <v>2</v>
      </c>
      <c r="D21" s="6">
        <f t="shared" si="2"/>
        <v>4</v>
      </c>
      <c r="G21" s="82" t="s">
        <v>23</v>
      </c>
      <c r="H21" s="68">
        <v>4</v>
      </c>
      <c r="I21" s="83">
        <v>6</v>
      </c>
      <c r="J21" s="69">
        <v>10</v>
      </c>
      <c r="L21" s="7" t="s">
        <v>24</v>
      </c>
      <c r="M21" s="4">
        <v>4</v>
      </c>
      <c r="N21" s="4">
        <v>3</v>
      </c>
      <c r="O21" s="4">
        <v>7</v>
      </c>
      <c r="P21" s="8">
        <f t="shared" si="3"/>
        <v>2.3728813559322033</v>
      </c>
    </row>
    <row r="22" spans="1:16" x14ac:dyDescent="0.35">
      <c r="A22" s="5" t="s">
        <v>25</v>
      </c>
      <c r="B22" s="6">
        <f t="shared" si="0"/>
        <v>3</v>
      </c>
      <c r="C22" s="6">
        <f t="shared" si="1"/>
        <v>7</v>
      </c>
      <c r="D22" s="6">
        <f t="shared" si="2"/>
        <v>10</v>
      </c>
      <c r="G22" s="82" t="s">
        <v>24</v>
      </c>
      <c r="H22" s="68">
        <v>2</v>
      </c>
      <c r="I22" s="83">
        <v>2</v>
      </c>
      <c r="J22" s="69">
        <v>4</v>
      </c>
      <c r="L22" s="7" t="s">
        <v>25</v>
      </c>
      <c r="M22" s="4">
        <v>3</v>
      </c>
      <c r="N22" s="4">
        <v>9</v>
      </c>
      <c r="O22" s="4">
        <v>12</v>
      </c>
      <c r="P22" s="8">
        <f t="shared" si="3"/>
        <v>4.0677966101694913</v>
      </c>
    </row>
    <row r="23" spans="1:16" x14ac:dyDescent="0.35">
      <c r="A23" s="10" t="s">
        <v>10</v>
      </c>
      <c r="B23" s="6">
        <f t="shared" si="0"/>
        <v>139</v>
      </c>
      <c r="C23" s="6">
        <f t="shared" si="1"/>
        <v>156</v>
      </c>
      <c r="D23" s="6">
        <f t="shared" si="2"/>
        <v>295</v>
      </c>
      <c r="G23" s="82" t="s">
        <v>25</v>
      </c>
      <c r="H23" s="68">
        <v>3</v>
      </c>
      <c r="I23" s="83">
        <v>7</v>
      </c>
      <c r="J23" s="69">
        <v>10</v>
      </c>
      <c r="L23" s="2" t="s">
        <v>10</v>
      </c>
      <c r="M23" s="4">
        <v>139</v>
      </c>
      <c r="N23" s="4">
        <v>156</v>
      </c>
      <c r="O23" s="4">
        <v>295</v>
      </c>
      <c r="P23" s="8">
        <f t="shared" si="3"/>
        <v>100</v>
      </c>
    </row>
    <row r="24" spans="1:16" x14ac:dyDescent="0.35">
      <c r="G24" s="78" t="s">
        <v>10</v>
      </c>
      <c r="H24" s="71">
        <v>139</v>
      </c>
      <c r="I24" s="79">
        <v>156</v>
      </c>
      <c r="J24" s="72">
        <v>295</v>
      </c>
    </row>
    <row r="27" spans="1:16" x14ac:dyDescent="0.35">
      <c r="A27" s="2" t="s">
        <v>26</v>
      </c>
    </row>
    <row r="28" spans="1:16" x14ac:dyDescent="0.35">
      <c r="A28" s="11" t="s">
        <v>27</v>
      </c>
      <c r="B28" s="12" t="s">
        <v>4</v>
      </c>
      <c r="C28" s="12" t="s">
        <v>5</v>
      </c>
      <c r="D28" s="12" t="s">
        <v>6</v>
      </c>
      <c r="G28" s="61" t="s">
        <v>7</v>
      </c>
      <c r="H28" s="61" t="s">
        <v>8</v>
      </c>
      <c r="I28" s="73"/>
      <c r="J28" s="62"/>
    </row>
    <row r="29" spans="1:16" x14ac:dyDescent="0.35">
      <c r="A29" s="13" t="s">
        <v>28</v>
      </c>
      <c r="B29" s="6">
        <f t="shared" ref="B29:B37" si="4">IFERROR(VLOOKUP(A29,$G$30:$J$38,2,FALSE),"")</f>
        <v>37</v>
      </c>
      <c r="C29" s="6">
        <f t="shared" ref="C29:C37" si="5">IFERROR(VLOOKUP(A29,$G$30:$J$38,3,FALSE),"")</f>
        <v>34</v>
      </c>
      <c r="D29" s="6">
        <f t="shared" ref="D29:D37" si="6">IFERROR(VLOOKUP(A29,$G$30:$J$38,4,FALSE),"")</f>
        <v>71</v>
      </c>
      <c r="G29" s="61" t="s">
        <v>29</v>
      </c>
      <c r="H29" s="74" t="s">
        <v>4</v>
      </c>
      <c r="I29" s="75" t="s">
        <v>5</v>
      </c>
      <c r="J29" s="76" t="s">
        <v>10</v>
      </c>
    </row>
    <row r="30" spans="1:16" x14ac:dyDescent="0.35">
      <c r="A30" s="13" t="s">
        <v>30</v>
      </c>
      <c r="B30" s="6">
        <f t="shared" si="4"/>
        <v>11</v>
      </c>
      <c r="C30" s="6">
        <f t="shared" si="5"/>
        <v>23</v>
      </c>
      <c r="D30" s="6">
        <f t="shared" si="6"/>
        <v>34</v>
      </c>
      <c r="G30" s="74" t="s">
        <v>30</v>
      </c>
      <c r="H30" s="65">
        <v>11</v>
      </c>
      <c r="I30" s="77">
        <v>23</v>
      </c>
      <c r="J30" s="66">
        <v>34</v>
      </c>
    </row>
    <row r="31" spans="1:16" x14ac:dyDescent="0.35">
      <c r="A31" s="13" t="s">
        <v>31</v>
      </c>
      <c r="B31" s="6">
        <f t="shared" si="4"/>
        <v>34</v>
      </c>
      <c r="C31" s="6">
        <f t="shared" si="5"/>
        <v>49</v>
      </c>
      <c r="D31" s="6">
        <f t="shared" si="6"/>
        <v>83</v>
      </c>
      <c r="G31" s="82" t="s">
        <v>32</v>
      </c>
      <c r="H31" s="68">
        <v>1</v>
      </c>
      <c r="I31" s="83">
        <v>1</v>
      </c>
      <c r="J31" s="69">
        <v>2</v>
      </c>
    </row>
    <row r="32" spans="1:16" x14ac:dyDescent="0.35">
      <c r="A32" s="13" t="s">
        <v>33</v>
      </c>
      <c r="B32" s="6">
        <f t="shared" si="4"/>
        <v>25</v>
      </c>
      <c r="C32" s="6">
        <f t="shared" si="5"/>
        <v>27</v>
      </c>
      <c r="D32" s="6">
        <f t="shared" si="6"/>
        <v>52</v>
      </c>
      <c r="G32" s="82" t="s">
        <v>34</v>
      </c>
      <c r="H32" s="68">
        <v>3</v>
      </c>
      <c r="I32" s="83">
        <v>5</v>
      </c>
      <c r="J32" s="69">
        <v>8</v>
      </c>
    </row>
    <row r="33" spans="1:10" x14ac:dyDescent="0.35">
      <c r="A33" s="13" t="s">
        <v>35</v>
      </c>
      <c r="B33" s="6">
        <f t="shared" si="4"/>
        <v>28</v>
      </c>
      <c r="C33" s="6">
        <f t="shared" si="5"/>
        <v>17</v>
      </c>
      <c r="D33" s="6">
        <f t="shared" si="6"/>
        <v>45</v>
      </c>
      <c r="G33" s="82" t="s">
        <v>35</v>
      </c>
      <c r="H33" s="68">
        <v>28</v>
      </c>
      <c r="I33" s="83">
        <v>17</v>
      </c>
      <c r="J33" s="69">
        <v>45</v>
      </c>
    </row>
    <row r="34" spans="1:10" x14ac:dyDescent="0.35">
      <c r="A34" s="3" t="s">
        <v>32</v>
      </c>
      <c r="B34" s="6">
        <f t="shared" si="4"/>
        <v>1</v>
      </c>
      <c r="C34" s="6">
        <f t="shared" si="5"/>
        <v>1</v>
      </c>
      <c r="D34" s="6">
        <f t="shared" si="6"/>
        <v>2</v>
      </c>
      <c r="G34" s="82" t="s">
        <v>33</v>
      </c>
      <c r="H34" s="68">
        <v>25</v>
      </c>
      <c r="I34" s="83">
        <v>27</v>
      </c>
      <c r="J34" s="69">
        <v>52</v>
      </c>
    </row>
    <row r="35" spans="1:10" x14ac:dyDescent="0.35">
      <c r="A35" s="3" t="s">
        <v>34</v>
      </c>
      <c r="B35" s="6">
        <f t="shared" si="4"/>
        <v>3</v>
      </c>
      <c r="C35" s="6">
        <f t="shared" si="5"/>
        <v>5</v>
      </c>
      <c r="D35" s="6">
        <f t="shared" si="6"/>
        <v>8</v>
      </c>
      <c r="G35" s="82" t="s">
        <v>31</v>
      </c>
      <c r="H35" s="68">
        <v>34</v>
      </c>
      <c r="I35" s="83">
        <v>49</v>
      </c>
      <c r="J35" s="69">
        <v>83</v>
      </c>
    </row>
    <row r="36" spans="1:10" x14ac:dyDescent="0.35">
      <c r="A36" s="13" t="s">
        <v>36</v>
      </c>
      <c r="B36" s="6" t="str">
        <f t="shared" si="4"/>
        <v/>
      </c>
      <c r="C36" s="6" t="str">
        <f t="shared" si="5"/>
        <v/>
      </c>
      <c r="D36" s="6" t="str">
        <f t="shared" si="6"/>
        <v/>
      </c>
      <c r="G36" s="82" t="s">
        <v>28</v>
      </c>
      <c r="H36" s="68">
        <v>37</v>
      </c>
      <c r="I36" s="83">
        <v>34</v>
      </c>
      <c r="J36" s="69">
        <v>71</v>
      </c>
    </row>
    <row r="37" spans="1:10" x14ac:dyDescent="0.35">
      <c r="A37" s="13" t="s">
        <v>37</v>
      </c>
      <c r="B37" s="6" t="str">
        <f t="shared" si="4"/>
        <v/>
      </c>
      <c r="C37" s="6" t="str">
        <f t="shared" si="5"/>
        <v/>
      </c>
      <c r="D37" s="6" t="str">
        <f t="shared" si="6"/>
        <v/>
      </c>
      <c r="G37" s="78" t="s">
        <v>10</v>
      </c>
      <c r="H37" s="71">
        <v>139</v>
      </c>
      <c r="I37" s="79">
        <v>156</v>
      </c>
      <c r="J37" s="72">
        <v>295</v>
      </c>
    </row>
    <row r="40" spans="1:10" x14ac:dyDescent="0.35">
      <c r="A40" s="2"/>
    </row>
    <row r="41" spans="1:10" x14ac:dyDescent="0.35">
      <c r="A41" s="2" t="s">
        <v>38</v>
      </c>
    </row>
    <row r="42" spans="1:10" x14ac:dyDescent="0.35">
      <c r="A42" s="3" t="s">
        <v>39</v>
      </c>
      <c r="B42" s="3" t="s">
        <v>4</v>
      </c>
      <c r="C42" s="3" t="s">
        <v>5</v>
      </c>
      <c r="D42" s="3" t="s">
        <v>6</v>
      </c>
      <c r="G42" s="61" t="s">
        <v>7</v>
      </c>
      <c r="H42" s="61" t="s">
        <v>8</v>
      </c>
      <c r="I42" s="73"/>
      <c r="J42" s="62"/>
    </row>
    <row r="43" spans="1:10" x14ac:dyDescent="0.35">
      <c r="A43" s="5" t="s">
        <v>40</v>
      </c>
      <c r="B43" s="6">
        <f>IFERROR(VLOOKUP(A43,$G$44:$K$48,2,FALSE),"")</f>
        <v>139</v>
      </c>
      <c r="C43" s="6">
        <f t="shared" ref="C43:C48" si="7">IFERROR(VLOOKUP(A43,$G$44:$K$48,3,FALSE),"")</f>
        <v>156</v>
      </c>
      <c r="D43" s="6">
        <f t="shared" ref="D43:D48" si="8">IFERROR(VLOOKUP(A43,$G$44:$K$48,4,FALSE),"")</f>
        <v>295</v>
      </c>
      <c r="G43" s="61" t="s">
        <v>39</v>
      </c>
      <c r="H43" s="74" t="s">
        <v>4</v>
      </c>
      <c r="I43" s="75" t="s">
        <v>5</v>
      </c>
      <c r="J43" s="76" t="s">
        <v>10</v>
      </c>
    </row>
    <row r="44" spans="1:10" x14ac:dyDescent="0.35">
      <c r="A44" s="5" t="s">
        <v>41</v>
      </c>
      <c r="B44" s="6" t="str">
        <f t="shared" ref="B44:B48" si="9">IFERROR(VLOOKUP(A44,$G$44:$K$48,3,FALSE),"")</f>
        <v/>
      </c>
      <c r="C44" s="6" t="str">
        <f t="shared" si="7"/>
        <v/>
      </c>
      <c r="D44" s="6" t="str">
        <f t="shared" si="8"/>
        <v/>
      </c>
      <c r="G44" s="74" t="s">
        <v>40</v>
      </c>
      <c r="H44" s="65">
        <v>139</v>
      </c>
      <c r="I44" s="77">
        <v>156</v>
      </c>
      <c r="J44" s="66">
        <v>295</v>
      </c>
    </row>
    <row r="45" spans="1:10" x14ac:dyDescent="0.35">
      <c r="A45" s="5" t="s">
        <v>42</v>
      </c>
      <c r="B45" s="6" t="str">
        <f t="shared" si="9"/>
        <v/>
      </c>
      <c r="C45" s="6" t="str">
        <f t="shared" si="7"/>
        <v/>
      </c>
      <c r="D45" s="6" t="str">
        <f t="shared" si="8"/>
        <v/>
      </c>
      <c r="G45" s="78" t="s">
        <v>10</v>
      </c>
      <c r="H45" s="71">
        <v>139</v>
      </c>
      <c r="I45" s="79">
        <v>156</v>
      </c>
      <c r="J45" s="72">
        <v>295</v>
      </c>
    </row>
    <row r="46" spans="1:10" x14ac:dyDescent="0.35">
      <c r="A46" s="5" t="s">
        <v>43</v>
      </c>
      <c r="B46" s="6" t="str">
        <f t="shared" si="9"/>
        <v/>
      </c>
      <c r="C46" s="6" t="str">
        <f t="shared" si="7"/>
        <v/>
      </c>
      <c r="D46" s="6" t="str">
        <f t="shared" si="8"/>
        <v/>
      </c>
    </row>
    <row r="47" spans="1:10" x14ac:dyDescent="0.35">
      <c r="A47" s="5" t="s">
        <v>44</v>
      </c>
      <c r="B47" s="6" t="str">
        <f t="shared" si="9"/>
        <v/>
      </c>
      <c r="C47" s="6" t="str">
        <f t="shared" si="7"/>
        <v/>
      </c>
      <c r="D47" s="6" t="str">
        <f t="shared" si="8"/>
        <v/>
      </c>
    </row>
    <row r="48" spans="1:10" x14ac:dyDescent="0.35">
      <c r="A48" s="5" t="s">
        <v>45</v>
      </c>
      <c r="B48" s="6" t="str">
        <f t="shared" si="9"/>
        <v/>
      </c>
      <c r="C48" s="6" t="str">
        <f t="shared" si="7"/>
        <v/>
      </c>
      <c r="D48" s="6" t="str">
        <f t="shared" si="8"/>
        <v/>
      </c>
    </row>
    <row r="50" spans="1:15" x14ac:dyDescent="0.35">
      <c r="L50" s="61" t="s">
        <v>7</v>
      </c>
      <c r="M50" s="61" t="s">
        <v>8</v>
      </c>
      <c r="N50" s="73"/>
      <c r="O50" s="62"/>
    </row>
    <row r="51" spans="1:15" x14ac:dyDescent="0.35">
      <c r="A51" s="2" t="s">
        <v>46</v>
      </c>
      <c r="L51" s="61" t="s">
        <v>47</v>
      </c>
      <c r="M51" s="74" t="s">
        <v>4</v>
      </c>
      <c r="N51" s="75" t="s">
        <v>5</v>
      </c>
      <c r="O51" s="76" t="s">
        <v>10</v>
      </c>
    </row>
    <row r="52" spans="1:15" x14ac:dyDescent="0.35">
      <c r="A52" s="3" t="s">
        <v>47</v>
      </c>
      <c r="B52" s="3" t="s">
        <v>4</v>
      </c>
      <c r="C52" s="3" t="s">
        <v>5</v>
      </c>
      <c r="D52" s="3" t="s">
        <v>6</v>
      </c>
      <c r="L52" s="74" t="s">
        <v>48</v>
      </c>
      <c r="M52" s="65">
        <v>47</v>
      </c>
      <c r="N52" s="77">
        <v>42</v>
      </c>
      <c r="O52" s="66">
        <v>89</v>
      </c>
    </row>
    <row r="53" spans="1:15" x14ac:dyDescent="0.35">
      <c r="A53" s="6" t="s">
        <v>48</v>
      </c>
      <c r="B53" s="6">
        <f t="shared" ref="B53:B68" si="10">IFERROR(VLOOKUP(A53,$L$52:$O$67,2,FALSE),"")</f>
        <v>47</v>
      </c>
      <c r="C53" s="6">
        <f t="shared" ref="C53:C68" si="11">IFERROR(VLOOKUP(A53,$L$52:$O$67,3,FALSE),"")</f>
        <v>42</v>
      </c>
      <c r="D53" s="6">
        <f t="shared" ref="D53:D68" si="12">IFERROR(VLOOKUP(A53,$L$52:$O$67,4,FALSE),"")</f>
        <v>89</v>
      </c>
      <c r="L53" s="82" t="s">
        <v>49</v>
      </c>
      <c r="M53" s="68">
        <v>8</v>
      </c>
      <c r="N53" s="83">
        <v>1</v>
      </c>
      <c r="O53" s="69">
        <v>9</v>
      </c>
    </row>
    <row r="54" spans="1:15" x14ac:dyDescent="0.35">
      <c r="A54" s="6" t="s">
        <v>49</v>
      </c>
      <c r="B54" s="6">
        <f t="shared" si="10"/>
        <v>8</v>
      </c>
      <c r="C54" s="6">
        <f t="shared" si="11"/>
        <v>1</v>
      </c>
      <c r="D54" s="6">
        <f t="shared" si="12"/>
        <v>9</v>
      </c>
      <c r="L54" s="82" t="s">
        <v>50</v>
      </c>
      <c r="M54" s="68">
        <v>1</v>
      </c>
      <c r="N54" s="83"/>
      <c r="O54" s="69">
        <v>1</v>
      </c>
    </row>
    <row r="55" spans="1:15" x14ac:dyDescent="0.35">
      <c r="A55" s="6" t="s">
        <v>50</v>
      </c>
      <c r="B55" s="6">
        <f t="shared" si="10"/>
        <v>1</v>
      </c>
      <c r="C55" s="6">
        <f t="shared" si="11"/>
        <v>0</v>
      </c>
      <c r="D55" s="6">
        <f t="shared" si="12"/>
        <v>1</v>
      </c>
      <c r="L55" s="82" t="s">
        <v>51</v>
      </c>
      <c r="M55" s="68"/>
      <c r="N55" s="83">
        <v>1</v>
      </c>
      <c r="O55" s="69">
        <v>1</v>
      </c>
    </row>
    <row r="56" spans="1:15" x14ac:dyDescent="0.35">
      <c r="A56" s="6" t="s">
        <v>51</v>
      </c>
      <c r="B56" s="6">
        <f t="shared" si="10"/>
        <v>0</v>
      </c>
      <c r="C56" s="6">
        <f t="shared" si="11"/>
        <v>1</v>
      </c>
      <c r="D56" s="6">
        <f t="shared" si="12"/>
        <v>1</v>
      </c>
      <c r="L56" s="82" t="s">
        <v>52</v>
      </c>
      <c r="M56" s="68">
        <v>1</v>
      </c>
      <c r="N56" s="83">
        <v>1</v>
      </c>
      <c r="O56" s="69">
        <v>2</v>
      </c>
    </row>
    <row r="57" spans="1:15" x14ac:dyDescent="0.35">
      <c r="A57" s="6" t="s">
        <v>52</v>
      </c>
      <c r="B57" s="6">
        <f t="shared" si="10"/>
        <v>1</v>
      </c>
      <c r="C57" s="6">
        <f t="shared" si="11"/>
        <v>1</v>
      </c>
      <c r="D57" s="6">
        <f t="shared" si="12"/>
        <v>2</v>
      </c>
      <c r="L57" s="82" t="s">
        <v>53</v>
      </c>
      <c r="M57" s="68">
        <v>7</v>
      </c>
      <c r="N57" s="83">
        <v>2</v>
      </c>
      <c r="O57" s="69">
        <v>9</v>
      </c>
    </row>
    <row r="58" spans="1:15" x14ac:dyDescent="0.35">
      <c r="A58" s="6" t="s">
        <v>53</v>
      </c>
      <c r="B58" s="6">
        <f t="shared" si="10"/>
        <v>7</v>
      </c>
      <c r="C58" s="6">
        <f t="shared" si="11"/>
        <v>2</v>
      </c>
      <c r="D58" s="6">
        <f t="shared" si="12"/>
        <v>9</v>
      </c>
      <c r="L58" s="82" t="s">
        <v>54</v>
      </c>
      <c r="M58" s="68"/>
      <c r="N58" s="83">
        <v>60</v>
      </c>
      <c r="O58" s="69">
        <v>60</v>
      </c>
    </row>
    <row r="59" spans="1:15" x14ac:dyDescent="0.35">
      <c r="A59" s="6" t="s">
        <v>54</v>
      </c>
      <c r="B59" s="6">
        <f t="shared" si="10"/>
        <v>0</v>
      </c>
      <c r="C59" s="6">
        <f t="shared" si="11"/>
        <v>60</v>
      </c>
      <c r="D59" s="6">
        <f t="shared" si="12"/>
        <v>60</v>
      </c>
      <c r="L59" s="82" t="s">
        <v>55</v>
      </c>
      <c r="M59" s="68">
        <v>14</v>
      </c>
      <c r="N59" s="83">
        <v>6</v>
      </c>
      <c r="O59" s="69">
        <v>20</v>
      </c>
    </row>
    <row r="60" spans="1:15" x14ac:dyDescent="0.35">
      <c r="A60" s="6" t="s">
        <v>55</v>
      </c>
      <c r="B60" s="6">
        <f t="shared" si="10"/>
        <v>14</v>
      </c>
      <c r="C60" s="6">
        <f t="shared" si="11"/>
        <v>6</v>
      </c>
      <c r="D60" s="6">
        <f t="shared" si="12"/>
        <v>20</v>
      </c>
      <c r="L60" s="82" t="s">
        <v>56</v>
      </c>
      <c r="M60" s="68">
        <v>1</v>
      </c>
      <c r="N60" s="83">
        <v>1</v>
      </c>
      <c r="O60" s="69">
        <v>2</v>
      </c>
    </row>
    <row r="61" spans="1:15" x14ac:dyDescent="0.35">
      <c r="A61" s="6" t="s">
        <v>56</v>
      </c>
      <c r="B61" s="6">
        <f t="shared" si="10"/>
        <v>1</v>
      </c>
      <c r="C61" s="6">
        <f t="shared" si="11"/>
        <v>1</v>
      </c>
      <c r="D61" s="6">
        <f t="shared" si="12"/>
        <v>2</v>
      </c>
      <c r="L61" s="82" t="s">
        <v>57</v>
      </c>
      <c r="M61" s="68">
        <v>17</v>
      </c>
      <c r="N61" s="83">
        <v>26</v>
      </c>
      <c r="O61" s="69">
        <v>43</v>
      </c>
    </row>
    <row r="62" spans="1:15" x14ac:dyDescent="0.35">
      <c r="A62" s="6" t="s">
        <v>57</v>
      </c>
      <c r="B62" s="6">
        <f t="shared" si="10"/>
        <v>17</v>
      </c>
      <c r="C62" s="6">
        <f t="shared" si="11"/>
        <v>26</v>
      </c>
      <c r="D62" s="6">
        <f t="shared" si="12"/>
        <v>43</v>
      </c>
      <c r="L62" s="82" t="s">
        <v>58</v>
      </c>
      <c r="M62" s="68">
        <v>1</v>
      </c>
      <c r="N62" s="83"/>
      <c r="O62" s="69">
        <v>1</v>
      </c>
    </row>
    <row r="63" spans="1:15" x14ac:dyDescent="0.35">
      <c r="A63" s="6" t="s">
        <v>58</v>
      </c>
      <c r="B63" s="6">
        <f t="shared" si="10"/>
        <v>1</v>
      </c>
      <c r="C63" s="6">
        <f t="shared" si="11"/>
        <v>0</v>
      </c>
      <c r="D63" s="6">
        <f t="shared" si="12"/>
        <v>1</v>
      </c>
      <c r="L63" s="82" t="s">
        <v>59</v>
      </c>
      <c r="M63" s="68"/>
      <c r="N63" s="83">
        <v>1</v>
      </c>
      <c r="O63" s="69">
        <v>1</v>
      </c>
    </row>
    <row r="64" spans="1:15" x14ac:dyDescent="0.35">
      <c r="A64" s="6" t="s">
        <v>59</v>
      </c>
      <c r="B64" s="6">
        <f t="shared" si="10"/>
        <v>0</v>
      </c>
      <c r="C64" s="6">
        <f t="shared" si="11"/>
        <v>1</v>
      </c>
      <c r="D64" s="6">
        <f t="shared" si="12"/>
        <v>1</v>
      </c>
      <c r="L64" s="82" t="s">
        <v>31</v>
      </c>
      <c r="M64" s="68"/>
      <c r="N64" s="83">
        <v>1</v>
      </c>
      <c r="O64" s="69">
        <v>1</v>
      </c>
    </row>
    <row r="65" spans="1:15" x14ac:dyDescent="0.35">
      <c r="A65" s="6" t="s">
        <v>31</v>
      </c>
      <c r="B65" s="6">
        <f t="shared" si="10"/>
        <v>0</v>
      </c>
      <c r="C65" s="6">
        <f t="shared" si="11"/>
        <v>1</v>
      </c>
      <c r="D65" s="6">
        <f t="shared" si="12"/>
        <v>1</v>
      </c>
      <c r="L65" s="82" t="s">
        <v>60</v>
      </c>
      <c r="M65" s="68">
        <v>1</v>
      </c>
      <c r="N65" s="83"/>
      <c r="O65" s="69">
        <v>1</v>
      </c>
    </row>
    <row r="66" spans="1:15" x14ac:dyDescent="0.35">
      <c r="A66" s="6" t="s">
        <v>60</v>
      </c>
      <c r="B66" s="6">
        <f t="shared" si="10"/>
        <v>1</v>
      </c>
      <c r="C66" s="6">
        <f t="shared" si="11"/>
        <v>0</v>
      </c>
      <c r="D66" s="6">
        <f t="shared" si="12"/>
        <v>1</v>
      </c>
      <c r="L66" s="82" t="s">
        <v>61</v>
      </c>
      <c r="M66" s="68">
        <v>1</v>
      </c>
      <c r="N66" s="83"/>
      <c r="O66" s="69">
        <v>1</v>
      </c>
    </row>
    <row r="67" spans="1:15" x14ac:dyDescent="0.35">
      <c r="A67" s="6" t="s">
        <v>61</v>
      </c>
      <c r="B67" s="6">
        <f t="shared" si="10"/>
        <v>1</v>
      </c>
      <c r="C67" s="6">
        <f t="shared" si="11"/>
        <v>0</v>
      </c>
      <c r="D67" s="6">
        <f t="shared" si="12"/>
        <v>1</v>
      </c>
      <c r="L67" s="82" t="s">
        <v>62</v>
      </c>
      <c r="M67" s="68">
        <v>40</v>
      </c>
      <c r="N67" s="83">
        <v>14</v>
      </c>
      <c r="O67" s="69">
        <v>54</v>
      </c>
    </row>
    <row r="68" spans="1:15" x14ac:dyDescent="0.35">
      <c r="A68" s="6" t="s">
        <v>62</v>
      </c>
      <c r="B68" s="6">
        <f t="shared" si="10"/>
        <v>40</v>
      </c>
      <c r="C68" s="6">
        <f t="shared" si="11"/>
        <v>14</v>
      </c>
      <c r="D68" s="6">
        <f t="shared" si="12"/>
        <v>54</v>
      </c>
      <c r="L68" s="78" t="s">
        <v>10</v>
      </c>
      <c r="M68" s="71">
        <v>139</v>
      </c>
      <c r="N68" s="79">
        <v>156</v>
      </c>
      <c r="O68" s="72">
        <v>295</v>
      </c>
    </row>
    <row r="72" spans="1:15" x14ac:dyDescent="0.35">
      <c r="A72" s="2" t="s">
        <v>63</v>
      </c>
      <c r="G72" s="61" t="s">
        <v>7</v>
      </c>
      <c r="H72" s="61" t="s">
        <v>8</v>
      </c>
      <c r="I72" s="73"/>
      <c r="J72" s="62"/>
    </row>
    <row r="73" spans="1:15" x14ac:dyDescent="0.35">
      <c r="A73" s="3" t="s">
        <v>64</v>
      </c>
      <c r="B73" s="3" t="s">
        <v>4</v>
      </c>
      <c r="C73" s="3" t="s">
        <v>5</v>
      </c>
      <c r="D73" s="3" t="s">
        <v>6</v>
      </c>
      <c r="G73" s="61" t="s">
        <v>64</v>
      </c>
      <c r="H73" s="74" t="s">
        <v>4</v>
      </c>
      <c r="I73" s="75" t="s">
        <v>5</v>
      </c>
      <c r="J73" s="76" t="s">
        <v>10</v>
      </c>
    </row>
    <row r="74" spans="1:15" x14ac:dyDescent="0.35">
      <c r="A74" s="14" t="s">
        <v>65</v>
      </c>
      <c r="B74" s="6">
        <f t="shared" ref="B74:B78" si="13">IFERROR(VLOOKUP(A74,$G$74:$J$78,2,FALSE),"")</f>
        <v>75</v>
      </c>
      <c r="C74" s="6">
        <f t="shared" ref="C74:C78" si="14">IFERROR(VLOOKUP(A74,$G$74:$J$78,3,FALSE),"")</f>
        <v>72</v>
      </c>
      <c r="D74" s="6">
        <f t="shared" ref="D74:D78" si="15">IFERROR(VLOOKUP(A74,$G$74:$J$78,4,FALSE),"")</f>
        <v>147</v>
      </c>
      <c r="G74" s="74" t="s">
        <v>65</v>
      </c>
      <c r="H74" s="65">
        <v>75</v>
      </c>
      <c r="I74" s="77">
        <v>72</v>
      </c>
      <c r="J74" s="66">
        <v>147</v>
      </c>
    </row>
    <row r="75" spans="1:15" x14ac:dyDescent="0.35">
      <c r="A75" s="14" t="s">
        <v>66</v>
      </c>
      <c r="B75" s="6" t="str">
        <f t="shared" si="13"/>
        <v/>
      </c>
      <c r="C75" s="6" t="str">
        <f t="shared" si="14"/>
        <v/>
      </c>
      <c r="D75" s="6" t="str">
        <f t="shared" si="15"/>
        <v/>
      </c>
      <c r="G75" s="82" t="s">
        <v>68</v>
      </c>
      <c r="H75" s="68">
        <v>2</v>
      </c>
      <c r="I75" s="83">
        <v>7</v>
      </c>
      <c r="J75" s="69">
        <v>9</v>
      </c>
    </row>
    <row r="76" spans="1:15" x14ac:dyDescent="0.35">
      <c r="A76" s="15" t="s">
        <v>67</v>
      </c>
      <c r="B76" s="6">
        <f t="shared" si="13"/>
        <v>32</v>
      </c>
      <c r="C76" s="6">
        <f t="shared" si="14"/>
        <v>34</v>
      </c>
      <c r="D76" s="6">
        <f t="shared" si="15"/>
        <v>66</v>
      </c>
      <c r="G76" s="82" t="s">
        <v>69</v>
      </c>
      <c r="H76" s="68"/>
      <c r="I76" s="83">
        <v>1</v>
      </c>
      <c r="J76" s="69">
        <v>1</v>
      </c>
    </row>
    <row r="77" spans="1:15" x14ac:dyDescent="0.35">
      <c r="A77" s="14" t="s">
        <v>68</v>
      </c>
      <c r="B77" s="6">
        <f t="shared" si="13"/>
        <v>2</v>
      </c>
      <c r="C77" s="6">
        <f t="shared" si="14"/>
        <v>7</v>
      </c>
      <c r="D77" s="6">
        <f t="shared" si="15"/>
        <v>9</v>
      </c>
      <c r="G77" s="82" t="s">
        <v>70</v>
      </c>
      <c r="H77" s="68">
        <v>1</v>
      </c>
      <c r="I77" s="83">
        <v>11</v>
      </c>
      <c r="J77" s="69">
        <v>12</v>
      </c>
    </row>
    <row r="78" spans="1:15" x14ac:dyDescent="0.35">
      <c r="A78" s="14" t="s">
        <v>70</v>
      </c>
      <c r="B78" s="6">
        <f t="shared" si="13"/>
        <v>1</v>
      </c>
      <c r="C78" s="6">
        <f t="shared" si="14"/>
        <v>11</v>
      </c>
      <c r="D78" s="6">
        <f t="shared" si="15"/>
        <v>12</v>
      </c>
      <c r="G78" s="82" t="s">
        <v>67</v>
      </c>
      <c r="H78" s="68">
        <v>32</v>
      </c>
      <c r="I78" s="83">
        <v>34</v>
      </c>
      <c r="J78" s="69">
        <v>66</v>
      </c>
    </row>
    <row r="79" spans="1:15" x14ac:dyDescent="0.35">
      <c r="G79" s="82" t="s">
        <v>71</v>
      </c>
      <c r="H79" s="68">
        <v>4</v>
      </c>
      <c r="I79" s="83">
        <v>4</v>
      </c>
      <c r="J79" s="69">
        <v>8</v>
      </c>
    </row>
    <row r="80" spans="1:15" x14ac:dyDescent="0.35">
      <c r="G80" s="82" t="s">
        <v>66</v>
      </c>
      <c r="H80" s="68">
        <v>24</v>
      </c>
      <c r="I80" s="83">
        <v>25</v>
      </c>
      <c r="J80" s="69">
        <v>49</v>
      </c>
    </row>
    <row r="81" spans="7:10" x14ac:dyDescent="0.35">
      <c r="G81" s="82" t="s">
        <v>898</v>
      </c>
      <c r="H81" s="68">
        <v>1</v>
      </c>
      <c r="I81" s="83">
        <v>2</v>
      </c>
      <c r="J81" s="69">
        <v>3</v>
      </c>
    </row>
    <row r="82" spans="7:10" x14ac:dyDescent="0.35">
      <c r="G82" s="78" t="s">
        <v>10</v>
      </c>
      <c r="H82" s="71">
        <v>139</v>
      </c>
      <c r="I82" s="79">
        <v>156</v>
      </c>
      <c r="J82" s="72">
        <v>295</v>
      </c>
    </row>
  </sheetData>
  <mergeCells count="2">
    <mergeCell ref="A1:D1"/>
    <mergeCell ref="A2:D2"/>
  </mergeCell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4"/>
  <sheetViews>
    <sheetView workbookViewId="0"/>
  </sheetViews>
  <sheetFormatPr defaultColWidth="14.453125" defaultRowHeight="15" customHeight="1" x14ac:dyDescent="0.35"/>
  <cols>
    <col min="1" max="1" width="21.54296875" customWidth="1"/>
    <col min="2" max="4" width="11.54296875" customWidth="1"/>
    <col min="5" max="5" width="4.08984375" customWidth="1"/>
    <col min="6" max="6" width="14.453125" customWidth="1"/>
    <col min="7" max="10" width="11.54296875" customWidth="1"/>
    <col min="11" max="11" width="7.7265625" customWidth="1"/>
    <col min="12" max="12" width="21.54296875" customWidth="1"/>
    <col min="13" max="15" width="11.54296875" customWidth="1"/>
    <col min="16" max="16" width="8.453125" customWidth="1"/>
    <col min="17" max="17" width="21.54296875" customWidth="1"/>
    <col min="18" max="20" width="11.54296875" customWidth="1"/>
    <col min="21" max="21" width="9.453125" customWidth="1"/>
    <col min="22" max="22" width="21.54296875" customWidth="1"/>
    <col min="23" max="25" width="11.54296875" customWidth="1"/>
    <col min="26" max="26" width="3.08984375" customWidth="1"/>
    <col min="27" max="27" width="21.54296875" customWidth="1"/>
    <col min="28" max="31" width="11.54296875" customWidth="1"/>
    <col min="32" max="35" width="8.7265625" customWidth="1"/>
  </cols>
  <sheetData>
    <row r="1" spans="1:35" ht="18.5" x14ac:dyDescent="0.45">
      <c r="A1" s="32" t="s">
        <v>822</v>
      </c>
      <c r="B1" s="33"/>
      <c r="G1" s="34" t="s">
        <v>823</v>
      </c>
    </row>
    <row r="2" spans="1:35" ht="14.5" x14ac:dyDescent="0.35">
      <c r="A2" s="35" t="s">
        <v>824</v>
      </c>
      <c r="B2" s="36">
        <f ca="1">IFERROR(__xludf.DUMMYFUNCTION("COUNTA(UNIQUE(DATABASE!C4:C1000))"),77)</f>
        <v>77</v>
      </c>
      <c r="G2" s="34" t="s">
        <v>825</v>
      </c>
    </row>
    <row r="3" spans="1:35" ht="14.5" x14ac:dyDescent="0.35">
      <c r="A3" s="35" t="s">
        <v>826</v>
      </c>
      <c r="B3" s="36">
        <f>COUNTA(DATA!D2:D998)</f>
        <v>295</v>
      </c>
      <c r="G3" s="34" t="s">
        <v>827</v>
      </c>
    </row>
    <row r="4" spans="1:35" ht="14.5" x14ac:dyDescent="0.35">
      <c r="A4" s="35" t="s">
        <v>828</v>
      </c>
      <c r="B4" s="36">
        <f>COUNTIF(DATA!I:I,"LAKI-LAKI")</f>
        <v>139</v>
      </c>
      <c r="G4" s="34" t="s">
        <v>829</v>
      </c>
    </row>
    <row r="5" spans="1:35" ht="14.5" x14ac:dyDescent="0.35">
      <c r="A5" s="35" t="s">
        <v>830</v>
      </c>
      <c r="B5" s="36">
        <f>COUNTIF(DATA!I:I,"PEREMPUAN")</f>
        <v>156</v>
      </c>
      <c r="G5" s="34" t="s">
        <v>831</v>
      </c>
    </row>
    <row r="6" spans="1:35" ht="14.5" x14ac:dyDescent="0.35">
      <c r="A6" s="35" t="s">
        <v>832</v>
      </c>
      <c r="B6" s="36">
        <f>MENINGGAL!C1</f>
        <v>1</v>
      </c>
    </row>
    <row r="7" spans="1:35" ht="14.5" x14ac:dyDescent="0.35">
      <c r="A7" s="37"/>
      <c r="G7" s="37"/>
    </row>
    <row r="8" spans="1:35" ht="14.5" x14ac:dyDescent="0.35">
      <c r="A8" s="37"/>
      <c r="L8" s="80" t="s">
        <v>76</v>
      </c>
      <c r="M8" s="81" t="s">
        <v>92</v>
      </c>
      <c r="Q8" s="80" t="s">
        <v>76</v>
      </c>
      <c r="R8" s="81" t="s">
        <v>92</v>
      </c>
      <c r="V8" s="80" t="s">
        <v>76</v>
      </c>
      <c r="W8" s="81" t="s">
        <v>92</v>
      </c>
      <c r="AA8" s="80" t="s">
        <v>76</v>
      </c>
      <c r="AB8" s="81" t="s">
        <v>92</v>
      </c>
    </row>
    <row r="9" spans="1:35" ht="14.5" x14ac:dyDescent="0.35">
      <c r="A9" s="38" t="s">
        <v>833</v>
      </c>
      <c r="F9" s="38" t="s">
        <v>834</v>
      </c>
      <c r="L9" s="38"/>
      <c r="Q9" s="38"/>
      <c r="V9" s="38"/>
      <c r="AA9" s="38"/>
    </row>
    <row r="10" spans="1:35" ht="14.5" x14ac:dyDescent="0.35">
      <c r="F10" s="61" t="s">
        <v>835</v>
      </c>
      <c r="G10" s="61" t="s">
        <v>8</v>
      </c>
      <c r="H10" s="73"/>
      <c r="I10" s="62"/>
      <c r="L10" s="61" t="s">
        <v>836</v>
      </c>
      <c r="M10" s="61" t="s">
        <v>8</v>
      </c>
      <c r="N10" s="73"/>
      <c r="O10" s="62"/>
      <c r="Q10" s="61" t="s">
        <v>837</v>
      </c>
      <c r="R10" s="61" t="s">
        <v>8</v>
      </c>
      <c r="S10" s="73"/>
      <c r="T10" s="62"/>
      <c r="V10" s="61" t="s">
        <v>838</v>
      </c>
      <c r="W10" s="61" t="s">
        <v>8</v>
      </c>
      <c r="X10" s="73"/>
      <c r="Y10" s="62"/>
      <c r="AA10" s="61" t="s">
        <v>839</v>
      </c>
      <c r="AB10" s="61" t="s">
        <v>8</v>
      </c>
      <c r="AC10" s="73"/>
      <c r="AD10" s="62"/>
    </row>
    <row r="11" spans="1:35" ht="14.5" x14ac:dyDescent="0.35">
      <c r="F11" s="61" t="s">
        <v>87</v>
      </c>
      <c r="G11" s="74" t="s">
        <v>4</v>
      </c>
      <c r="H11" s="75" t="s">
        <v>5</v>
      </c>
      <c r="I11" s="76" t="s">
        <v>10</v>
      </c>
      <c r="L11" s="61" t="s">
        <v>47</v>
      </c>
      <c r="M11" s="74" t="s">
        <v>4</v>
      </c>
      <c r="N11" s="75" t="s">
        <v>5</v>
      </c>
      <c r="O11" s="76" t="s">
        <v>10</v>
      </c>
      <c r="Q11" s="61" t="s">
        <v>29</v>
      </c>
      <c r="R11" s="74" t="s">
        <v>4</v>
      </c>
      <c r="S11" s="75" t="s">
        <v>5</v>
      </c>
      <c r="T11" s="76" t="s">
        <v>10</v>
      </c>
      <c r="V11" s="61" t="s">
        <v>39</v>
      </c>
      <c r="W11" s="74" t="s">
        <v>4</v>
      </c>
      <c r="X11" s="75" t="s">
        <v>5</v>
      </c>
      <c r="Y11" s="76" t="s">
        <v>10</v>
      </c>
      <c r="AA11" s="61" t="s">
        <v>64</v>
      </c>
      <c r="AB11" s="74" t="s">
        <v>4</v>
      </c>
      <c r="AC11" s="75" t="s">
        <v>5</v>
      </c>
      <c r="AD11" s="76" t="s">
        <v>10</v>
      </c>
    </row>
    <row r="12" spans="1:35" ht="14.5" x14ac:dyDescent="0.35">
      <c r="F12" s="74" t="s">
        <v>99</v>
      </c>
      <c r="G12" s="65">
        <v>103</v>
      </c>
      <c r="H12" s="77">
        <v>114</v>
      </c>
      <c r="I12" s="66">
        <v>217</v>
      </c>
      <c r="L12" s="74" t="s">
        <v>48</v>
      </c>
      <c r="M12" s="65">
        <v>20</v>
      </c>
      <c r="N12" s="77">
        <v>8</v>
      </c>
      <c r="O12" s="66">
        <v>28</v>
      </c>
      <c r="Q12" s="74" t="s">
        <v>30</v>
      </c>
      <c r="R12" s="65">
        <v>4</v>
      </c>
      <c r="S12" s="77">
        <v>9</v>
      </c>
      <c r="T12" s="66">
        <v>13</v>
      </c>
      <c r="V12" s="74" t="s">
        <v>40</v>
      </c>
      <c r="W12" s="65">
        <v>53</v>
      </c>
      <c r="X12" s="77">
        <v>44</v>
      </c>
      <c r="Y12" s="66">
        <v>97</v>
      </c>
      <c r="AA12" s="74" t="s">
        <v>65</v>
      </c>
      <c r="AB12" s="65">
        <v>33</v>
      </c>
      <c r="AC12" s="77">
        <v>20</v>
      </c>
      <c r="AD12" s="66">
        <v>53</v>
      </c>
      <c r="AF12" s="37"/>
      <c r="AG12" s="37"/>
      <c r="AH12" s="37"/>
      <c r="AI12" s="37"/>
    </row>
    <row r="13" spans="1:35" ht="14.5" x14ac:dyDescent="0.35">
      <c r="F13" s="78" t="s">
        <v>10</v>
      </c>
      <c r="G13" s="71">
        <v>103</v>
      </c>
      <c r="H13" s="79">
        <v>114</v>
      </c>
      <c r="I13" s="72">
        <v>217</v>
      </c>
      <c r="L13" s="82" t="s">
        <v>53</v>
      </c>
      <c r="M13" s="68">
        <v>2</v>
      </c>
      <c r="N13" s="83"/>
      <c r="O13" s="69">
        <v>2</v>
      </c>
      <c r="Q13" s="82" t="s">
        <v>32</v>
      </c>
      <c r="R13" s="68"/>
      <c r="S13" s="83">
        <v>1</v>
      </c>
      <c r="T13" s="69">
        <v>1</v>
      </c>
      <c r="V13" s="78" t="s">
        <v>10</v>
      </c>
      <c r="W13" s="71">
        <v>53</v>
      </c>
      <c r="X13" s="79">
        <v>44</v>
      </c>
      <c r="Y13" s="72">
        <v>97</v>
      </c>
      <c r="AA13" s="82" t="s">
        <v>68</v>
      </c>
      <c r="AB13" s="68"/>
      <c r="AC13" s="83">
        <v>3</v>
      </c>
      <c r="AD13" s="69">
        <v>3</v>
      </c>
      <c r="AF13" s="37"/>
      <c r="AG13" s="37"/>
      <c r="AH13" s="37"/>
      <c r="AI13" s="37"/>
    </row>
    <row r="14" spans="1:35" ht="14.5" x14ac:dyDescent="0.35">
      <c r="L14" s="82" t="s">
        <v>54</v>
      </c>
      <c r="M14" s="68"/>
      <c r="N14" s="83">
        <v>21</v>
      </c>
      <c r="O14" s="69">
        <v>21</v>
      </c>
      <c r="Q14" s="82" t="s">
        <v>34</v>
      </c>
      <c r="R14" s="68"/>
      <c r="S14" s="83">
        <v>2</v>
      </c>
      <c r="T14" s="69">
        <v>2</v>
      </c>
      <c r="AA14" s="82" t="s">
        <v>70</v>
      </c>
      <c r="AB14" s="68">
        <v>1</v>
      </c>
      <c r="AC14" s="83"/>
      <c r="AD14" s="69">
        <v>1</v>
      </c>
      <c r="AF14" s="37"/>
      <c r="AG14" s="37"/>
      <c r="AH14" s="37"/>
      <c r="AI14" s="37"/>
    </row>
    <row r="15" spans="1:35" ht="14.5" x14ac:dyDescent="0.35">
      <c r="L15" s="82" t="s">
        <v>55</v>
      </c>
      <c r="M15" s="68">
        <v>5</v>
      </c>
      <c r="N15" s="83">
        <v>1</v>
      </c>
      <c r="O15" s="69">
        <v>6</v>
      </c>
      <c r="Q15" s="82" t="s">
        <v>35</v>
      </c>
      <c r="R15" s="68">
        <v>8</v>
      </c>
      <c r="S15" s="83">
        <v>3</v>
      </c>
      <c r="T15" s="69">
        <v>11</v>
      </c>
      <c r="AA15" s="82" t="s">
        <v>67</v>
      </c>
      <c r="AB15" s="68">
        <v>12</v>
      </c>
      <c r="AC15" s="83">
        <v>14</v>
      </c>
      <c r="AD15" s="69">
        <v>26</v>
      </c>
      <c r="AF15" s="37"/>
      <c r="AG15" s="37"/>
      <c r="AH15" s="37"/>
      <c r="AI15" s="37"/>
    </row>
    <row r="16" spans="1:35" ht="14.5" x14ac:dyDescent="0.35">
      <c r="L16" s="82" t="s">
        <v>56</v>
      </c>
      <c r="M16" s="68"/>
      <c r="N16" s="83">
        <v>1</v>
      </c>
      <c r="O16" s="69">
        <v>1</v>
      </c>
      <c r="Q16" s="82" t="s">
        <v>33</v>
      </c>
      <c r="R16" s="68">
        <v>9</v>
      </c>
      <c r="S16" s="83">
        <v>12</v>
      </c>
      <c r="T16" s="69">
        <v>21</v>
      </c>
      <c r="AA16" s="82" t="s">
        <v>66</v>
      </c>
      <c r="AB16" s="68">
        <v>7</v>
      </c>
      <c r="AC16" s="83">
        <v>7</v>
      </c>
      <c r="AD16" s="69">
        <v>14</v>
      </c>
      <c r="AF16" s="37"/>
      <c r="AG16" s="37"/>
      <c r="AH16" s="37"/>
      <c r="AI16" s="37"/>
    </row>
    <row r="17" spans="1:35" ht="14.5" x14ac:dyDescent="0.35">
      <c r="L17" s="82" t="s">
        <v>57</v>
      </c>
      <c r="M17" s="68">
        <v>9</v>
      </c>
      <c r="N17" s="83">
        <v>11</v>
      </c>
      <c r="O17" s="69">
        <v>20</v>
      </c>
      <c r="Q17" s="82" t="s">
        <v>31</v>
      </c>
      <c r="R17" s="68">
        <v>17</v>
      </c>
      <c r="S17" s="83">
        <v>10</v>
      </c>
      <c r="T17" s="69">
        <v>27</v>
      </c>
      <c r="AA17" s="78" t="s">
        <v>10</v>
      </c>
      <c r="AB17" s="71">
        <v>53</v>
      </c>
      <c r="AC17" s="79">
        <v>44</v>
      </c>
      <c r="AD17" s="72">
        <v>97</v>
      </c>
      <c r="AE17" s="37"/>
      <c r="AF17" s="37"/>
      <c r="AG17" s="37"/>
      <c r="AH17" s="37"/>
      <c r="AI17" s="37"/>
    </row>
    <row r="18" spans="1:35" ht="15" customHeight="1" x14ac:dyDescent="0.35">
      <c r="L18" s="82" t="s">
        <v>60</v>
      </c>
      <c r="M18" s="68">
        <v>1</v>
      </c>
      <c r="N18" s="83"/>
      <c r="O18" s="69">
        <v>1</v>
      </c>
      <c r="Q18" s="82" t="s">
        <v>28</v>
      </c>
      <c r="R18" s="68">
        <v>15</v>
      </c>
      <c r="S18" s="83">
        <v>7</v>
      </c>
      <c r="T18" s="69">
        <v>22</v>
      </c>
    </row>
    <row r="19" spans="1:35" ht="15" customHeight="1" x14ac:dyDescent="0.35">
      <c r="L19" s="82" t="s">
        <v>61</v>
      </c>
      <c r="M19" s="68">
        <v>1</v>
      </c>
      <c r="N19" s="83"/>
      <c r="O19" s="69">
        <v>1</v>
      </c>
      <c r="Q19" s="78" t="s">
        <v>10</v>
      </c>
      <c r="R19" s="71">
        <v>53</v>
      </c>
      <c r="S19" s="79">
        <v>44</v>
      </c>
      <c r="T19" s="72">
        <v>97</v>
      </c>
    </row>
    <row r="20" spans="1:35" ht="14.5" x14ac:dyDescent="0.35">
      <c r="A20" s="40" t="s">
        <v>840</v>
      </c>
      <c r="L20" s="82" t="s">
        <v>62</v>
      </c>
      <c r="M20" s="68">
        <v>15</v>
      </c>
      <c r="N20" s="83">
        <v>2</v>
      </c>
      <c r="O20" s="69">
        <v>17</v>
      </c>
    </row>
    <row r="21" spans="1:35" ht="15" customHeight="1" x14ac:dyDescent="0.35">
      <c r="L21" s="78" t="s">
        <v>10</v>
      </c>
      <c r="M21" s="71">
        <v>53</v>
      </c>
      <c r="N21" s="79">
        <v>44</v>
      </c>
      <c r="O21" s="72">
        <v>97</v>
      </c>
    </row>
    <row r="24" spans="1:35" ht="14.5" x14ac:dyDescent="0.35">
      <c r="A24" s="41" t="s">
        <v>841</v>
      </c>
      <c r="F24" s="41" t="s">
        <v>842</v>
      </c>
    </row>
    <row r="25" spans="1:35" ht="15.75" customHeight="1" x14ac:dyDescent="0.35">
      <c r="A25" s="61" t="s">
        <v>843</v>
      </c>
      <c r="B25" s="61" t="s">
        <v>844</v>
      </c>
      <c r="C25" s="62"/>
      <c r="F25" s="61" t="s">
        <v>845</v>
      </c>
      <c r="G25" s="61" t="s">
        <v>844</v>
      </c>
      <c r="H25" s="62"/>
    </row>
    <row r="26" spans="1:35" ht="15.75" customHeight="1" x14ac:dyDescent="0.35">
      <c r="A26" s="61" t="s">
        <v>846</v>
      </c>
      <c r="B26" s="63" t="s">
        <v>847</v>
      </c>
      <c r="C26" s="64" t="s">
        <v>10</v>
      </c>
      <c r="F26" s="61" t="s">
        <v>846</v>
      </c>
      <c r="G26" s="63" t="s">
        <v>848</v>
      </c>
      <c r="H26" s="64" t="s">
        <v>10</v>
      </c>
      <c r="AA26" s="37"/>
      <c r="AB26" s="37"/>
      <c r="AC26" s="37"/>
      <c r="AD26" s="37"/>
      <c r="AE26" s="37"/>
      <c r="AF26" s="37"/>
      <c r="AG26" s="37"/>
      <c r="AH26" s="37"/>
      <c r="AI26" s="37"/>
    </row>
    <row r="27" spans="1:35" ht="15.75" customHeight="1" x14ac:dyDescent="0.35">
      <c r="A27" s="63" t="s">
        <v>849</v>
      </c>
      <c r="B27" s="65">
        <v>2</v>
      </c>
      <c r="C27" s="66">
        <v>2</v>
      </c>
      <c r="F27" s="63" t="s">
        <v>850</v>
      </c>
      <c r="G27" s="65">
        <v>1</v>
      </c>
      <c r="H27" s="66">
        <v>1</v>
      </c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 ht="15.75" customHeight="1" x14ac:dyDescent="0.35">
      <c r="A28" s="67" t="s">
        <v>851</v>
      </c>
      <c r="B28" s="68">
        <v>1</v>
      </c>
      <c r="C28" s="69">
        <v>1</v>
      </c>
      <c r="E28" s="37"/>
      <c r="F28" s="67" t="s">
        <v>852</v>
      </c>
      <c r="G28" s="68">
        <v>1</v>
      </c>
      <c r="H28" s="69">
        <v>1</v>
      </c>
      <c r="AA28" s="37"/>
      <c r="AB28" s="37"/>
      <c r="AC28" s="37"/>
      <c r="AD28" s="37"/>
      <c r="AE28" s="37"/>
      <c r="AF28" s="37"/>
      <c r="AG28" s="37"/>
      <c r="AH28" s="37"/>
      <c r="AI28" s="37"/>
    </row>
    <row r="29" spans="1:35" ht="15.75" customHeight="1" x14ac:dyDescent="0.35">
      <c r="A29" s="70" t="s">
        <v>10</v>
      </c>
      <c r="B29" s="71">
        <v>3</v>
      </c>
      <c r="C29" s="72">
        <v>3</v>
      </c>
      <c r="F29" s="70" t="s">
        <v>10</v>
      </c>
      <c r="G29" s="71">
        <v>2</v>
      </c>
      <c r="H29" s="72">
        <v>2</v>
      </c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 ht="15.75" customHeight="1" x14ac:dyDescent="0.35">
      <c r="AA30" s="37"/>
      <c r="AB30" s="37"/>
      <c r="AC30" s="37"/>
      <c r="AD30" s="37"/>
      <c r="AE30" s="37"/>
      <c r="AF30" s="37"/>
      <c r="AG30" s="37"/>
      <c r="AH30" s="37"/>
      <c r="AI30" s="37"/>
    </row>
    <row r="31" spans="1:35" ht="15.75" customHeight="1" x14ac:dyDescent="0.35">
      <c r="AA31" s="37"/>
      <c r="AB31" s="37"/>
      <c r="AC31" s="37"/>
      <c r="AD31" s="37"/>
      <c r="AE31" s="37"/>
      <c r="AF31" s="37"/>
      <c r="AG31" s="37"/>
      <c r="AH31" s="37"/>
      <c r="AI31" s="37"/>
    </row>
    <row r="32" spans="1:35" ht="15.75" customHeight="1" x14ac:dyDescent="0.35"/>
    <row r="33" spans="1:12" ht="15.75" customHeight="1" x14ac:dyDescent="0.35"/>
    <row r="34" spans="1:12" ht="15.75" customHeight="1" x14ac:dyDescent="0.35">
      <c r="L34" s="37"/>
    </row>
    <row r="35" spans="1:12" ht="15.75" customHeight="1" x14ac:dyDescent="0.35">
      <c r="A35" s="37"/>
    </row>
    <row r="36" spans="1:12" ht="15.75" customHeight="1" x14ac:dyDescent="0.35"/>
    <row r="37" spans="1:12" ht="15.75" customHeight="1" x14ac:dyDescent="0.35"/>
    <row r="38" spans="1:12" ht="15.75" customHeight="1" x14ac:dyDescent="0.35"/>
    <row r="39" spans="1:12" ht="15.75" customHeight="1" x14ac:dyDescent="0.35"/>
    <row r="40" spans="1:12" ht="15.75" customHeight="1" x14ac:dyDescent="0.35"/>
    <row r="41" spans="1:12" ht="15.75" customHeight="1" x14ac:dyDescent="0.35"/>
    <row r="42" spans="1:12" ht="15.75" customHeight="1" x14ac:dyDescent="0.35"/>
    <row r="43" spans="1:12" ht="15.75" customHeight="1" x14ac:dyDescent="0.35"/>
    <row r="44" spans="1:12" ht="15.75" customHeight="1" x14ac:dyDescent="0.35">
      <c r="A44" s="39"/>
      <c r="B44" s="37"/>
      <c r="C44" s="37"/>
      <c r="D44" s="37"/>
      <c r="E44" s="37"/>
    </row>
    <row r="45" spans="1:12" ht="15.75" customHeight="1" x14ac:dyDescent="0.35"/>
    <row r="46" spans="1:12" ht="15.75" customHeight="1" x14ac:dyDescent="0.35"/>
    <row r="47" spans="1:12" ht="15.75" customHeight="1" x14ac:dyDescent="0.35">
      <c r="A47" s="37"/>
    </row>
    <row r="48" spans="1:12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spans="1:1" ht="15.75" customHeight="1" x14ac:dyDescent="0.35"/>
    <row r="66" spans="1:1" ht="15.75" customHeight="1" x14ac:dyDescent="0.35"/>
    <row r="67" spans="1:1" ht="15.75" customHeight="1" x14ac:dyDescent="0.35"/>
    <row r="68" spans="1:1" ht="15.75" customHeight="1" x14ac:dyDescent="0.35"/>
    <row r="69" spans="1:1" ht="15.75" customHeight="1" x14ac:dyDescent="0.35">
      <c r="A69" s="37"/>
    </row>
    <row r="70" spans="1:1" ht="15.75" customHeight="1" x14ac:dyDescent="0.35"/>
    <row r="71" spans="1:1" ht="15.75" customHeight="1" x14ac:dyDescent="0.35"/>
    <row r="72" spans="1:1" ht="15.75" customHeight="1" x14ac:dyDescent="0.35"/>
    <row r="73" spans="1:1" ht="15.75" customHeight="1" x14ac:dyDescent="0.35"/>
    <row r="74" spans="1:1" ht="15.75" customHeight="1" x14ac:dyDescent="0.35"/>
    <row r="75" spans="1:1" ht="15.75" customHeight="1" x14ac:dyDescent="0.35"/>
    <row r="76" spans="1:1" ht="15.75" customHeight="1" x14ac:dyDescent="0.35"/>
    <row r="77" spans="1:1" ht="15.75" customHeight="1" x14ac:dyDescent="0.35"/>
    <row r="78" spans="1:1" ht="15.75" customHeight="1" x14ac:dyDescent="0.35"/>
    <row r="79" spans="1:1" ht="15.75" customHeight="1" x14ac:dyDescent="0.35"/>
    <row r="80" spans="1:1" ht="15.75" customHeight="1" x14ac:dyDescent="0.35"/>
    <row r="81" spans="1:1" ht="15.75" customHeight="1" x14ac:dyDescent="0.35"/>
    <row r="82" spans="1:1" ht="15.75" customHeight="1" x14ac:dyDescent="0.35"/>
    <row r="83" spans="1:1" ht="15.75" customHeight="1" x14ac:dyDescent="0.35"/>
    <row r="84" spans="1:1" ht="15.75" customHeight="1" x14ac:dyDescent="0.35"/>
    <row r="85" spans="1:1" ht="15.75" customHeight="1" x14ac:dyDescent="0.35"/>
    <row r="86" spans="1:1" ht="15.75" customHeight="1" x14ac:dyDescent="0.35"/>
    <row r="87" spans="1:1" ht="15.75" customHeight="1" x14ac:dyDescent="0.35">
      <c r="A87" s="37"/>
    </row>
    <row r="88" spans="1:1" ht="15.75" customHeight="1" x14ac:dyDescent="0.35"/>
    <row r="89" spans="1:1" ht="15.75" customHeight="1" x14ac:dyDescent="0.35"/>
    <row r="90" spans="1:1" ht="15.75" customHeight="1" x14ac:dyDescent="0.35"/>
    <row r="91" spans="1:1" ht="15.75" customHeight="1" x14ac:dyDescent="0.35"/>
    <row r="92" spans="1:1" ht="15.75" customHeight="1" x14ac:dyDescent="0.35"/>
    <row r="93" spans="1:1" ht="15.75" customHeight="1" x14ac:dyDescent="0.35"/>
    <row r="94" spans="1:1" ht="15.75" customHeight="1" x14ac:dyDescent="0.35"/>
    <row r="95" spans="1:1" ht="15.75" customHeight="1" x14ac:dyDescent="0.35"/>
    <row r="96" spans="1:1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 x14ac:dyDescent="0.35"/>
  <cols>
    <col min="1" max="1" width="8.81640625" customWidth="1"/>
    <col min="2" max="2" width="10" customWidth="1"/>
    <col min="3" max="3" width="24.81640625" customWidth="1"/>
    <col min="4" max="4" width="21.453125" customWidth="1"/>
    <col min="5" max="5" width="43.453125" customWidth="1"/>
    <col min="6" max="6" width="19" customWidth="1"/>
    <col min="7" max="7" width="20.453125" customWidth="1"/>
    <col min="8" max="8" width="19.54296875" customWidth="1"/>
    <col min="9" max="9" width="17.26953125" customWidth="1"/>
    <col min="10" max="13" width="17.7265625" customWidth="1"/>
    <col min="14" max="14" width="22.26953125" customWidth="1"/>
    <col min="15" max="15" width="11.7265625" customWidth="1"/>
    <col min="16" max="16" width="38.453125" customWidth="1"/>
    <col min="17" max="18" width="29.7265625" customWidth="1"/>
    <col min="19" max="19" width="32" customWidth="1"/>
    <col min="20" max="20" width="27" customWidth="1"/>
    <col min="21" max="21" width="33" customWidth="1"/>
    <col min="22" max="22" width="39.08984375" customWidth="1"/>
    <col min="23" max="23" width="28.453125" customWidth="1"/>
    <col min="24" max="26" width="14.453125" customWidth="1"/>
  </cols>
  <sheetData>
    <row r="1" spans="1:26" ht="15" customHeight="1" x14ac:dyDescent="0.35">
      <c r="A1" s="39" t="s">
        <v>832</v>
      </c>
      <c r="B1" s="18"/>
      <c r="C1" s="42">
        <f>COUNTA(A3:A1048576)</f>
        <v>1</v>
      </c>
      <c r="D1" s="43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5.5" customHeight="1" x14ac:dyDescent="0.35">
      <c r="A2" s="19" t="s">
        <v>76</v>
      </c>
      <c r="B2" s="19" t="s">
        <v>77</v>
      </c>
      <c r="C2" s="19" t="s">
        <v>78</v>
      </c>
      <c r="D2" s="19" t="s">
        <v>79</v>
      </c>
      <c r="E2" s="19" t="s">
        <v>80</v>
      </c>
      <c r="F2" s="19" t="s">
        <v>8</v>
      </c>
      <c r="G2" s="19" t="s">
        <v>82</v>
      </c>
      <c r="H2" s="19" t="s">
        <v>83</v>
      </c>
      <c r="I2" s="19" t="s">
        <v>84</v>
      </c>
      <c r="J2" s="19" t="s">
        <v>85</v>
      </c>
      <c r="K2" s="19" t="s">
        <v>853</v>
      </c>
      <c r="L2" s="19" t="s">
        <v>854</v>
      </c>
      <c r="M2" s="19" t="s">
        <v>855</v>
      </c>
      <c r="N2" s="21" t="s">
        <v>856</v>
      </c>
      <c r="O2" s="19" t="s">
        <v>39</v>
      </c>
      <c r="P2" s="19" t="s">
        <v>29</v>
      </c>
      <c r="Q2" s="19" t="s">
        <v>47</v>
      </c>
      <c r="R2" s="19" t="s">
        <v>86</v>
      </c>
      <c r="S2" s="19" t="s">
        <v>64</v>
      </c>
      <c r="T2" s="19" t="s">
        <v>87</v>
      </c>
      <c r="U2" s="19" t="s">
        <v>88</v>
      </c>
      <c r="V2" s="19" t="s">
        <v>89</v>
      </c>
      <c r="W2" s="19" t="s">
        <v>90</v>
      </c>
      <c r="X2" s="23"/>
      <c r="Y2" s="23"/>
      <c r="Z2" s="23"/>
    </row>
    <row r="3" spans="1:26" ht="14.25" customHeight="1" x14ac:dyDescent="0.35">
      <c r="A3" s="26" t="s">
        <v>857</v>
      </c>
      <c r="B3" s="26" t="s">
        <v>93</v>
      </c>
      <c r="C3" s="44" t="s">
        <v>858</v>
      </c>
      <c r="D3" s="44" t="s">
        <v>859</v>
      </c>
      <c r="E3" s="26" t="s">
        <v>860</v>
      </c>
      <c r="F3" s="26" t="s">
        <v>5</v>
      </c>
      <c r="G3" s="26" t="s">
        <v>98</v>
      </c>
      <c r="H3" s="26">
        <v>30</v>
      </c>
      <c r="I3" s="26">
        <v>12</v>
      </c>
      <c r="J3" s="26">
        <v>1900</v>
      </c>
      <c r="K3" s="26">
        <v>29</v>
      </c>
      <c r="L3" s="26">
        <v>12</v>
      </c>
      <c r="M3" s="26">
        <v>2000</v>
      </c>
      <c r="N3" s="25">
        <f>IF(OR(AND(I3=L3,H3=K3),AND(K3&gt;H3,L3=I3),L3&gt;I3),M3-J3,M3-J3-1)</f>
        <v>99</v>
      </c>
      <c r="O3" s="26" t="s">
        <v>40</v>
      </c>
      <c r="P3" s="26" t="s">
        <v>35</v>
      </c>
      <c r="Q3" s="26" t="s">
        <v>54</v>
      </c>
      <c r="R3" s="26" t="s">
        <v>54</v>
      </c>
      <c r="S3" s="26" t="s">
        <v>71</v>
      </c>
      <c r="T3" s="26" t="s">
        <v>99</v>
      </c>
      <c r="U3" s="26" t="s">
        <v>861</v>
      </c>
      <c r="V3" s="26" t="s">
        <v>861</v>
      </c>
      <c r="W3" s="26" t="s">
        <v>101</v>
      </c>
      <c r="X3" s="18"/>
      <c r="Y3" s="18"/>
      <c r="Z3" s="18"/>
    </row>
    <row r="4" spans="1:26" ht="14.25" customHeight="1" x14ac:dyDescent="0.35">
      <c r="A4" s="26"/>
      <c r="B4" s="26"/>
      <c r="C4" s="44"/>
      <c r="D4" s="44"/>
      <c r="E4" s="26"/>
      <c r="F4" s="26"/>
      <c r="G4" s="26"/>
      <c r="H4" s="26"/>
      <c r="I4" s="26"/>
      <c r="J4" s="26"/>
      <c r="K4" s="26"/>
      <c r="L4" s="26"/>
      <c r="M4" s="26"/>
      <c r="N4" s="25"/>
      <c r="O4" s="26"/>
      <c r="P4" s="26"/>
      <c r="Q4" s="26"/>
      <c r="R4" s="26"/>
      <c r="S4" s="26"/>
      <c r="T4" s="26"/>
      <c r="U4" s="26"/>
      <c r="V4" s="26"/>
      <c r="W4" s="26"/>
      <c r="X4" s="18"/>
      <c r="Y4" s="18"/>
      <c r="Z4" s="18"/>
    </row>
    <row r="5" spans="1:26" ht="14.25" customHeight="1" x14ac:dyDescent="0.35">
      <c r="A5" s="26"/>
      <c r="B5" s="26"/>
      <c r="C5" s="44"/>
      <c r="D5" s="44"/>
      <c r="E5" s="26"/>
      <c r="F5" s="26"/>
      <c r="G5" s="26"/>
      <c r="H5" s="26"/>
      <c r="I5" s="26"/>
      <c r="J5" s="26"/>
      <c r="K5" s="26"/>
      <c r="L5" s="26"/>
      <c r="M5" s="26"/>
      <c r="N5" s="25"/>
      <c r="O5" s="26"/>
      <c r="P5" s="26"/>
      <c r="Q5" s="26"/>
      <c r="R5" s="26"/>
      <c r="S5" s="26"/>
      <c r="T5" s="26"/>
      <c r="U5" s="26"/>
      <c r="V5" s="26"/>
      <c r="W5" s="26"/>
      <c r="X5" s="18"/>
      <c r="Y5" s="18"/>
      <c r="Z5" s="18"/>
    </row>
    <row r="6" spans="1:26" ht="14.25" customHeight="1" x14ac:dyDescent="0.35">
      <c r="A6" s="26"/>
      <c r="B6" s="26"/>
      <c r="C6" s="44"/>
      <c r="D6" s="44"/>
      <c r="E6" s="26"/>
      <c r="F6" s="26"/>
      <c r="G6" s="26"/>
      <c r="H6" s="26"/>
      <c r="I6" s="26"/>
      <c r="J6" s="26"/>
      <c r="K6" s="26"/>
      <c r="L6" s="26"/>
      <c r="M6" s="26"/>
      <c r="N6" s="25"/>
      <c r="O6" s="26"/>
      <c r="P6" s="26"/>
      <c r="Q6" s="26"/>
      <c r="R6" s="26"/>
      <c r="S6" s="26"/>
      <c r="T6" s="26"/>
      <c r="U6" s="26"/>
      <c r="V6" s="26"/>
      <c r="W6" s="26"/>
      <c r="X6" s="18"/>
      <c r="Y6" s="18"/>
      <c r="Z6" s="18"/>
    </row>
    <row r="7" spans="1:26" ht="14.25" customHeight="1" x14ac:dyDescent="0.35">
      <c r="A7" s="26"/>
      <c r="B7" s="26"/>
      <c r="C7" s="44"/>
      <c r="D7" s="44"/>
      <c r="E7" s="26"/>
      <c r="F7" s="26"/>
      <c r="G7" s="26"/>
      <c r="H7" s="26"/>
      <c r="I7" s="26"/>
      <c r="J7" s="26"/>
      <c r="K7" s="26"/>
      <c r="L7" s="26"/>
      <c r="M7" s="26"/>
      <c r="N7" s="25"/>
      <c r="O7" s="26"/>
      <c r="P7" s="26"/>
      <c r="Q7" s="26"/>
      <c r="R7" s="26"/>
      <c r="S7" s="26"/>
      <c r="T7" s="26"/>
      <c r="U7" s="26"/>
      <c r="V7" s="26"/>
      <c r="W7" s="26"/>
      <c r="X7" s="18"/>
      <c r="Y7" s="18"/>
      <c r="Z7" s="18"/>
    </row>
    <row r="8" spans="1:26" ht="14.25" customHeight="1" x14ac:dyDescent="0.35">
      <c r="A8" s="26"/>
      <c r="B8" s="26"/>
      <c r="C8" s="44"/>
      <c r="D8" s="44"/>
      <c r="E8" s="26"/>
      <c r="F8" s="26"/>
      <c r="G8" s="26"/>
      <c r="H8" s="26"/>
      <c r="I8" s="26"/>
      <c r="J8" s="26"/>
      <c r="K8" s="26"/>
      <c r="L8" s="26"/>
      <c r="M8" s="26"/>
      <c r="N8" s="25"/>
      <c r="O8" s="26"/>
      <c r="P8" s="26"/>
      <c r="Q8" s="26"/>
      <c r="R8" s="26"/>
      <c r="S8" s="26"/>
      <c r="T8" s="26"/>
      <c r="U8" s="26"/>
      <c r="V8" s="26"/>
      <c r="W8" s="26"/>
      <c r="X8" s="18"/>
      <c r="Y8" s="18"/>
      <c r="Z8" s="18"/>
    </row>
    <row r="9" spans="1:26" ht="14.25" customHeight="1" x14ac:dyDescent="0.35">
      <c r="A9" s="26"/>
      <c r="B9" s="26"/>
      <c r="C9" s="44"/>
      <c r="D9" s="44"/>
      <c r="E9" s="26"/>
      <c r="F9" s="26"/>
      <c r="G9" s="26"/>
      <c r="H9" s="26"/>
      <c r="I9" s="26"/>
      <c r="J9" s="26"/>
      <c r="K9" s="26"/>
      <c r="L9" s="26"/>
      <c r="M9" s="26"/>
      <c r="N9" s="25"/>
      <c r="O9" s="26"/>
      <c r="P9" s="26"/>
      <c r="Q9" s="26"/>
      <c r="R9" s="26"/>
      <c r="S9" s="26"/>
      <c r="T9" s="26"/>
      <c r="U9" s="26"/>
      <c r="V9" s="26"/>
      <c r="W9" s="26"/>
      <c r="X9" s="18"/>
      <c r="Y9" s="18"/>
      <c r="Z9" s="18"/>
    </row>
    <row r="10" spans="1:26" ht="14.25" customHeight="1" x14ac:dyDescent="0.35">
      <c r="A10" s="26"/>
      <c r="B10" s="26"/>
      <c r="C10" s="44"/>
      <c r="D10" s="44"/>
      <c r="E10" s="26"/>
      <c r="F10" s="26"/>
      <c r="G10" s="26"/>
      <c r="H10" s="26"/>
      <c r="I10" s="26"/>
      <c r="J10" s="26"/>
      <c r="K10" s="26"/>
      <c r="L10" s="26"/>
      <c r="M10" s="26"/>
      <c r="N10" s="25"/>
      <c r="O10" s="26"/>
      <c r="P10" s="26"/>
      <c r="Q10" s="26"/>
      <c r="R10" s="26"/>
      <c r="S10" s="26"/>
      <c r="T10" s="26"/>
      <c r="U10" s="26"/>
      <c r="V10" s="26"/>
      <c r="W10" s="26"/>
      <c r="X10" s="18"/>
      <c r="Y10" s="18"/>
      <c r="Z10" s="18"/>
    </row>
    <row r="11" spans="1:26" ht="14.25" customHeight="1" x14ac:dyDescent="0.35">
      <c r="A11" s="26"/>
      <c r="B11" s="26"/>
      <c r="C11" s="44"/>
      <c r="D11" s="44"/>
      <c r="E11" s="26"/>
      <c r="F11" s="26"/>
      <c r="G11" s="26"/>
      <c r="H11" s="26"/>
      <c r="I11" s="26"/>
      <c r="J11" s="26"/>
      <c r="K11" s="26"/>
      <c r="L11" s="26"/>
      <c r="M11" s="26"/>
      <c r="N11" s="25"/>
      <c r="O11" s="26"/>
      <c r="P11" s="26"/>
      <c r="Q11" s="26"/>
      <c r="R11" s="26"/>
      <c r="S11" s="26"/>
      <c r="T11" s="26"/>
      <c r="U11" s="26"/>
      <c r="V11" s="26"/>
      <c r="W11" s="26"/>
      <c r="X11" s="18"/>
      <c r="Y11" s="18"/>
      <c r="Z11" s="18"/>
    </row>
    <row r="12" spans="1:26" ht="14.25" customHeight="1" x14ac:dyDescent="0.35">
      <c r="A12" s="26"/>
      <c r="B12" s="26"/>
      <c r="C12" s="44"/>
      <c r="D12" s="44"/>
      <c r="E12" s="26"/>
      <c r="F12" s="26"/>
      <c r="G12" s="26"/>
      <c r="H12" s="26"/>
      <c r="I12" s="26"/>
      <c r="J12" s="26"/>
      <c r="K12" s="26"/>
      <c r="L12" s="26"/>
      <c r="M12" s="26"/>
      <c r="N12" s="25"/>
      <c r="O12" s="26"/>
      <c r="P12" s="26"/>
      <c r="Q12" s="26"/>
      <c r="R12" s="26"/>
      <c r="S12" s="26"/>
      <c r="T12" s="26"/>
      <c r="U12" s="26"/>
      <c r="V12" s="26"/>
      <c r="W12" s="26"/>
      <c r="X12" s="18"/>
      <c r="Y12" s="18"/>
      <c r="Z12" s="18"/>
    </row>
    <row r="13" spans="1:26" ht="14.25" customHeight="1" x14ac:dyDescent="0.35">
      <c r="A13" s="26"/>
      <c r="B13" s="26"/>
      <c r="C13" s="44"/>
      <c r="D13" s="44"/>
      <c r="E13" s="26"/>
      <c r="F13" s="26"/>
      <c r="G13" s="26"/>
      <c r="H13" s="26"/>
      <c r="I13" s="26"/>
      <c r="J13" s="26"/>
      <c r="K13" s="26"/>
      <c r="L13" s="26"/>
      <c r="M13" s="26"/>
      <c r="N13" s="25"/>
      <c r="O13" s="26"/>
      <c r="P13" s="26"/>
      <c r="Q13" s="26"/>
      <c r="R13" s="26"/>
      <c r="S13" s="26"/>
      <c r="T13" s="26"/>
      <c r="U13" s="26"/>
      <c r="V13" s="26"/>
      <c r="W13" s="26"/>
      <c r="X13" s="18"/>
      <c r="Y13" s="18"/>
      <c r="Z13" s="18"/>
    </row>
    <row r="14" spans="1:26" ht="14.25" customHeight="1" x14ac:dyDescent="0.35">
      <c r="A14" s="26"/>
      <c r="B14" s="26"/>
      <c r="C14" s="44"/>
      <c r="D14" s="44"/>
      <c r="E14" s="26"/>
      <c r="F14" s="26"/>
      <c r="G14" s="26"/>
      <c r="H14" s="26"/>
      <c r="I14" s="26"/>
      <c r="J14" s="26"/>
      <c r="K14" s="26"/>
      <c r="L14" s="26"/>
      <c r="M14" s="26"/>
      <c r="N14" s="25"/>
      <c r="O14" s="26"/>
      <c r="P14" s="26"/>
      <c r="Q14" s="26"/>
      <c r="R14" s="26"/>
      <c r="S14" s="26"/>
      <c r="T14" s="26"/>
      <c r="U14" s="26"/>
      <c r="V14" s="26"/>
      <c r="W14" s="26"/>
      <c r="X14" s="18"/>
      <c r="Y14" s="18"/>
      <c r="Z14" s="18"/>
    </row>
    <row r="15" spans="1:26" ht="14.25" customHeight="1" x14ac:dyDescent="0.35">
      <c r="A15" s="26"/>
      <c r="B15" s="26"/>
      <c r="C15" s="44"/>
      <c r="D15" s="44"/>
      <c r="E15" s="26"/>
      <c r="F15" s="26"/>
      <c r="G15" s="26"/>
      <c r="H15" s="26"/>
      <c r="I15" s="26"/>
      <c r="J15" s="26"/>
      <c r="K15" s="26"/>
      <c r="L15" s="26"/>
      <c r="M15" s="26"/>
      <c r="N15" s="25"/>
      <c r="O15" s="26"/>
      <c r="P15" s="26"/>
      <c r="Q15" s="26"/>
      <c r="R15" s="26"/>
      <c r="S15" s="26"/>
      <c r="T15" s="26"/>
      <c r="U15" s="26"/>
      <c r="V15" s="26"/>
      <c r="W15" s="26"/>
      <c r="X15" s="18"/>
      <c r="Y15" s="18"/>
      <c r="Z15" s="18"/>
    </row>
    <row r="16" spans="1:26" ht="14.25" customHeight="1" x14ac:dyDescent="0.35">
      <c r="A16" s="26"/>
      <c r="B16" s="26"/>
      <c r="C16" s="44"/>
      <c r="D16" s="44"/>
      <c r="E16" s="26"/>
      <c r="F16" s="26"/>
      <c r="G16" s="26"/>
      <c r="H16" s="26"/>
      <c r="I16" s="26"/>
      <c r="J16" s="26"/>
      <c r="K16" s="26"/>
      <c r="L16" s="26"/>
      <c r="M16" s="26"/>
      <c r="N16" s="25"/>
      <c r="O16" s="26"/>
      <c r="P16" s="26"/>
      <c r="Q16" s="26"/>
      <c r="R16" s="26"/>
      <c r="S16" s="26"/>
      <c r="T16" s="26"/>
      <c r="U16" s="26"/>
      <c r="V16" s="26"/>
      <c r="W16" s="26"/>
      <c r="X16" s="18"/>
      <c r="Y16" s="18"/>
      <c r="Z16" s="18"/>
    </row>
    <row r="17" spans="1:26" ht="14.25" customHeight="1" x14ac:dyDescent="0.35">
      <c r="A17" s="26"/>
      <c r="B17" s="26"/>
      <c r="C17" s="44"/>
      <c r="D17" s="44"/>
      <c r="E17" s="26"/>
      <c r="F17" s="26"/>
      <c r="G17" s="26"/>
      <c r="H17" s="26"/>
      <c r="I17" s="26"/>
      <c r="J17" s="26"/>
      <c r="K17" s="26"/>
      <c r="L17" s="26"/>
      <c r="M17" s="26"/>
      <c r="N17" s="25"/>
      <c r="O17" s="26"/>
      <c r="P17" s="26"/>
      <c r="Q17" s="26"/>
      <c r="R17" s="26"/>
      <c r="S17" s="26"/>
      <c r="T17" s="26"/>
      <c r="U17" s="26"/>
      <c r="V17" s="26"/>
      <c r="W17" s="26"/>
      <c r="X17" s="18"/>
      <c r="Y17" s="18"/>
      <c r="Z17" s="18"/>
    </row>
    <row r="18" spans="1:26" ht="14.25" customHeight="1" x14ac:dyDescent="0.35">
      <c r="A18" s="26"/>
      <c r="B18" s="26"/>
      <c r="C18" s="44"/>
      <c r="D18" s="44"/>
      <c r="E18" s="26"/>
      <c r="F18" s="26"/>
      <c r="G18" s="26"/>
      <c r="H18" s="26"/>
      <c r="I18" s="26"/>
      <c r="J18" s="26"/>
      <c r="K18" s="26"/>
      <c r="L18" s="26"/>
      <c r="M18" s="26"/>
      <c r="N18" s="25"/>
      <c r="O18" s="26"/>
      <c r="P18" s="26"/>
      <c r="Q18" s="26"/>
      <c r="R18" s="26"/>
      <c r="S18" s="26"/>
      <c r="T18" s="26"/>
      <c r="U18" s="26"/>
      <c r="V18" s="26"/>
      <c r="W18" s="26"/>
      <c r="X18" s="18"/>
      <c r="Y18" s="18"/>
      <c r="Z18" s="18"/>
    </row>
    <row r="19" spans="1:26" ht="14.25" customHeight="1" x14ac:dyDescent="0.35">
      <c r="A19" s="26"/>
      <c r="B19" s="26"/>
      <c r="C19" s="44"/>
      <c r="D19" s="44"/>
      <c r="E19" s="26"/>
      <c r="F19" s="26"/>
      <c r="G19" s="26"/>
      <c r="H19" s="26"/>
      <c r="I19" s="26"/>
      <c r="J19" s="26"/>
      <c r="K19" s="26"/>
      <c r="L19" s="26"/>
      <c r="M19" s="26"/>
      <c r="N19" s="25"/>
      <c r="O19" s="26"/>
      <c r="P19" s="26"/>
      <c r="Q19" s="26"/>
      <c r="R19" s="26"/>
      <c r="S19" s="26"/>
      <c r="T19" s="26"/>
      <c r="U19" s="26"/>
      <c r="V19" s="26"/>
      <c r="W19" s="26"/>
      <c r="X19" s="18"/>
      <c r="Y19" s="18"/>
      <c r="Z19" s="18"/>
    </row>
    <row r="20" spans="1:26" ht="14.25" customHeight="1" x14ac:dyDescent="0.35">
      <c r="A20" s="26"/>
      <c r="B20" s="26"/>
      <c r="C20" s="44"/>
      <c r="D20" s="44"/>
      <c r="E20" s="26"/>
      <c r="F20" s="26"/>
      <c r="G20" s="26"/>
      <c r="H20" s="26"/>
      <c r="I20" s="26"/>
      <c r="J20" s="26"/>
      <c r="K20" s="26"/>
      <c r="L20" s="26"/>
      <c r="M20" s="26"/>
      <c r="N20" s="25"/>
      <c r="O20" s="26"/>
      <c r="P20" s="26"/>
      <c r="Q20" s="26"/>
      <c r="R20" s="26"/>
      <c r="S20" s="26"/>
      <c r="T20" s="26"/>
      <c r="U20" s="26"/>
      <c r="V20" s="26"/>
      <c r="W20" s="26"/>
      <c r="X20" s="18"/>
      <c r="Y20" s="18"/>
      <c r="Z20" s="18"/>
    </row>
    <row r="21" spans="1:26" ht="14.25" customHeight="1" x14ac:dyDescent="0.35">
      <c r="A21" s="26"/>
      <c r="B21" s="26"/>
      <c r="C21" s="44"/>
      <c r="D21" s="44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18"/>
      <c r="Y21" s="18"/>
      <c r="Z21" s="18"/>
    </row>
    <row r="22" spans="1:26" ht="14.25" customHeight="1" x14ac:dyDescent="0.35">
      <c r="A22" s="26"/>
      <c r="B22" s="26"/>
      <c r="C22" s="44"/>
      <c r="D22" s="44"/>
      <c r="E22" s="26"/>
      <c r="F22" s="26"/>
      <c r="G22" s="26"/>
      <c r="H22" s="26"/>
      <c r="I22" s="26"/>
      <c r="J22" s="26"/>
      <c r="K22" s="26"/>
      <c r="L22" s="26"/>
      <c r="M22" s="26"/>
      <c r="N22" s="25"/>
      <c r="O22" s="26"/>
      <c r="P22" s="26"/>
      <c r="Q22" s="26"/>
      <c r="R22" s="26"/>
      <c r="S22" s="26"/>
      <c r="T22" s="26"/>
      <c r="U22" s="26"/>
      <c r="V22" s="26"/>
      <c r="W22" s="26"/>
      <c r="X22" s="18"/>
      <c r="Y22" s="18"/>
      <c r="Z22" s="18"/>
    </row>
    <row r="23" spans="1:26" ht="14.25" customHeight="1" x14ac:dyDescent="0.35">
      <c r="A23" s="26"/>
      <c r="B23" s="26"/>
      <c r="C23" s="44"/>
      <c r="D23" s="44"/>
      <c r="E23" s="26"/>
      <c r="F23" s="26"/>
      <c r="G23" s="26"/>
      <c r="H23" s="26"/>
      <c r="I23" s="26"/>
      <c r="J23" s="26"/>
      <c r="K23" s="26"/>
      <c r="L23" s="26"/>
      <c r="M23" s="26"/>
      <c r="N23" s="25"/>
      <c r="O23" s="26"/>
      <c r="P23" s="26"/>
      <c r="Q23" s="26"/>
      <c r="R23" s="26"/>
      <c r="S23" s="26"/>
      <c r="T23" s="26"/>
      <c r="U23" s="26"/>
      <c r="V23" s="26"/>
      <c r="W23" s="26"/>
      <c r="X23" s="18"/>
      <c r="Y23" s="18"/>
      <c r="Z23" s="18"/>
    </row>
    <row r="24" spans="1:26" ht="14.25" customHeight="1" x14ac:dyDescent="0.35">
      <c r="A24" s="26"/>
      <c r="B24" s="26"/>
      <c r="C24" s="44"/>
      <c r="D24" s="44"/>
      <c r="E24" s="26"/>
      <c r="F24" s="26"/>
      <c r="G24" s="26"/>
      <c r="H24" s="26"/>
      <c r="I24" s="26"/>
      <c r="J24" s="26"/>
      <c r="K24" s="26"/>
      <c r="L24" s="26"/>
      <c r="M24" s="26"/>
      <c r="N24" s="25"/>
      <c r="O24" s="26"/>
      <c r="P24" s="26"/>
      <c r="Q24" s="26"/>
      <c r="R24" s="26"/>
      <c r="S24" s="26"/>
      <c r="T24" s="26"/>
      <c r="U24" s="26"/>
      <c r="V24" s="26"/>
      <c r="W24" s="26"/>
      <c r="X24" s="18"/>
      <c r="Y24" s="18"/>
      <c r="Z24" s="18"/>
    </row>
    <row r="25" spans="1:26" ht="14.25" customHeight="1" x14ac:dyDescent="0.35">
      <c r="A25" s="26"/>
      <c r="B25" s="26"/>
      <c r="C25" s="44"/>
      <c r="D25" s="44"/>
      <c r="E25" s="26"/>
      <c r="F25" s="26"/>
      <c r="G25" s="26"/>
      <c r="H25" s="26"/>
      <c r="I25" s="26"/>
      <c r="J25" s="26"/>
      <c r="K25" s="26"/>
      <c r="L25" s="26"/>
      <c r="M25" s="26"/>
      <c r="N25" s="25"/>
      <c r="O25" s="26"/>
      <c r="P25" s="26"/>
      <c r="Q25" s="26"/>
      <c r="R25" s="26"/>
      <c r="S25" s="26"/>
      <c r="T25" s="26"/>
      <c r="U25" s="26"/>
      <c r="V25" s="26"/>
      <c r="W25" s="26"/>
      <c r="X25" s="18"/>
      <c r="Y25" s="18"/>
      <c r="Z25" s="18"/>
    </row>
    <row r="26" spans="1:26" ht="14.25" customHeight="1" x14ac:dyDescent="0.35">
      <c r="A26" s="26"/>
      <c r="B26" s="26"/>
      <c r="C26" s="44"/>
      <c r="D26" s="44"/>
      <c r="E26" s="26"/>
      <c r="F26" s="26"/>
      <c r="G26" s="26"/>
      <c r="H26" s="26"/>
      <c r="I26" s="26"/>
      <c r="J26" s="26"/>
      <c r="K26" s="26"/>
      <c r="L26" s="26"/>
      <c r="M26" s="26"/>
      <c r="N26" s="25"/>
      <c r="O26" s="26"/>
      <c r="P26" s="26"/>
      <c r="Q26" s="26"/>
      <c r="R26" s="26"/>
      <c r="S26" s="26"/>
      <c r="T26" s="26"/>
      <c r="U26" s="26"/>
      <c r="V26" s="26"/>
      <c r="W26" s="26"/>
      <c r="X26" s="18"/>
      <c r="Y26" s="18"/>
      <c r="Z26" s="18"/>
    </row>
    <row r="27" spans="1:26" ht="14.25" customHeight="1" x14ac:dyDescent="0.35">
      <c r="A27" s="26"/>
      <c r="B27" s="26"/>
      <c r="C27" s="44"/>
      <c r="D27" s="44"/>
      <c r="E27" s="26"/>
      <c r="F27" s="26"/>
      <c r="G27" s="26"/>
      <c r="H27" s="26"/>
      <c r="I27" s="26"/>
      <c r="J27" s="26"/>
      <c r="K27" s="26"/>
      <c r="L27" s="26"/>
      <c r="M27" s="26"/>
      <c r="N27" s="25"/>
      <c r="O27" s="26"/>
      <c r="P27" s="26"/>
      <c r="Q27" s="26"/>
      <c r="R27" s="26"/>
      <c r="S27" s="26"/>
      <c r="T27" s="26"/>
      <c r="U27" s="26"/>
      <c r="V27" s="26"/>
      <c r="W27" s="26"/>
      <c r="X27" s="18"/>
      <c r="Y27" s="18"/>
      <c r="Z27" s="18"/>
    </row>
    <row r="28" spans="1:26" ht="14.25" customHeight="1" x14ac:dyDescent="0.35">
      <c r="A28" s="26"/>
      <c r="B28" s="26"/>
      <c r="C28" s="44"/>
      <c r="D28" s="44"/>
      <c r="E28" s="26"/>
      <c r="F28" s="26"/>
      <c r="G28" s="26"/>
      <c r="H28" s="26"/>
      <c r="I28" s="26"/>
      <c r="J28" s="26"/>
      <c r="K28" s="26"/>
      <c r="L28" s="26"/>
      <c r="M28" s="26"/>
      <c r="N28" s="25"/>
      <c r="O28" s="26"/>
      <c r="P28" s="26"/>
      <c r="Q28" s="26"/>
      <c r="R28" s="26"/>
      <c r="S28" s="26"/>
      <c r="T28" s="26"/>
      <c r="U28" s="26"/>
      <c r="V28" s="26"/>
      <c r="W28" s="26"/>
      <c r="X28" s="18"/>
      <c r="Y28" s="18"/>
      <c r="Z28" s="18"/>
    </row>
    <row r="29" spans="1:26" ht="14.25" customHeight="1" x14ac:dyDescent="0.35">
      <c r="A29" s="26"/>
      <c r="B29" s="26"/>
      <c r="C29" s="44"/>
      <c r="D29" s="44"/>
      <c r="E29" s="26"/>
      <c r="F29" s="26"/>
      <c r="G29" s="26"/>
      <c r="H29" s="26"/>
      <c r="I29" s="26"/>
      <c r="J29" s="26"/>
      <c r="K29" s="26"/>
      <c r="L29" s="26"/>
      <c r="M29" s="26"/>
      <c r="N29" s="25"/>
      <c r="O29" s="26"/>
      <c r="P29" s="26"/>
      <c r="Q29" s="26"/>
      <c r="R29" s="26"/>
      <c r="S29" s="26"/>
      <c r="T29" s="26"/>
      <c r="U29" s="26"/>
      <c r="V29" s="26"/>
      <c r="W29" s="26"/>
      <c r="X29" s="18"/>
      <c r="Y29" s="18"/>
      <c r="Z29" s="18"/>
    </row>
    <row r="30" spans="1:26" ht="14.25" customHeight="1" x14ac:dyDescent="0.35">
      <c r="A30" s="26"/>
      <c r="B30" s="26"/>
      <c r="C30" s="44"/>
      <c r="D30" s="44"/>
      <c r="E30" s="26"/>
      <c r="F30" s="26"/>
      <c r="G30" s="26"/>
      <c r="H30" s="26"/>
      <c r="I30" s="26"/>
      <c r="J30" s="26"/>
      <c r="K30" s="26"/>
      <c r="L30" s="26"/>
      <c r="M30" s="26"/>
      <c r="N30" s="25"/>
      <c r="O30" s="26"/>
      <c r="P30" s="26"/>
      <c r="Q30" s="26"/>
      <c r="R30" s="26"/>
      <c r="S30" s="26"/>
      <c r="T30" s="26"/>
      <c r="U30" s="26"/>
      <c r="V30" s="26"/>
      <c r="W30" s="26"/>
      <c r="X30" s="18"/>
      <c r="Y30" s="18"/>
      <c r="Z30" s="18"/>
    </row>
    <row r="31" spans="1:26" ht="14.25" customHeight="1" x14ac:dyDescent="0.35">
      <c r="A31" s="26"/>
      <c r="B31" s="26"/>
      <c r="C31" s="44"/>
      <c r="D31" s="44"/>
      <c r="E31" s="26"/>
      <c r="F31" s="26"/>
      <c r="G31" s="26"/>
      <c r="H31" s="26"/>
      <c r="I31" s="26"/>
      <c r="J31" s="26"/>
      <c r="K31" s="26"/>
      <c r="L31" s="26"/>
      <c r="M31" s="26"/>
      <c r="N31" s="25"/>
      <c r="O31" s="26"/>
      <c r="P31" s="26"/>
      <c r="Q31" s="26"/>
      <c r="R31" s="26"/>
      <c r="S31" s="26"/>
      <c r="T31" s="26"/>
      <c r="U31" s="26"/>
      <c r="V31" s="26"/>
      <c r="W31" s="26"/>
      <c r="X31" s="18"/>
      <c r="Y31" s="18"/>
      <c r="Z31" s="18"/>
    </row>
    <row r="32" spans="1:26" ht="14.25" customHeight="1" x14ac:dyDescent="0.35">
      <c r="A32" s="26"/>
      <c r="B32" s="26"/>
      <c r="C32" s="44"/>
      <c r="D32" s="44"/>
      <c r="E32" s="26"/>
      <c r="F32" s="26"/>
      <c r="G32" s="26"/>
      <c r="H32" s="26"/>
      <c r="I32" s="26"/>
      <c r="J32" s="26"/>
      <c r="K32" s="26"/>
      <c r="L32" s="26"/>
      <c r="M32" s="26"/>
      <c r="N32" s="25"/>
      <c r="O32" s="26"/>
      <c r="P32" s="26"/>
      <c r="Q32" s="26"/>
      <c r="R32" s="26"/>
      <c r="S32" s="26"/>
      <c r="T32" s="26"/>
      <c r="U32" s="26"/>
      <c r="V32" s="26"/>
      <c r="W32" s="26"/>
      <c r="X32" s="18"/>
      <c r="Y32" s="18"/>
      <c r="Z32" s="18"/>
    </row>
    <row r="33" spans="1:26" ht="14.25" customHeight="1" x14ac:dyDescent="0.35">
      <c r="A33" s="26"/>
      <c r="B33" s="26"/>
      <c r="C33" s="44"/>
      <c r="D33" s="44"/>
      <c r="E33" s="26"/>
      <c r="F33" s="26"/>
      <c r="G33" s="26"/>
      <c r="H33" s="26"/>
      <c r="I33" s="26"/>
      <c r="J33" s="26"/>
      <c r="K33" s="26"/>
      <c r="L33" s="26"/>
      <c r="M33" s="26"/>
      <c r="N33" s="25"/>
      <c r="O33" s="26"/>
      <c r="P33" s="26"/>
      <c r="Q33" s="26"/>
      <c r="R33" s="26"/>
      <c r="S33" s="26"/>
      <c r="T33" s="26"/>
      <c r="U33" s="26"/>
      <c r="V33" s="26"/>
      <c r="W33" s="26"/>
      <c r="X33" s="18"/>
      <c r="Y33" s="18"/>
      <c r="Z33" s="18"/>
    </row>
    <row r="34" spans="1:26" ht="14.25" customHeight="1" x14ac:dyDescent="0.35">
      <c r="A34" s="26"/>
      <c r="B34" s="26"/>
      <c r="C34" s="44"/>
      <c r="D34" s="44"/>
      <c r="E34" s="26"/>
      <c r="F34" s="26"/>
      <c r="G34" s="26"/>
      <c r="H34" s="26"/>
      <c r="I34" s="26"/>
      <c r="J34" s="26"/>
      <c r="K34" s="26"/>
      <c r="L34" s="26"/>
      <c r="M34" s="26"/>
      <c r="N34" s="25"/>
      <c r="O34" s="26"/>
      <c r="P34" s="26"/>
      <c r="Q34" s="26"/>
      <c r="R34" s="26"/>
      <c r="S34" s="26"/>
      <c r="T34" s="26"/>
      <c r="U34" s="26"/>
      <c r="V34" s="26"/>
      <c r="W34" s="26"/>
      <c r="X34" s="18"/>
      <c r="Y34" s="18"/>
      <c r="Z34" s="18"/>
    </row>
    <row r="35" spans="1:26" ht="14.25" customHeight="1" x14ac:dyDescent="0.35">
      <c r="A35" s="26"/>
      <c r="B35" s="26"/>
      <c r="C35" s="44"/>
      <c r="D35" s="44"/>
      <c r="E35" s="26"/>
      <c r="F35" s="26"/>
      <c r="G35" s="26"/>
      <c r="H35" s="26"/>
      <c r="I35" s="26"/>
      <c r="J35" s="26"/>
      <c r="K35" s="26"/>
      <c r="L35" s="26"/>
      <c r="M35" s="26"/>
      <c r="N35" s="25"/>
      <c r="O35" s="26"/>
      <c r="P35" s="26"/>
      <c r="Q35" s="26"/>
      <c r="R35" s="26"/>
      <c r="S35" s="26"/>
      <c r="T35" s="26"/>
      <c r="U35" s="26"/>
      <c r="V35" s="26"/>
      <c r="W35" s="26"/>
      <c r="X35" s="18"/>
      <c r="Y35" s="18"/>
      <c r="Z35" s="18"/>
    </row>
    <row r="36" spans="1:26" ht="14.25" customHeight="1" x14ac:dyDescent="0.35">
      <c r="A36" s="26"/>
      <c r="B36" s="26"/>
      <c r="C36" s="44"/>
      <c r="D36" s="44"/>
      <c r="E36" s="26"/>
      <c r="F36" s="26"/>
      <c r="G36" s="26"/>
      <c r="H36" s="26"/>
      <c r="I36" s="26"/>
      <c r="J36" s="26"/>
      <c r="K36" s="26"/>
      <c r="L36" s="26"/>
      <c r="M36" s="26"/>
      <c r="N36" s="25"/>
      <c r="O36" s="26"/>
      <c r="P36" s="26"/>
      <c r="Q36" s="26"/>
      <c r="R36" s="26"/>
      <c r="S36" s="26"/>
      <c r="T36" s="26"/>
      <c r="U36" s="26"/>
      <c r="V36" s="26"/>
      <c r="W36" s="26"/>
      <c r="X36" s="18"/>
      <c r="Y36" s="18"/>
      <c r="Z36" s="18"/>
    </row>
    <row r="37" spans="1:26" ht="14.25" customHeight="1" x14ac:dyDescent="0.35">
      <c r="A37" s="26"/>
      <c r="B37" s="26"/>
      <c r="C37" s="44"/>
      <c r="D37" s="44"/>
      <c r="E37" s="26"/>
      <c r="F37" s="26"/>
      <c r="G37" s="26"/>
      <c r="H37" s="26"/>
      <c r="I37" s="26"/>
      <c r="J37" s="26"/>
      <c r="K37" s="26"/>
      <c r="L37" s="26"/>
      <c r="M37" s="26"/>
      <c r="N37" s="25"/>
      <c r="O37" s="26"/>
      <c r="P37" s="26"/>
      <c r="Q37" s="26"/>
      <c r="R37" s="26"/>
      <c r="S37" s="26"/>
      <c r="T37" s="26"/>
      <c r="U37" s="26"/>
      <c r="V37" s="26"/>
      <c r="W37" s="26"/>
      <c r="X37" s="18"/>
      <c r="Y37" s="18"/>
      <c r="Z37" s="18"/>
    </row>
    <row r="38" spans="1:26" ht="14.25" customHeight="1" x14ac:dyDescent="0.35">
      <c r="A38" s="26"/>
      <c r="B38" s="26"/>
      <c r="C38" s="44"/>
      <c r="D38" s="44"/>
      <c r="E38" s="26"/>
      <c r="F38" s="26"/>
      <c r="G38" s="26"/>
      <c r="H38" s="26"/>
      <c r="I38" s="26"/>
      <c r="J38" s="26"/>
      <c r="K38" s="26"/>
      <c r="L38" s="26"/>
      <c r="M38" s="26"/>
      <c r="N38" s="25"/>
      <c r="O38" s="26"/>
      <c r="P38" s="26"/>
      <c r="Q38" s="26"/>
      <c r="R38" s="26"/>
      <c r="S38" s="26"/>
      <c r="T38" s="26"/>
      <c r="U38" s="26"/>
      <c r="V38" s="26"/>
      <c r="W38" s="26"/>
      <c r="X38" s="18"/>
      <c r="Y38" s="18"/>
      <c r="Z38" s="18"/>
    </row>
    <row r="39" spans="1:26" ht="14.25" customHeight="1" x14ac:dyDescent="0.35">
      <c r="A39" s="26"/>
      <c r="B39" s="26"/>
      <c r="C39" s="44"/>
      <c r="D39" s="44"/>
      <c r="E39" s="26"/>
      <c r="F39" s="26"/>
      <c r="G39" s="26"/>
      <c r="H39" s="26"/>
      <c r="I39" s="26"/>
      <c r="J39" s="26"/>
      <c r="K39" s="26"/>
      <c r="L39" s="26"/>
      <c r="M39" s="26"/>
      <c r="N39" s="25"/>
      <c r="O39" s="26"/>
      <c r="P39" s="26"/>
      <c r="Q39" s="26"/>
      <c r="R39" s="26"/>
      <c r="S39" s="26"/>
      <c r="T39" s="26"/>
      <c r="U39" s="26"/>
      <c r="V39" s="26"/>
      <c r="W39" s="26"/>
      <c r="X39" s="18"/>
      <c r="Y39" s="18"/>
      <c r="Z39" s="18"/>
    </row>
    <row r="40" spans="1:26" ht="14.25" customHeight="1" x14ac:dyDescent="0.35">
      <c r="A40" s="26"/>
      <c r="B40" s="26"/>
      <c r="C40" s="44"/>
      <c r="D40" s="44"/>
      <c r="E40" s="26"/>
      <c r="F40" s="26"/>
      <c r="G40" s="26"/>
      <c r="H40" s="26"/>
      <c r="I40" s="26"/>
      <c r="J40" s="26"/>
      <c r="K40" s="26"/>
      <c r="L40" s="26"/>
      <c r="M40" s="26"/>
      <c r="N40" s="25"/>
      <c r="O40" s="26"/>
      <c r="P40" s="26"/>
      <c r="Q40" s="26"/>
      <c r="R40" s="26"/>
      <c r="S40" s="26"/>
      <c r="T40" s="26"/>
      <c r="U40" s="26"/>
      <c r="V40" s="26"/>
      <c r="W40" s="26"/>
      <c r="X40" s="18"/>
      <c r="Y40" s="18"/>
      <c r="Z40" s="18"/>
    </row>
    <row r="41" spans="1:26" ht="14.25" customHeight="1" x14ac:dyDescent="0.35">
      <c r="A41" s="26"/>
      <c r="B41" s="26"/>
      <c r="C41" s="44"/>
      <c r="D41" s="44"/>
      <c r="E41" s="26"/>
      <c r="F41" s="26"/>
      <c r="G41" s="26"/>
      <c r="H41" s="26"/>
      <c r="I41" s="26"/>
      <c r="J41" s="26"/>
      <c r="K41" s="26"/>
      <c r="L41" s="26"/>
      <c r="M41" s="26"/>
      <c r="N41" s="25"/>
      <c r="O41" s="26"/>
      <c r="P41" s="26"/>
      <c r="Q41" s="26"/>
      <c r="R41" s="26"/>
      <c r="S41" s="26"/>
      <c r="T41" s="26"/>
      <c r="U41" s="26"/>
      <c r="V41" s="26"/>
      <c r="W41" s="26"/>
      <c r="X41" s="18"/>
      <c r="Y41" s="18"/>
      <c r="Z41" s="18"/>
    </row>
    <row r="42" spans="1:26" ht="14.25" customHeight="1" x14ac:dyDescent="0.35">
      <c r="A42" s="26"/>
      <c r="B42" s="26"/>
      <c r="C42" s="44"/>
      <c r="D42" s="44"/>
      <c r="E42" s="26"/>
      <c r="F42" s="26"/>
      <c r="G42" s="26"/>
      <c r="H42" s="26"/>
      <c r="I42" s="26"/>
      <c r="J42" s="26"/>
      <c r="K42" s="26"/>
      <c r="L42" s="26"/>
      <c r="M42" s="26"/>
      <c r="N42" s="25"/>
      <c r="O42" s="26"/>
      <c r="P42" s="26"/>
      <c r="Q42" s="26"/>
      <c r="R42" s="26"/>
      <c r="S42" s="26"/>
      <c r="T42" s="26"/>
      <c r="U42" s="26"/>
      <c r="V42" s="26"/>
      <c r="W42" s="26"/>
      <c r="X42" s="18"/>
      <c r="Y42" s="18"/>
      <c r="Z42" s="18"/>
    </row>
    <row r="43" spans="1:26" ht="14.25" customHeight="1" x14ac:dyDescent="0.35">
      <c r="A43" s="26"/>
      <c r="B43" s="26"/>
      <c r="C43" s="44"/>
      <c r="D43" s="44"/>
      <c r="E43" s="26"/>
      <c r="F43" s="26"/>
      <c r="G43" s="26"/>
      <c r="H43" s="26"/>
      <c r="I43" s="26"/>
      <c r="J43" s="26"/>
      <c r="K43" s="26"/>
      <c r="L43" s="26"/>
      <c r="M43" s="26"/>
      <c r="N43" s="25"/>
      <c r="O43" s="26"/>
      <c r="P43" s="26"/>
      <c r="Q43" s="26"/>
      <c r="R43" s="26"/>
      <c r="S43" s="26"/>
      <c r="T43" s="26"/>
      <c r="U43" s="26"/>
      <c r="V43" s="26"/>
      <c r="W43" s="26"/>
      <c r="X43" s="18"/>
      <c r="Y43" s="18"/>
      <c r="Z43" s="18"/>
    </row>
    <row r="44" spans="1:26" ht="14.25" customHeight="1" x14ac:dyDescent="0.35">
      <c r="A44" s="26"/>
      <c r="B44" s="26"/>
      <c r="C44" s="44"/>
      <c r="D44" s="44"/>
      <c r="E44" s="26"/>
      <c r="F44" s="26"/>
      <c r="G44" s="26"/>
      <c r="H44" s="26"/>
      <c r="I44" s="26"/>
      <c r="J44" s="26"/>
      <c r="K44" s="26"/>
      <c r="L44" s="26"/>
      <c r="M44" s="26"/>
      <c r="N44" s="25"/>
      <c r="O44" s="26"/>
      <c r="P44" s="26"/>
      <c r="Q44" s="26"/>
      <c r="R44" s="26"/>
      <c r="S44" s="26"/>
      <c r="T44" s="26"/>
      <c r="U44" s="26"/>
      <c r="V44" s="26"/>
      <c r="W44" s="26"/>
      <c r="X44" s="18"/>
      <c r="Y44" s="18"/>
      <c r="Z44" s="18"/>
    </row>
    <row r="45" spans="1:26" ht="14.25" customHeight="1" x14ac:dyDescent="0.35">
      <c r="A45" s="26"/>
      <c r="B45" s="26"/>
      <c r="C45" s="44"/>
      <c r="D45" s="44"/>
      <c r="E45" s="26"/>
      <c r="F45" s="26"/>
      <c r="G45" s="26"/>
      <c r="H45" s="26"/>
      <c r="I45" s="26"/>
      <c r="J45" s="26"/>
      <c r="K45" s="26"/>
      <c r="L45" s="26"/>
      <c r="M45" s="26"/>
      <c r="N45" s="25"/>
      <c r="O45" s="26"/>
      <c r="P45" s="26"/>
      <c r="Q45" s="26"/>
      <c r="R45" s="26"/>
      <c r="S45" s="26"/>
      <c r="T45" s="26"/>
      <c r="U45" s="26"/>
      <c r="V45" s="26"/>
      <c r="W45" s="26"/>
      <c r="X45" s="18"/>
      <c r="Y45" s="18"/>
      <c r="Z45" s="18"/>
    </row>
    <row r="46" spans="1:26" ht="14.25" customHeight="1" x14ac:dyDescent="0.35">
      <c r="A46" s="26"/>
      <c r="B46" s="26"/>
      <c r="C46" s="44"/>
      <c r="D46" s="44"/>
      <c r="E46" s="26"/>
      <c r="F46" s="26"/>
      <c r="G46" s="26"/>
      <c r="H46" s="26"/>
      <c r="I46" s="26"/>
      <c r="J46" s="26"/>
      <c r="K46" s="26"/>
      <c r="L46" s="26"/>
      <c r="M46" s="26"/>
      <c r="N46" s="25"/>
      <c r="O46" s="26"/>
      <c r="P46" s="26"/>
      <c r="Q46" s="26"/>
      <c r="R46" s="26"/>
      <c r="S46" s="26"/>
      <c r="T46" s="26"/>
      <c r="U46" s="26"/>
      <c r="V46" s="26"/>
      <c r="W46" s="26"/>
      <c r="X46" s="18"/>
      <c r="Y46" s="18"/>
      <c r="Z46" s="18"/>
    </row>
    <row r="47" spans="1:26" ht="14.25" customHeight="1" x14ac:dyDescent="0.35">
      <c r="A47" s="26"/>
      <c r="B47" s="26"/>
      <c r="C47" s="44"/>
      <c r="D47" s="44"/>
      <c r="E47" s="26"/>
      <c r="F47" s="26"/>
      <c r="G47" s="26"/>
      <c r="H47" s="26"/>
      <c r="I47" s="26"/>
      <c r="J47" s="26"/>
      <c r="K47" s="26"/>
      <c r="L47" s="26"/>
      <c r="M47" s="26"/>
      <c r="N47" s="25"/>
      <c r="O47" s="26"/>
      <c r="P47" s="26"/>
      <c r="Q47" s="26"/>
      <c r="R47" s="26"/>
      <c r="S47" s="26"/>
      <c r="T47" s="26"/>
      <c r="U47" s="26"/>
      <c r="V47" s="26"/>
      <c r="W47" s="26"/>
      <c r="X47" s="18"/>
      <c r="Y47" s="18"/>
      <c r="Z47" s="18"/>
    </row>
    <row r="48" spans="1:26" ht="14.25" customHeight="1" x14ac:dyDescent="0.35">
      <c r="A48" s="26"/>
      <c r="B48" s="26"/>
      <c r="C48" s="44"/>
      <c r="D48" s="44"/>
      <c r="E48" s="26"/>
      <c r="F48" s="26"/>
      <c r="G48" s="26"/>
      <c r="H48" s="26"/>
      <c r="I48" s="26"/>
      <c r="J48" s="26"/>
      <c r="K48" s="26"/>
      <c r="L48" s="26"/>
      <c r="M48" s="26"/>
      <c r="N48" s="25"/>
      <c r="O48" s="26"/>
      <c r="P48" s="26"/>
      <c r="Q48" s="26"/>
      <c r="R48" s="26"/>
      <c r="S48" s="26"/>
      <c r="T48" s="26"/>
      <c r="U48" s="26"/>
      <c r="V48" s="26"/>
      <c r="W48" s="26"/>
      <c r="X48" s="18"/>
      <c r="Y48" s="18"/>
      <c r="Z48" s="18"/>
    </row>
    <row r="49" spans="1:26" ht="14.25" customHeight="1" x14ac:dyDescent="0.35">
      <c r="A49" s="26"/>
      <c r="B49" s="26"/>
      <c r="C49" s="44"/>
      <c r="D49" s="44"/>
      <c r="E49" s="26"/>
      <c r="F49" s="26"/>
      <c r="G49" s="26"/>
      <c r="H49" s="26"/>
      <c r="I49" s="26"/>
      <c r="J49" s="26"/>
      <c r="K49" s="26"/>
      <c r="L49" s="26"/>
      <c r="M49" s="26"/>
      <c r="N49" s="25"/>
      <c r="O49" s="26"/>
      <c r="P49" s="26"/>
      <c r="Q49" s="26"/>
      <c r="R49" s="26"/>
      <c r="S49" s="26"/>
      <c r="T49" s="26"/>
      <c r="U49" s="26"/>
      <c r="V49" s="26"/>
      <c r="W49" s="26"/>
      <c r="X49" s="18"/>
      <c r="Y49" s="18"/>
      <c r="Z49" s="18"/>
    </row>
    <row r="50" spans="1:26" ht="14.25" customHeight="1" x14ac:dyDescent="0.35">
      <c r="A50" s="26"/>
      <c r="B50" s="26"/>
      <c r="C50" s="44"/>
      <c r="D50" s="44"/>
      <c r="E50" s="26"/>
      <c r="F50" s="26"/>
      <c r="G50" s="26"/>
      <c r="H50" s="26"/>
      <c r="I50" s="26"/>
      <c r="J50" s="26"/>
      <c r="K50" s="26"/>
      <c r="L50" s="26"/>
      <c r="M50" s="26"/>
      <c r="N50" s="25"/>
      <c r="O50" s="26"/>
      <c r="P50" s="26"/>
      <c r="Q50" s="26"/>
      <c r="R50" s="26"/>
      <c r="S50" s="26"/>
      <c r="T50" s="26"/>
      <c r="U50" s="26"/>
      <c r="V50" s="26"/>
      <c r="W50" s="26"/>
      <c r="X50" s="18"/>
      <c r="Y50" s="18"/>
      <c r="Z50" s="18"/>
    </row>
    <row r="51" spans="1:26" ht="14.25" customHeight="1" x14ac:dyDescent="0.35">
      <c r="A51" s="26"/>
      <c r="B51" s="26"/>
      <c r="C51" s="44"/>
      <c r="D51" s="44"/>
      <c r="E51" s="26"/>
      <c r="F51" s="26"/>
      <c r="G51" s="26"/>
      <c r="H51" s="26"/>
      <c r="I51" s="26"/>
      <c r="J51" s="26"/>
      <c r="K51" s="26"/>
      <c r="L51" s="26"/>
      <c r="M51" s="26"/>
      <c r="N51" s="25"/>
      <c r="O51" s="26"/>
      <c r="P51" s="26"/>
      <c r="Q51" s="26"/>
      <c r="R51" s="26"/>
      <c r="S51" s="26"/>
      <c r="T51" s="26"/>
      <c r="U51" s="26"/>
      <c r="V51" s="26"/>
      <c r="W51" s="26"/>
      <c r="X51" s="18"/>
      <c r="Y51" s="18"/>
      <c r="Z51" s="18"/>
    </row>
    <row r="52" spans="1:26" ht="14.25" customHeight="1" x14ac:dyDescent="0.35">
      <c r="A52" s="26"/>
      <c r="B52" s="26"/>
      <c r="C52" s="44"/>
      <c r="D52" s="44"/>
      <c r="E52" s="26"/>
      <c r="F52" s="26"/>
      <c r="G52" s="26"/>
      <c r="H52" s="26"/>
      <c r="I52" s="26"/>
      <c r="J52" s="26"/>
      <c r="K52" s="26"/>
      <c r="L52" s="26"/>
      <c r="M52" s="26"/>
      <c r="N52" s="25"/>
      <c r="O52" s="26"/>
      <c r="P52" s="26"/>
      <c r="Q52" s="26"/>
      <c r="R52" s="26"/>
      <c r="S52" s="26"/>
      <c r="T52" s="26"/>
      <c r="U52" s="26"/>
      <c r="V52" s="26"/>
      <c r="W52" s="26"/>
      <c r="X52" s="18"/>
      <c r="Y52" s="18"/>
      <c r="Z52" s="18"/>
    </row>
    <row r="53" spans="1:26" ht="14.25" customHeight="1" x14ac:dyDescent="0.35">
      <c r="A53" s="26"/>
      <c r="B53" s="26"/>
      <c r="C53" s="44"/>
      <c r="D53" s="44"/>
      <c r="E53" s="26"/>
      <c r="F53" s="26"/>
      <c r="G53" s="26"/>
      <c r="H53" s="26"/>
      <c r="I53" s="26"/>
      <c r="J53" s="26"/>
      <c r="K53" s="26"/>
      <c r="L53" s="26"/>
      <c r="M53" s="26"/>
      <c r="N53" s="25"/>
      <c r="O53" s="26"/>
      <c r="P53" s="26"/>
      <c r="Q53" s="26"/>
      <c r="R53" s="26"/>
      <c r="S53" s="26"/>
      <c r="T53" s="26"/>
      <c r="U53" s="26"/>
      <c r="V53" s="26"/>
      <c r="W53" s="26"/>
      <c r="X53" s="18"/>
      <c r="Y53" s="18"/>
      <c r="Z53" s="18"/>
    </row>
    <row r="54" spans="1:26" ht="14.25" customHeight="1" x14ac:dyDescent="0.35">
      <c r="A54" s="26"/>
      <c r="B54" s="26"/>
      <c r="C54" s="44"/>
      <c r="D54" s="44"/>
      <c r="E54" s="26"/>
      <c r="F54" s="26"/>
      <c r="G54" s="26"/>
      <c r="H54" s="26"/>
      <c r="I54" s="26"/>
      <c r="J54" s="26"/>
      <c r="K54" s="26"/>
      <c r="L54" s="26"/>
      <c r="M54" s="26"/>
      <c r="N54" s="25"/>
      <c r="O54" s="26"/>
      <c r="P54" s="26"/>
      <c r="Q54" s="26"/>
      <c r="R54" s="26"/>
      <c r="S54" s="26"/>
      <c r="T54" s="26"/>
      <c r="U54" s="26"/>
      <c r="V54" s="26"/>
      <c r="W54" s="26"/>
      <c r="X54" s="18"/>
      <c r="Y54" s="18"/>
      <c r="Z54" s="18"/>
    </row>
    <row r="55" spans="1:26" ht="14.25" customHeight="1" x14ac:dyDescent="0.35">
      <c r="A55" s="26"/>
      <c r="B55" s="26"/>
      <c r="C55" s="44"/>
      <c r="D55" s="44"/>
      <c r="E55" s="26"/>
      <c r="F55" s="26"/>
      <c r="G55" s="26"/>
      <c r="H55" s="26"/>
      <c r="I55" s="26"/>
      <c r="J55" s="26"/>
      <c r="K55" s="26"/>
      <c r="L55" s="26"/>
      <c r="M55" s="26"/>
      <c r="N55" s="25"/>
      <c r="O55" s="26"/>
      <c r="P55" s="26"/>
      <c r="Q55" s="26"/>
      <c r="R55" s="26"/>
      <c r="S55" s="26"/>
      <c r="T55" s="26"/>
      <c r="U55" s="26"/>
      <c r="V55" s="26"/>
      <c r="W55" s="26"/>
      <c r="X55" s="18"/>
      <c r="Y55" s="18"/>
      <c r="Z55" s="18"/>
    </row>
    <row r="56" spans="1:26" ht="14.25" customHeight="1" x14ac:dyDescent="0.35">
      <c r="A56" s="26"/>
      <c r="B56" s="26"/>
      <c r="C56" s="44"/>
      <c r="D56" s="44"/>
      <c r="E56" s="26"/>
      <c r="F56" s="26"/>
      <c r="G56" s="26"/>
      <c r="H56" s="26"/>
      <c r="I56" s="26"/>
      <c r="J56" s="26"/>
      <c r="K56" s="26"/>
      <c r="L56" s="26"/>
      <c r="M56" s="26"/>
      <c r="N56" s="25"/>
      <c r="O56" s="26"/>
      <c r="P56" s="26"/>
      <c r="Q56" s="26"/>
      <c r="R56" s="26"/>
      <c r="S56" s="26"/>
      <c r="T56" s="26"/>
      <c r="U56" s="26"/>
      <c r="V56" s="26"/>
      <c r="W56" s="26"/>
      <c r="X56" s="18"/>
      <c r="Y56" s="18"/>
      <c r="Z56" s="18"/>
    </row>
    <row r="57" spans="1:26" ht="14.25" customHeight="1" x14ac:dyDescent="0.35">
      <c r="A57" s="26"/>
      <c r="B57" s="26"/>
      <c r="C57" s="44"/>
      <c r="D57" s="44"/>
      <c r="E57" s="26"/>
      <c r="F57" s="26"/>
      <c r="G57" s="26"/>
      <c r="H57" s="26"/>
      <c r="I57" s="26"/>
      <c r="J57" s="26"/>
      <c r="K57" s="26"/>
      <c r="L57" s="26"/>
      <c r="M57" s="26"/>
      <c r="N57" s="25"/>
      <c r="O57" s="26"/>
      <c r="P57" s="26"/>
      <c r="Q57" s="26"/>
      <c r="R57" s="26"/>
      <c r="S57" s="26"/>
      <c r="T57" s="26"/>
      <c r="U57" s="26"/>
      <c r="V57" s="26"/>
      <c r="W57" s="26"/>
      <c r="X57" s="18"/>
      <c r="Y57" s="18"/>
      <c r="Z57" s="18"/>
    </row>
    <row r="58" spans="1:26" ht="14.25" customHeight="1" x14ac:dyDescent="0.35">
      <c r="A58" s="26"/>
      <c r="B58" s="26"/>
      <c r="C58" s="44"/>
      <c r="D58" s="44"/>
      <c r="E58" s="26"/>
      <c r="F58" s="26"/>
      <c r="G58" s="26"/>
      <c r="H58" s="26"/>
      <c r="I58" s="26"/>
      <c r="J58" s="26"/>
      <c r="K58" s="26"/>
      <c r="L58" s="26"/>
      <c r="M58" s="26"/>
      <c r="N58" s="25"/>
      <c r="O58" s="26"/>
      <c r="P58" s="26"/>
      <c r="Q58" s="26"/>
      <c r="R58" s="26"/>
      <c r="S58" s="26"/>
      <c r="T58" s="26"/>
      <c r="U58" s="26"/>
      <c r="V58" s="26"/>
      <c r="W58" s="26"/>
      <c r="X58" s="18"/>
      <c r="Y58" s="18"/>
      <c r="Z58" s="18"/>
    </row>
    <row r="59" spans="1:26" ht="14.25" customHeight="1" x14ac:dyDescent="0.35">
      <c r="A59" s="26"/>
      <c r="B59" s="26"/>
      <c r="C59" s="44"/>
      <c r="D59" s="44"/>
      <c r="E59" s="26"/>
      <c r="F59" s="26"/>
      <c r="G59" s="26"/>
      <c r="H59" s="26"/>
      <c r="I59" s="26"/>
      <c r="J59" s="26"/>
      <c r="K59" s="26"/>
      <c r="L59" s="26"/>
      <c r="M59" s="26"/>
      <c r="N59" s="25"/>
      <c r="O59" s="26"/>
      <c r="P59" s="26"/>
      <c r="Q59" s="26"/>
      <c r="R59" s="26"/>
      <c r="S59" s="26"/>
      <c r="T59" s="26"/>
      <c r="U59" s="26"/>
      <c r="V59" s="26"/>
      <c r="W59" s="26"/>
      <c r="X59" s="18"/>
      <c r="Y59" s="18"/>
      <c r="Z59" s="18"/>
    </row>
    <row r="60" spans="1:26" ht="14.25" customHeight="1" x14ac:dyDescent="0.35">
      <c r="A60" s="26"/>
      <c r="B60" s="26"/>
      <c r="C60" s="44"/>
      <c r="D60" s="44"/>
      <c r="E60" s="26"/>
      <c r="F60" s="26"/>
      <c r="G60" s="26"/>
      <c r="H60" s="26"/>
      <c r="I60" s="26"/>
      <c r="J60" s="26"/>
      <c r="K60" s="26"/>
      <c r="L60" s="26"/>
      <c r="M60" s="26"/>
      <c r="N60" s="25"/>
      <c r="O60" s="26"/>
      <c r="P60" s="26"/>
      <c r="Q60" s="26"/>
      <c r="R60" s="26"/>
      <c r="S60" s="26"/>
      <c r="T60" s="26"/>
      <c r="U60" s="26"/>
      <c r="V60" s="26"/>
      <c r="W60" s="26"/>
      <c r="X60" s="18"/>
      <c r="Y60" s="18"/>
      <c r="Z60" s="18"/>
    </row>
    <row r="61" spans="1:26" ht="14.25" customHeight="1" x14ac:dyDescent="0.35">
      <c r="A61" s="26"/>
      <c r="B61" s="26"/>
      <c r="C61" s="44"/>
      <c r="D61" s="44"/>
      <c r="E61" s="26"/>
      <c r="F61" s="26"/>
      <c r="G61" s="26"/>
      <c r="H61" s="26"/>
      <c r="I61" s="26"/>
      <c r="J61" s="26"/>
      <c r="K61" s="26"/>
      <c r="L61" s="26"/>
      <c r="M61" s="26"/>
      <c r="N61" s="25"/>
      <c r="O61" s="26"/>
      <c r="P61" s="26"/>
      <c r="Q61" s="26"/>
      <c r="R61" s="26"/>
      <c r="S61" s="26"/>
      <c r="T61" s="26"/>
      <c r="U61" s="26"/>
      <c r="V61" s="26"/>
      <c r="W61" s="26"/>
      <c r="X61" s="18"/>
      <c r="Y61" s="18"/>
      <c r="Z61" s="18"/>
    </row>
    <row r="62" spans="1:26" ht="14.25" customHeight="1" x14ac:dyDescent="0.35">
      <c r="A62" s="26"/>
      <c r="B62" s="26"/>
      <c r="C62" s="44"/>
      <c r="D62" s="44"/>
      <c r="E62" s="26"/>
      <c r="F62" s="26"/>
      <c r="G62" s="26"/>
      <c r="H62" s="26"/>
      <c r="I62" s="26"/>
      <c r="J62" s="26"/>
      <c r="K62" s="26"/>
      <c r="L62" s="26"/>
      <c r="M62" s="26"/>
      <c r="N62" s="25"/>
      <c r="O62" s="26"/>
      <c r="P62" s="26"/>
      <c r="Q62" s="26"/>
      <c r="R62" s="26"/>
      <c r="S62" s="26"/>
      <c r="T62" s="26"/>
      <c r="U62" s="26"/>
      <c r="V62" s="26"/>
      <c r="W62" s="26"/>
      <c r="X62" s="18"/>
      <c r="Y62" s="18"/>
      <c r="Z62" s="18"/>
    </row>
    <row r="63" spans="1:26" ht="14.25" customHeight="1" x14ac:dyDescent="0.35">
      <c r="A63" s="26"/>
      <c r="B63" s="26"/>
      <c r="C63" s="44"/>
      <c r="D63" s="44"/>
      <c r="E63" s="26"/>
      <c r="F63" s="26"/>
      <c r="G63" s="26"/>
      <c r="H63" s="26"/>
      <c r="I63" s="26"/>
      <c r="J63" s="26"/>
      <c r="K63" s="26"/>
      <c r="L63" s="26"/>
      <c r="M63" s="26"/>
      <c r="N63" s="25"/>
      <c r="O63" s="26"/>
      <c r="P63" s="26"/>
      <c r="Q63" s="26"/>
      <c r="R63" s="26"/>
      <c r="S63" s="26"/>
      <c r="T63" s="26"/>
      <c r="U63" s="26"/>
      <c r="V63" s="26"/>
      <c r="W63" s="26"/>
      <c r="X63" s="18"/>
      <c r="Y63" s="18"/>
      <c r="Z63" s="18"/>
    </row>
    <row r="64" spans="1:26" ht="14.25" customHeight="1" x14ac:dyDescent="0.35">
      <c r="A64" s="26"/>
      <c r="B64" s="26"/>
      <c r="C64" s="44"/>
      <c r="D64" s="44"/>
      <c r="E64" s="26"/>
      <c r="F64" s="26"/>
      <c r="G64" s="26"/>
      <c r="H64" s="26"/>
      <c r="I64" s="26"/>
      <c r="J64" s="26"/>
      <c r="K64" s="26"/>
      <c r="L64" s="26"/>
      <c r="M64" s="26"/>
      <c r="N64" s="25"/>
      <c r="O64" s="26"/>
      <c r="P64" s="26"/>
      <c r="Q64" s="26"/>
      <c r="R64" s="26"/>
      <c r="S64" s="26"/>
      <c r="T64" s="26"/>
      <c r="U64" s="26"/>
      <c r="V64" s="26"/>
      <c r="W64" s="26"/>
      <c r="X64" s="18"/>
      <c r="Y64" s="18"/>
      <c r="Z64" s="18"/>
    </row>
    <row r="65" spans="1:26" ht="14.25" customHeight="1" x14ac:dyDescent="0.35">
      <c r="A65" s="26"/>
      <c r="B65" s="26"/>
      <c r="C65" s="44"/>
      <c r="D65" s="44"/>
      <c r="E65" s="26"/>
      <c r="F65" s="26"/>
      <c r="G65" s="26"/>
      <c r="H65" s="26"/>
      <c r="I65" s="26"/>
      <c r="J65" s="26"/>
      <c r="K65" s="26"/>
      <c r="L65" s="26"/>
      <c r="M65" s="26"/>
      <c r="N65" s="25"/>
      <c r="O65" s="26"/>
      <c r="P65" s="26"/>
      <c r="Q65" s="26"/>
      <c r="R65" s="26"/>
      <c r="S65" s="26"/>
      <c r="T65" s="26"/>
      <c r="U65" s="26"/>
      <c r="V65" s="26"/>
      <c r="W65" s="26"/>
      <c r="X65" s="18"/>
      <c r="Y65" s="18"/>
      <c r="Z65" s="18"/>
    </row>
    <row r="66" spans="1:26" ht="14.25" customHeight="1" x14ac:dyDescent="0.35">
      <c r="A66" s="26"/>
      <c r="B66" s="26"/>
      <c r="C66" s="44"/>
      <c r="D66" s="44"/>
      <c r="E66" s="26"/>
      <c r="F66" s="26"/>
      <c r="G66" s="26"/>
      <c r="H66" s="26"/>
      <c r="I66" s="26"/>
      <c r="J66" s="26"/>
      <c r="K66" s="26"/>
      <c r="L66" s="26"/>
      <c r="M66" s="26"/>
      <c r="N66" s="25"/>
      <c r="O66" s="26"/>
      <c r="P66" s="26"/>
      <c r="Q66" s="26"/>
      <c r="R66" s="26"/>
      <c r="S66" s="26"/>
      <c r="T66" s="26"/>
      <c r="U66" s="26"/>
      <c r="V66" s="26"/>
      <c r="W66" s="26"/>
      <c r="X66" s="18"/>
      <c r="Y66" s="18"/>
      <c r="Z66" s="18"/>
    </row>
    <row r="67" spans="1:26" ht="14.25" customHeight="1" x14ac:dyDescent="0.35">
      <c r="A67" s="26"/>
      <c r="B67" s="26"/>
      <c r="C67" s="44"/>
      <c r="D67" s="44"/>
      <c r="E67" s="26"/>
      <c r="F67" s="26"/>
      <c r="G67" s="26"/>
      <c r="H67" s="26"/>
      <c r="I67" s="26"/>
      <c r="J67" s="26"/>
      <c r="K67" s="26"/>
      <c r="L67" s="26"/>
      <c r="M67" s="26"/>
      <c r="N67" s="25"/>
      <c r="O67" s="26"/>
      <c r="P67" s="26"/>
      <c r="Q67" s="26"/>
      <c r="R67" s="26"/>
      <c r="S67" s="26"/>
      <c r="T67" s="26"/>
      <c r="U67" s="26"/>
      <c r="V67" s="26"/>
      <c r="W67" s="26"/>
      <c r="X67" s="18"/>
      <c r="Y67" s="18"/>
      <c r="Z67" s="18"/>
    </row>
    <row r="68" spans="1:26" ht="14.25" customHeight="1" x14ac:dyDescent="0.35">
      <c r="A68" s="26"/>
      <c r="B68" s="26"/>
      <c r="C68" s="44"/>
      <c r="D68" s="44"/>
      <c r="E68" s="26"/>
      <c r="F68" s="26"/>
      <c r="G68" s="26"/>
      <c r="H68" s="26"/>
      <c r="I68" s="26"/>
      <c r="J68" s="26"/>
      <c r="K68" s="26"/>
      <c r="L68" s="26"/>
      <c r="M68" s="26"/>
      <c r="N68" s="25"/>
      <c r="O68" s="26"/>
      <c r="P68" s="26"/>
      <c r="Q68" s="26"/>
      <c r="R68" s="26"/>
      <c r="S68" s="26"/>
      <c r="T68" s="26"/>
      <c r="U68" s="26"/>
      <c r="V68" s="26"/>
      <c r="W68" s="26"/>
      <c r="X68" s="18"/>
      <c r="Y68" s="18"/>
      <c r="Z68" s="18"/>
    </row>
    <row r="69" spans="1:26" ht="14.25" customHeight="1" x14ac:dyDescent="0.35">
      <c r="A69" s="26"/>
      <c r="B69" s="26"/>
      <c r="C69" s="44"/>
      <c r="D69" s="44"/>
      <c r="E69" s="26"/>
      <c r="F69" s="26"/>
      <c r="G69" s="26"/>
      <c r="H69" s="26"/>
      <c r="I69" s="26"/>
      <c r="J69" s="26"/>
      <c r="K69" s="26"/>
      <c r="L69" s="26"/>
      <c r="M69" s="26"/>
      <c r="N69" s="25"/>
      <c r="O69" s="26"/>
      <c r="P69" s="26"/>
      <c r="Q69" s="26"/>
      <c r="R69" s="26"/>
      <c r="S69" s="26"/>
      <c r="T69" s="26"/>
      <c r="U69" s="26"/>
      <c r="V69" s="26"/>
      <c r="W69" s="26"/>
      <c r="X69" s="18"/>
      <c r="Y69" s="18"/>
      <c r="Z69" s="18"/>
    </row>
    <row r="70" spans="1:26" ht="14.25" customHeight="1" x14ac:dyDescent="0.35">
      <c r="A70" s="26"/>
      <c r="B70" s="26"/>
      <c r="C70" s="44"/>
      <c r="D70" s="44"/>
      <c r="E70" s="26"/>
      <c r="F70" s="26"/>
      <c r="G70" s="26"/>
      <c r="H70" s="26"/>
      <c r="I70" s="26"/>
      <c r="J70" s="26"/>
      <c r="K70" s="26"/>
      <c r="L70" s="26"/>
      <c r="M70" s="26"/>
      <c r="N70" s="25"/>
      <c r="O70" s="26"/>
      <c r="P70" s="26"/>
      <c r="Q70" s="26"/>
      <c r="R70" s="26"/>
      <c r="S70" s="26"/>
      <c r="T70" s="26"/>
      <c r="U70" s="26"/>
      <c r="V70" s="26"/>
      <c r="W70" s="26"/>
      <c r="X70" s="18"/>
      <c r="Y70" s="18"/>
      <c r="Z70" s="18"/>
    </row>
    <row r="71" spans="1:26" ht="14.25" customHeight="1" x14ac:dyDescent="0.35">
      <c r="A71" s="26"/>
      <c r="B71" s="26"/>
      <c r="C71" s="44"/>
      <c r="D71" s="44"/>
      <c r="E71" s="26"/>
      <c r="F71" s="26"/>
      <c r="G71" s="26"/>
      <c r="H71" s="26"/>
      <c r="I71" s="26"/>
      <c r="J71" s="26"/>
      <c r="K71" s="26"/>
      <c r="L71" s="26"/>
      <c r="M71" s="26"/>
      <c r="N71" s="25"/>
      <c r="O71" s="26"/>
      <c r="P71" s="26"/>
      <c r="Q71" s="26"/>
      <c r="R71" s="26"/>
      <c r="S71" s="26"/>
      <c r="T71" s="26"/>
      <c r="U71" s="26"/>
      <c r="V71" s="26"/>
      <c r="W71" s="26"/>
      <c r="X71" s="18"/>
      <c r="Y71" s="18"/>
      <c r="Z71" s="18"/>
    </row>
    <row r="72" spans="1:26" ht="14.25" customHeight="1" x14ac:dyDescent="0.35">
      <c r="A72" s="26"/>
      <c r="B72" s="26"/>
      <c r="C72" s="44"/>
      <c r="D72" s="44"/>
      <c r="E72" s="26"/>
      <c r="F72" s="26"/>
      <c r="G72" s="26"/>
      <c r="H72" s="26"/>
      <c r="I72" s="26"/>
      <c r="J72" s="26"/>
      <c r="K72" s="26"/>
      <c r="L72" s="26"/>
      <c r="M72" s="26"/>
      <c r="N72" s="25"/>
      <c r="O72" s="26"/>
      <c r="P72" s="26"/>
      <c r="Q72" s="26"/>
      <c r="R72" s="26"/>
      <c r="S72" s="26"/>
      <c r="T72" s="26"/>
      <c r="U72" s="26"/>
      <c r="V72" s="26"/>
      <c r="W72" s="26"/>
      <c r="X72" s="18"/>
      <c r="Y72" s="18"/>
      <c r="Z72" s="18"/>
    </row>
    <row r="73" spans="1:26" ht="14.25" customHeight="1" x14ac:dyDescent="0.35">
      <c r="A73" s="26"/>
      <c r="B73" s="26"/>
      <c r="C73" s="44"/>
      <c r="D73" s="44"/>
      <c r="E73" s="26"/>
      <c r="F73" s="26"/>
      <c r="G73" s="26"/>
      <c r="H73" s="26"/>
      <c r="I73" s="26"/>
      <c r="J73" s="26"/>
      <c r="K73" s="26"/>
      <c r="L73" s="26"/>
      <c r="M73" s="26"/>
      <c r="N73" s="25"/>
      <c r="O73" s="26"/>
      <c r="P73" s="26"/>
      <c r="Q73" s="26"/>
      <c r="R73" s="26"/>
      <c r="S73" s="26"/>
      <c r="T73" s="26"/>
      <c r="U73" s="26"/>
      <c r="V73" s="26"/>
      <c r="W73" s="26"/>
      <c r="X73" s="18"/>
      <c r="Y73" s="18"/>
      <c r="Z73" s="18"/>
    </row>
    <row r="74" spans="1:26" ht="14.25" customHeight="1" x14ac:dyDescent="0.35">
      <c r="A74" s="26"/>
      <c r="B74" s="26"/>
      <c r="C74" s="44"/>
      <c r="D74" s="44"/>
      <c r="E74" s="26"/>
      <c r="F74" s="26"/>
      <c r="G74" s="26"/>
      <c r="H74" s="26"/>
      <c r="I74" s="26"/>
      <c r="J74" s="26"/>
      <c r="K74" s="26"/>
      <c r="L74" s="26"/>
      <c r="M74" s="26"/>
      <c r="N74" s="25"/>
      <c r="O74" s="26"/>
      <c r="P74" s="26"/>
      <c r="Q74" s="26"/>
      <c r="R74" s="26"/>
      <c r="S74" s="26"/>
      <c r="T74" s="26"/>
      <c r="U74" s="26"/>
      <c r="V74" s="26"/>
      <c r="W74" s="26"/>
      <c r="X74" s="18"/>
      <c r="Y74" s="18"/>
      <c r="Z74" s="18"/>
    </row>
    <row r="75" spans="1:26" ht="14.25" customHeight="1" x14ac:dyDescent="0.35">
      <c r="A75" s="26"/>
      <c r="B75" s="26"/>
      <c r="C75" s="44"/>
      <c r="D75" s="44"/>
      <c r="E75" s="26"/>
      <c r="F75" s="26"/>
      <c r="G75" s="26"/>
      <c r="H75" s="26"/>
      <c r="I75" s="26"/>
      <c r="J75" s="26"/>
      <c r="K75" s="26"/>
      <c r="L75" s="26"/>
      <c r="M75" s="26"/>
      <c r="N75" s="25"/>
      <c r="O75" s="26"/>
      <c r="P75" s="26"/>
      <c r="Q75" s="26"/>
      <c r="R75" s="26"/>
      <c r="S75" s="26"/>
      <c r="T75" s="26"/>
      <c r="U75" s="26"/>
      <c r="V75" s="26"/>
      <c r="W75" s="26"/>
      <c r="X75" s="18"/>
      <c r="Y75" s="18"/>
      <c r="Z75" s="18"/>
    </row>
    <row r="76" spans="1:26" ht="14.25" customHeight="1" x14ac:dyDescent="0.35">
      <c r="A76" s="26"/>
      <c r="B76" s="26"/>
      <c r="C76" s="44"/>
      <c r="D76" s="44"/>
      <c r="E76" s="26"/>
      <c r="F76" s="26"/>
      <c r="G76" s="26"/>
      <c r="H76" s="26"/>
      <c r="I76" s="26"/>
      <c r="J76" s="26"/>
      <c r="K76" s="26"/>
      <c r="L76" s="26"/>
      <c r="M76" s="26"/>
      <c r="N76" s="25"/>
      <c r="O76" s="26"/>
      <c r="P76" s="26"/>
      <c r="Q76" s="26"/>
      <c r="R76" s="26"/>
      <c r="S76" s="26"/>
      <c r="T76" s="26"/>
      <c r="U76" s="26"/>
      <c r="V76" s="26"/>
      <c r="W76" s="26"/>
      <c r="X76" s="18"/>
      <c r="Y76" s="18"/>
      <c r="Z76" s="18"/>
    </row>
    <row r="77" spans="1:26" ht="14.25" customHeight="1" x14ac:dyDescent="0.35">
      <c r="A77" s="26"/>
      <c r="B77" s="26"/>
      <c r="C77" s="44"/>
      <c r="D77" s="44"/>
      <c r="E77" s="26"/>
      <c r="F77" s="26"/>
      <c r="G77" s="26"/>
      <c r="H77" s="26"/>
      <c r="I77" s="26"/>
      <c r="J77" s="26"/>
      <c r="K77" s="26"/>
      <c r="L77" s="26"/>
      <c r="M77" s="26"/>
      <c r="N77" s="25"/>
      <c r="O77" s="26"/>
      <c r="P77" s="26"/>
      <c r="Q77" s="26"/>
      <c r="R77" s="26"/>
      <c r="S77" s="26"/>
      <c r="T77" s="26"/>
      <c r="U77" s="26"/>
      <c r="V77" s="26"/>
      <c r="W77" s="26"/>
      <c r="X77" s="18"/>
      <c r="Y77" s="18"/>
      <c r="Z77" s="18"/>
    </row>
    <row r="78" spans="1:26" ht="14.25" customHeight="1" x14ac:dyDescent="0.35">
      <c r="A78" s="26"/>
      <c r="B78" s="26"/>
      <c r="C78" s="44"/>
      <c r="D78" s="44"/>
      <c r="E78" s="26"/>
      <c r="F78" s="26"/>
      <c r="G78" s="26"/>
      <c r="H78" s="26"/>
      <c r="I78" s="26"/>
      <c r="J78" s="26"/>
      <c r="K78" s="26"/>
      <c r="L78" s="26"/>
      <c r="M78" s="26"/>
      <c r="N78" s="25"/>
      <c r="O78" s="26"/>
      <c r="P78" s="26"/>
      <c r="Q78" s="26"/>
      <c r="R78" s="26"/>
      <c r="S78" s="26"/>
      <c r="T78" s="26"/>
      <c r="U78" s="26"/>
      <c r="V78" s="26"/>
      <c r="W78" s="26"/>
      <c r="X78" s="18"/>
      <c r="Y78" s="18"/>
      <c r="Z78" s="18"/>
    </row>
    <row r="79" spans="1:26" ht="14.25" customHeight="1" x14ac:dyDescent="0.35">
      <c r="A79" s="26"/>
      <c r="B79" s="26"/>
      <c r="C79" s="44"/>
      <c r="D79" s="44"/>
      <c r="E79" s="26"/>
      <c r="F79" s="26"/>
      <c r="G79" s="26"/>
      <c r="H79" s="26"/>
      <c r="I79" s="26"/>
      <c r="J79" s="26"/>
      <c r="K79" s="26"/>
      <c r="L79" s="26"/>
      <c r="M79" s="26"/>
      <c r="N79" s="25"/>
      <c r="O79" s="26"/>
      <c r="P79" s="26"/>
      <c r="Q79" s="26"/>
      <c r="R79" s="26"/>
      <c r="S79" s="26"/>
      <c r="T79" s="26"/>
      <c r="U79" s="26"/>
      <c r="V79" s="26"/>
      <c r="W79" s="26"/>
      <c r="X79" s="18"/>
      <c r="Y79" s="18"/>
      <c r="Z79" s="18"/>
    </row>
    <row r="80" spans="1:26" ht="14.25" customHeight="1" x14ac:dyDescent="0.35">
      <c r="A80" s="26"/>
      <c r="B80" s="26"/>
      <c r="C80" s="44"/>
      <c r="D80" s="44"/>
      <c r="E80" s="26"/>
      <c r="F80" s="26"/>
      <c r="G80" s="26"/>
      <c r="H80" s="26"/>
      <c r="I80" s="26"/>
      <c r="J80" s="26"/>
      <c r="K80" s="26"/>
      <c r="L80" s="26"/>
      <c r="M80" s="26"/>
      <c r="N80" s="25"/>
      <c r="O80" s="26"/>
      <c r="P80" s="26"/>
      <c r="Q80" s="26"/>
      <c r="R80" s="26"/>
      <c r="S80" s="26"/>
      <c r="T80" s="26"/>
      <c r="U80" s="26"/>
      <c r="V80" s="26"/>
      <c r="W80" s="26"/>
      <c r="X80" s="18"/>
      <c r="Y80" s="18"/>
      <c r="Z80" s="18"/>
    </row>
    <row r="81" spans="1:26" ht="14.25" customHeight="1" x14ac:dyDescent="0.35">
      <c r="A81" s="26"/>
      <c r="B81" s="26"/>
      <c r="C81" s="44"/>
      <c r="D81" s="44"/>
      <c r="E81" s="26"/>
      <c r="F81" s="26"/>
      <c r="G81" s="26"/>
      <c r="H81" s="26"/>
      <c r="I81" s="26"/>
      <c r="J81" s="26"/>
      <c r="K81" s="26"/>
      <c r="L81" s="26"/>
      <c r="M81" s="26"/>
      <c r="N81" s="25"/>
      <c r="O81" s="26"/>
      <c r="P81" s="26"/>
      <c r="Q81" s="26"/>
      <c r="R81" s="26"/>
      <c r="S81" s="26"/>
      <c r="T81" s="26"/>
      <c r="U81" s="26"/>
      <c r="V81" s="26"/>
      <c r="W81" s="26"/>
      <c r="X81" s="18"/>
      <c r="Y81" s="18"/>
      <c r="Z81" s="18"/>
    </row>
    <row r="82" spans="1:26" ht="14.25" customHeight="1" x14ac:dyDescent="0.35">
      <c r="A82" s="26"/>
      <c r="B82" s="26"/>
      <c r="C82" s="44"/>
      <c r="D82" s="44"/>
      <c r="E82" s="26"/>
      <c r="F82" s="26"/>
      <c r="G82" s="26"/>
      <c r="H82" s="26"/>
      <c r="I82" s="26"/>
      <c r="J82" s="26"/>
      <c r="K82" s="26"/>
      <c r="L82" s="26"/>
      <c r="M82" s="26"/>
      <c r="N82" s="25"/>
      <c r="O82" s="26"/>
      <c r="P82" s="26"/>
      <c r="Q82" s="26"/>
      <c r="R82" s="26"/>
      <c r="S82" s="26"/>
      <c r="T82" s="26"/>
      <c r="U82" s="26"/>
      <c r="V82" s="26"/>
      <c r="W82" s="26"/>
      <c r="X82" s="18"/>
      <c r="Y82" s="18"/>
      <c r="Z82" s="18"/>
    </row>
    <row r="83" spans="1:26" ht="14.25" customHeight="1" x14ac:dyDescent="0.35">
      <c r="A83" s="26"/>
      <c r="B83" s="26"/>
      <c r="C83" s="44"/>
      <c r="D83" s="44"/>
      <c r="E83" s="26"/>
      <c r="F83" s="26"/>
      <c r="G83" s="26"/>
      <c r="H83" s="26"/>
      <c r="I83" s="26"/>
      <c r="J83" s="26"/>
      <c r="K83" s="26"/>
      <c r="L83" s="26"/>
      <c r="M83" s="26"/>
      <c r="N83" s="25"/>
      <c r="O83" s="26"/>
      <c r="P83" s="26"/>
      <c r="Q83" s="26"/>
      <c r="R83" s="26"/>
      <c r="S83" s="26"/>
      <c r="T83" s="26"/>
      <c r="U83" s="26"/>
      <c r="V83" s="26"/>
      <c r="W83" s="26"/>
      <c r="X83" s="18"/>
      <c r="Y83" s="18"/>
      <c r="Z83" s="18"/>
    </row>
    <row r="84" spans="1:26" ht="14.25" customHeight="1" x14ac:dyDescent="0.35">
      <c r="A84" s="26"/>
      <c r="B84" s="26"/>
      <c r="C84" s="44"/>
      <c r="D84" s="44"/>
      <c r="E84" s="26"/>
      <c r="F84" s="26"/>
      <c r="G84" s="26"/>
      <c r="H84" s="26"/>
      <c r="I84" s="26"/>
      <c r="J84" s="26"/>
      <c r="K84" s="26"/>
      <c r="L84" s="26"/>
      <c r="M84" s="26"/>
      <c r="N84" s="25"/>
      <c r="O84" s="26"/>
      <c r="P84" s="26"/>
      <c r="Q84" s="26"/>
      <c r="R84" s="26"/>
      <c r="S84" s="26"/>
      <c r="T84" s="26"/>
      <c r="U84" s="26"/>
      <c r="V84" s="26"/>
      <c r="W84" s="26"/>
      <c r="X84" s="18"/>
      <c r="Y84" s="18"/>
      <c r="Z84" s="18"/>
    </row>
    <row r="85" spans="1:26" ht="14.25" customHeight="1" x14ac:dyDescent="0.35">
      <c r="A85" s="26"/>
      <c r="B85" s="26"/>
      <c r="C85" s="44"/>
      <c r="D85" s="44"/>
      <c r="E85" s="26"/>
      <c r="F85" s="26"/>
      <c r="G85" s="26"/>
      <c r="H85" s="26"/>
      <c r="I85" s="26"/>
      <c r="J85" s="26"/>
      <c r="K85" s="26"/>
      <c r="L85" s="26"/>
      <c r="M85" s="26"/>
      <c r="N85" s="25"/>
      <c r="O85" s="26"/>
      <c r="P85" s="26"/>
      <c r="Q85" s="26"/>
      <c r="R85" s="26"/>
      <c r="S85" s="26"/>
      <c r="T85" s="26"/>
      <c r="U85" s="26"/>
      <c r="V85" s="26"/>
      <c r="W85" s="26"/>
      <c r="X85" s="18"/>
      <c r="Y85" s="18"/>
      <c r="Z85" s="18"/>
    </row>
    <row r="86" spans="1:26" ht="14.25" customHeight="1" x14ac:dyDescent="0.35">
      <c r="A86" s="26"/>
      <c r="B86" s="26"/>
      <c r="C86" s="44"/>
      <c r="D86" s="44"/>
      <c r="E86" s="26"/>
      <c r="F86" s="26"/>
      <c r="G86" s="26"/>
      <c r="H86" s="26"/>
      <c r="I86" s="26"/>
      <c r="J86" s="26"/>
      <c r="K86" s="26"/>
      <c r="L86" s="26"/>
      <c r="M86" s="26"/>
      <c r="N86" s="25"/>
      <c r="O86" s="26"/>
      <c r="P86" s="26"/>
      <c r="Q86" s="26"/>
      <c r="R86" s="26"/>
      <c r="S86" s="26"/>
      <c r="T86" s="26"/>
      <c r="U86" s="26"/>
      <c r="V86" s="26"/>
      <c r="W86" s="26"/>
      <c r="X86" s="18"/>
      <c r="Y86" s="18"/>
      <c r="Z86" s="18"/>
    </row>
    <row r="87" spans="1:26" ht="14.25" customHeight="1" x14ac:dyDescent="0.35">
      <c r="A87" s="26"/>
      <c r="B87" s="26"/>
      <c r="C87" s="44"/>
      <c r="D87" s="44"/>
      <c r="E87" s="26"/>
      <c r="F87" s="26"/>
      <c r="G87" s="26"/>
      <c r="H87" s="26"/>
      <c r="I87" s="26"/>
      <c r="J87" s="26"/>
      <c r="K87" s="26"/>
      <c r="L87" s="26"/>
      <c r="M87" s="26"/>
      <c r="N87" s="25"/>
      <c r="O87" s="26"/>
      <c r="P87" s="26"/>
      <c r="Q87" s="26"/>
      <c r="R87" s="26"/>
      <c r="S87" s="26"/>
      <c r="T87" s="26"/>
      <c r="U87" s="26"/>
      <c r="V87" s="26"/>
      <c r="W87" s="26"/>
      <c r="X87" s="18"/>
      <c r="Y87" s="18"/>
      <c r="Z87" s="18"/>
    </row>
    <row r="88" spans="1:26" ht="14.25" customHeight="1" x14ac:dyDescent="0.35">
      <c r="A88" s="26"/>
      <c r="B88" s="26"/>
      <c r="C88" s="44"/>
      <c r="D88" s="44"/>
      <c r="E88" s="26"/>
      <c r="F88" s="26"/>
      <c r="G88" s="26"/>
      <c r="H88" s="26"/>
      <c r="I88" s="26"/>
      <c r="J88" s="26"/>
      <c r="K88" s="26"/>
      <c r="L88" s="26"/>
      <c r="M88" s="26"/>
      <c r="N88" s="25"/>
      <c r="O88" s="26"/>
      <c r="P88" s="26"/>
      <c r="Q88" s="26"/>
      <c r="R88" s="26"/>
      <c r="S88" s="26"/>
      <c r="T88" s="26"/>
      <c r="U88" s="26"/>
      <c r="V88" s="26"/>
      <c r="W88" s="26"/>
      <c r="X88" s="18"/>
      <c r="Y88" s="18"/>
      <c r="Z88" s="18"/>
    </row>
    <row r="89" spans="1:26" ht="14.25" customHeight="1" x14ac:dyDescent="0.35">
      <c r="A89" s="26"/>
      <c r="B89" s="26"/>
      <c r="C89" s="44"/>
      <c r="D89" s="44"/>
      <c r="E89" s="26"/>
      <c r="F89" s="26"/>
      <c r="G89" s="26"/>
      <c r="H89" s="26"/>
      <c r="I89" s="26"/>
      <c r="J89" s="26"/>
      <c r="K89" s="26"/>
      <c r="L89" s="26"/>
      <c r="M89" s="26"/>
      <c r="N89" s="25"/>
      <c r="O89" s="26"/>
      <c r="P89" s="26"/>
      <c r="Q89" s="26"/>
      <c r="R89" s="26"/>
      <c r="S89" s="26"/>
      <c r="T89" s="26"/>
      <c r="U89" s="26"/>
      <c r="V89" s="26"/>
      <c r="W89" s="26"/>
      <c r="X89" s="18"/>
      <c r="Y89" s="18"/>
      <c r="Z89" s="18"/>
    </row>
    <row r="90" spans="1:26" ht="14.25" customHeight="1" x14ac:dyDescent="0.35">
      <c r="A90" s="26"/>
      <c r="B90" s="26"/>
      <c r="C90" s="44"/>
      <c r="D90" s="44"/>
      <c r="E90" s="26"/>
      <c r="F90" s="26"/>
      <c r="G90" s="26"/>
      <c r="H90" s="26"/>
      <c r="I90" s="26"/>
      <c r="J90" s="26"/>
      <c r="K90" s="26"/>
      <c r="L90" s="26"/>
      <c r="M90" s="26"/>
      <c r="N90" s="25"/>
      <c r="O90" s="26"/>
      <c r="P90" s="26"/>
      <c r="Q90" s="26"/>
      <c r="R90" s="26"/>
      <c r="S90" s="26"/>
      <c r="T90" s="26"/>
      <c r="U90" s="26"/>
      <c r="V90" s="26"/>
      <c r="W90" s="26"/>
      <c r="X90" s="18"/>
      <c r="Y90" s="18"/>
      <c r="Z90" s="18"/>
    </row>
    <row r="91" spans="1:26" ht="14.25" customHeight="1" x14ac:dyDescent="0.35">
      <c r="A91" s="26"/>
      <c r="B91" s="26"/>
      <c r="C91" s="44"/>
      <c r="D91" s="44"/>
      <c r="E91" s="26"/>
      <c r="F91" s="26"/>
      <c r="G91" s="26"/>
      <c r="H91" s="26"/>
      <c r="I91" s="26"/>
      <c r="J91" s="26"/>
      <c r="K91" s="26"/>
      <c r="L91" s="26"/>
      <c r="M91" s="26"/>
      <c r="N91" s="25"/>
      <c r="O91" s="26"/>
      <c r="P91" s="26"/>
      <c r="Q91" s="26"/>
      <c r="R91" s="26"/>
      <c r="S91" s="26"/>
      <c r="T91" s="26"/>
      <c r="U91" s="26"/>
      <c r="V91" s="26"/>
      <c r="W91" s="26"/>
      <c r="X91" s="18"/>
      <c r="Y91" s="18"/>
      <c r="Z91" s="18"/>
    </row>
    <row r="92" spans="1:26" ht="14.25" customHeight="1" x14ac:dyDescent="0.35">
      <c r="A92" s="26"/>
      <c r="B92" s="26"/>
      <c r="C92" s="44"/>
      <c r="D92" s="44"/>
      <c r="E92" s="26"/>
      <c r="F92" s="26"/>
      <c r="G92" s="26"/>
      <c r="H92" s="26"/>
      <c r="I92" s="26"/>
      <c r="J92" s="26"/>
      <c r="K92" s="26"/>
      <c r="L92" s="26"/>
      <c r="M92" s="26"/>
      <c r="N92" s="25"/>
      <c r="O92" s="26"/>
      <c r="P92" s="26"/>
      <c r="Q92" s="26"/>
      <c r="R92" s="26"/>
      <c r="S92" s="26"/>
      <c r="T92" s="26"/>
      <c r="U92" s="26"/>
      <c r="V92" s="26"/>
      <c r="W92" s="26"/>
      <c r="X92" s="18"/>
      <c r="Y92" s="18"/>
      <c r="Z92" s="18"/>
    </row>
    <row r="93" spans="1:26" ht="14.25" customHeight="1" x14ac:dyDescent="0.35">
      <c r="A93" s="26"/>
      <c r="B93" s="26"/>
      <c r="C93" s="44"/>
      <c r="D93" s="44"/>
      <c r="E93" s="26"/>
      <c r="F93" s="26"/>
      <c r="G93" s="26"/>
      <c r="H93" s="26"/>
      <c r="I93" s="26"/>
      <c r="J93" s="26"/>
      <c r="K93" s="26"/>
      <c r="L93" s="26"/>
      <c r="M93" s="26"/>
      <c r="N93" s="25"/>
      <c r="O93" s="26"/>
      <c r="P93" s="26"/>
      <c r="Q93" s="26"/>
      <c r="R93" s="26"/>
      <c r="S93" s="26"/>
      <c r="T93" s="26"/>
      <c r="U93" s="26"/>
      <c r="V93" s="26"/>
      <c r="W93" s="26"/>
      <c r="X93" s="18"/>
      <c r="Y93" s="18"/>
      <c r="Z93" s="18"/>
    </row>
    <row r="94" spans="1:26" ht="14.25" customHeight="1" x14ac:dyDescent="0.35">
      <c r="A94" s="26"/>
      <c r="B94" s="26"/>
      <c r="C94" s="44"/>
      <c r="D94" s="44"/>
      <c r="E94" s="26"/>
      <c r="F94" s="26"/>
      <c r="G94" s="26"/>
      <c r="H94" s="26"/>
      <c r="I94" s="26"/>
      <c r="J94" s="26"/>
      <c r="K94" s="26"/>
      <c r="L94" s="26"/>
      <c r="M94" s="26"/>
      <c r="N94" s="25"/>
      <c r="O94" s="26"/>
      <c r="P94" s="26"/>
      <c r="Q94" s="26"/>
      <c r="R94" s="26"/>
      <c r="S94" s="26"/>
      <c r="T94" s="26"/>
      <c r="U94" s="26"/>
      <c r="V94" s="26"/>
      <c r="W94" s="26"/>
      <c r="X94" s="18"/>
      <c r="Y94" s="18"/>
      <c r="Z94" s="18"/>
    </row>
    <row r="95" spans="1:26" ht="14.25" customHeight="1" x14ac:dyDescent="0.35">
      <c r="A95" s="26"/>
      <c r="B95" s="26"/>
      <c r="C95" s="44"/>
      <c r="D95" s="44"/>
      <c r="E95" s="26"/>
      <c r="F95" s="26"/>
      <c r="G95" s="26"/>
      <c r="H95" s="26"/>
      <c r="I95" s="26"/>
      <c r="J95" s="26"/>
      <c r="K95" s="26"/>
      <c r="L95" s="26"/>
      <c r="M95" s="26"/>
      <c r="N95" s="25"/>
      <c r="O95" s="26"/>
      <c r="P95" s="26"/>
      <c r="Q95" s="26"/>
      <c r="R95" s="26"/>
      <c r="S95" s="26"/>
      <c r="T95" s="26"/>
      <c r="U95" s="26"/>
      <c r="V95" s="26"/>
      <c r="W95" s="26"/>
      <c r="X95" s="18"/>
      <c r="Y95" s="18"/>
      <c r="Z95" s="18"/>
    </row>
    <row r="96" spans="1:26" ht="14.25" customHeight="1" x14ac:dyDescent="0.35">
      <c r="A96" s="26"/>
      <c r="B96" s="26"/>
      <c r="C96" s="44"/>
      <c r="D96" s="44"/>
      <c r="E96" s="26"/>
      <c r="F96" s="26"/>
      <c r="G96" s="26"/>
      <c r="H96" s="26"/>
      <c r="I96" s="26"/>
      <c r="J96" s="26"/>
      <c r="K96" s="26"/>
      <c r="L96" s="26"/>
      <c r="M96" s="26"/>
      <c r="N96" s="25"/>
      <c r="O96" s="26"/>
      <c r="P96" s="26"/>
      <c r="Q96" s="26"/>
      <c r="R96" s="26"/>
      <c r="S96" s="26"/>
      <c r="T96" s="26"/>
      <c r="U96" s="26"/>
      <c r="V96" s="26"/>
      <c r="W96" s="26"/>
      <c r="X96" s="18"/>
      <c r="Y96" s="18"/>
      <c r="Z96" s="18"/>
    </row>
    <row r="97" spans="1:26" ht="14.25" customHeight="1" x14ac:dyDescent="0.35">
      <c r="A97" s="26"/>
      <c r="B97" s="26"/>
      <c r="C97" s="44"/>
      <c r="D97" s="44"/>
      <c r="E97" s="26"/>
      <c r="F97" s="26"/>
      <c r="G97" s="26"/>
      <c r="H97" s="26"/>
      <c r="I97" s="26"/>
      <c r="J97" s="26"/>
      <c r="K97" s="26"/>
      <c r="L97" s="26"/>
      <c r="M97" s="26"/>
      <c r="N97" s="25"/>
      <c r="O97" s="26"/>
      <c r="P97" s="26"/>
      <c r="Q97" s="26"/>
      <c r="R97" s="26"/>
      <c r="S97" s="26"/>
      <c r="T97" s="26"/>
      <c r="U97" s="26"/>
      <c r="V97" s="26"/>
      <c r="W97" s="26"/>
      <c r="X97" s="18"/>
      <c r="Y97" s="18"/>
      <c r="Z97" s="18"/>
    </row>
    <row r="98" spans="1:26" ht="14.25" customHeight="1" x14ac:dyDescent="0.35">
      <c r="A98" s="26"/>
      <c r="B98" s="26"/>
      <c r="C98" s="44"/>
      <c r="D98" s="44"/>
      <c r="E98" s="26"/>
      <c r="F98" s="26"/>
      <c r="G98" s="26"/>
      <c r="H98" s="26"/>
      <c r="I98" s="26"/>
      <c r="J98" s="26"/>
      <c r="K98" s="26"/>
      <c r="L98" s="26"/>
      <c r="M98" s="26"/>
      <c r="N98" s="25"/>
      <c r="O98" s="26"/>
      <c r="P98" s="26"/>
      <c r="Q98" s="26"/>
      <c r="R98" s="26"/>
      <c r="S98" s="26"/>
      <c r="T98" s="26"/>
      <c r="U98" s="26"/>
      <c r="V98" s="26"/>
      <c r="W98" s="26"/>
      <c r="X98" s="18"/>
      <c r="Y98" s="18"/>
      <c r="Z98" s="18"/>
    </row>
    <row r="99" spans="1:26" ht="14.25" customHeight="1" x14ac:dyDescent="0.35">
      <c r="A99" s="26"/>
      <c r="B99" s="26"/>
      <c r="C99" s="44"/>
      <c r="D99" s="44"/>
      <c r="E99" s="26"/>
      <c r="F99" s="26"/>
      <c r="G99" s="26"/>
      <c r="H99" s="26"/>
      <c r="I99" s="26"/>
      <c r="J99" s="26"/>
      <c r="K99" s="26"/>
      <c r="L99" s="26"/>
      <c r="M99" s="26"/>
      <c r="N99" s="25"/>
      <c r="O99" s="26"/>
      <c r="P99" s="26"/>
      <c r="Q99" s="26"/>
      <c r="R99" s="26"/>
      <c r="S99" s="26"/>
      <c r="T99" s="26"/>
      <c r="U99" s="26"/>
      <c r="V99" s="26"/>
      <c r="W99" s="26"/>
      <c r="X99" s="18"/>
      <c r="Y99" s="18"/>
      <c r="Z99" s="18"/>
    </row>
    <row r="100" spans="1:26" ht="14.25" customHeight="1" x14ac:dyDescent="0.35">
      <c r="A100" s="26"/>
      <c r="B100" s="26"/>
      <c r="C100" s="44"/>
      <c r="D100" s="44"/>
      <c r="E100" s="26"/>
      <c r="F100" s="26"/>
      <c r="G100" s="26"/>
      <c r="H100" s="26"/>
      <c r="I100" s="26"/>
      <c r="J100" s="26"/>
      <c r="K100" s="26"/>
      <c r="L100" s="26"/>
      <c r="M100" s="26"/>
      <c r="N100" s="25"/>
      <c r="O100" s="26"/>
      <c r="P100" s="26"/>
      <c r="Q100" s="26"/>
      <c r="R100" s="26"/>
      <c r="S100" s="26"/>
      <c r="T100" s="26"/>
      <c r="U100" s="26"/>
      <c r="V100" s="26"/>
      <c r="W100" s="26"/>
      <c r="X100" s="18"/>
      <c r="Y100" s="18"/>
      <c r="Z100" s="18"/>
    </row>
    <row r="101" spans="1:26" ht="14.25" customHeight="1" x14ac:dyDescent="0.35">
      <c r="A101" s="26"/>
      <c r="B101" s="26"/>
      <c r="C101" s="44"/>
      <c r="D101" s="44"/>
      <c r="E101" s="26"/>
      <c r="F101" s="26"/>
      <c r="G101" s="26"/>
      <c r="H101" s="26"/>
      <c r="I101" s="26"/>
      <c r="J101" s="26"/>
      <c r="K101" s="26"/>
      <c r="L101" s="26"/>
      <c r="M101" s="26"/>
      <c r="N101" s="25"/>
      <c r="O101" s="26"/>
      <c r="P101" s="26"/>
      <c r="Q101" s="26"/>
      <c r="R101" s="26"/>
      <c r="S101" s="26"/>
      <c r="T101" s="26"/>
      <c r="U101" s="26"/>
      <c r="V101" s="26"/>
      <c r="W101" s="26"/>
      <c r="X101" s="18"/>
      <c r="Y101" s="18"/>
      <c r="Z101" s="18"/>
    </row>
    <row r="102" spans="1:26" ht="14.25" customHeight="1" x14ac:dyDescent="0.35">
      <c r="A102" s="26"/>
      <c r="B102" s="26"/>
      <c r="C102" s="44"/>
      <c r="D102" s="44"/>
      <c r="E102" s="26"/>
      <c r="F102" s="26"/>
      <c r="G102" s="26"/>
      <c r="H102" s="26"/>
      <c r="I102" s="26"/>
      <c r="J102" s="26"/>
      <c r="K102" s="26"/>
      <c r="L102" s="26"/>
      <c r="M102" s="26"/>
      <c r="N102" s="25"/>
      <c r="O102" s="26"/>
      <c r="P102" s="26"/>
      <c r="Q102" s="26"/>
      <c r="R102" s="26"/>
      <c r="S102" s="26"/>
      <c r="T102" s="26"/>
      <c r="U102" s="26"/>
      <c r="V102" s="26"/>
      <c r="W102" s="26"/>
      <c r="X102" s="18"/>
      <c r="Y102" s="18"/>
      <c r="Z102" s="18"/>
    </row>
    <row r="103" spans="1:26" ht="14.25" customHeight="1" x14ac:dyDescent="0.35">
      <c r="A103" s="26"/>
      <c r="B103" s="26"/>
      <c r="C103" s="44"/>
      <c r="D103" s="44"/>
      <c r="E103" s="26"/>
      <c r="F103" s="26"/>
      <c r="G103" s="26"/>
      <c r="H103" s="26"/>
      <c r="I103" s="26"/>
      <c r="J103" s="26"/>
      <c r="K103" s="26"/>
      <c r="L103" s="26"/>
      <c r="M103" s="26"/>
      <c r="N103" s="25"/>
      <c r="O103" s="26"/>
      <c r="P103" s="26"/>
      <c r="Q103" s="26"/>
      <c r="R103" s="26"/>
      <c r="S103" s="26"/>
      <c r="T103" s="26"/>
      <c r="U103" s="26"/>
      <c r="V103" s="26"/>
      <c r="W103" s="26"/>
      <c r="X103" s="18"/>
      <c r="Y103" s="18"/>
      <c r="Z103" s="18"/>
    </row>
    <row r="104" spans="1:26" ht="14.25" customHeight="1" x14ac:dyDescent="0.35">
      <c r="A104" s="26"/>
      <c r="B104" s="26"/>
      <c r="C104" s="44"/>
      <c r="D104" s="44"/>
      <c r="E104" s="26"/>
      <c r="F104" s="26"/>
      <c r="G104" s="26"/>
      <c r="H104" s="26"/>
      <c r="I104" s="26"/>
      <c r="J104" s="26"/>
      <c r="K104" s="26"/>
      <c r="L104" s="26"/>
      <c r="M104" s="26"/>
      <c r="N104" s="25"/>
      <c r="O104" s="26"/>
      <c r="P104" s="26"/>
      <c r="Q104" s="26"/>
      <c r="R104" s="26"/>
      <c r="S104" s="26"/>
      <c r="T104" s="26"/>
      <c r="U104" s="26"/>
      <c r="V104" s="26"/>
      <c r="W104" s="26"/>
      <c r="X104" s="18"/>
      <c r="Y104" s="18"/>
      <c r="Z104" s="18"/>
    </row>
    <row r="105" spans="1:26" ht="14.25" customHeight="1" x14ac:dyDescent="0.35">
      <c r="A105" s="26"/>
      <c r="B105" s="26"/>
      <c r="C105" s="44"/>
      <c r="D105" s="44"/>
      <c r="E105" s="26"/>
      <c r="F105" s="26"/>
      <c r="G105" s="26"/>
      <c r="H105" s="26"/>
      <c r="I105" s="26"/>
      <c r="J105" s="26"/>
      <c r="K105" s="26"/>
      <c r="L105" s="26"/>
      <c r="M105" s="26"/>
      <c r="N105" s="25"/>
      <c r="O105" s="26"/>
      <c r="P105" s="26"/>
      <c r="Q105" s="26"/>
      <c r="R105" s="26"/>
      <c r="S105" s="26"/>
      <c r="T105" s="26"/>
      <c r="U105" s="26"/>
      <c r="V105" s="26"/>
      <c r="W105" s="26"/>
      <c r="X105" s="18"/>
      <c r="Y105" s="18"/>
      <c r="Z105" s="18"/>
    </row>
    <row r="106" spans="1:26" ht="14.25" customHeight="1" x14ac:dyDescent="0.35">
      <c r="A106" s="26"/>
      <c r="B106" s="26"/>
      <c r="C106" s="44"/>
      <c r="D106" s="44"/>
      <c r="E106" s="26"/>
      <c r="F106" s="26"/>
      <c r="G106" s="26"/>
      <c r="H106" s="26"/>
      <c r="I106" s="26"/>
      <c r="J106" s="26"/>
      <c r="K106" s="26"/>
      <c r="L106" s="26"/>
      <c r="M106" s="26"/>
      <c r="N106" s="25"/>
      <c r="O106" s="26"/>
      <c r="P106" s="26"/>
      <c r="Q106" s="26"/>
      <c r="R106" s="26"/>
      <c r="S106" s="26"/>
      <c r="T106" s="26"/>
      <c r="U106" s="26"/>
      <c r="V106" s="26"/>
      <c r="W106" s="26"/>
      <c r="X106" s="18"/>
      <c r="Y106" s="18"/>
      <c r="Z106" s="18"/>
    </row>
    <row r="107" spans="1:26" ht="14.25" customHeight="1" x14ac:dyDescent="0.35">
      <c r="A107" s="26"/>
      <c r="B107" s="26"/>
      <c r="C107" s="44"/>
      <c r="D107" s="44"/>
      <c r="E107" s="26"/>
      <c r="F107" s="26"/>
      <c r="G107" s="26"/>
      <c r="H107" s="26"/>
      <c r="I107" s="26"/>
      <c r="J107" s="26"/>
      <c r="K107" s="26"/>
      <c r="L107" s="26"/>
      <c r="M107" s="26"/>
      <c r="N107" s="25"/>
      <c r="O107" s="26"/>
      <c r="P107" s="26"/>
      <c r="Q107" s="26"/>
      <c r="R107" s="26"/>
      <c r="S107" s="26"/>
      <c r="T107" s="26"/>
      <c r="U107" s="26"/>
      <c r="V107" s="26"/>
      <c r="W107" s="26"/>
      <c r="X107" s="18"/>
      <c r="Y107" s="18"/>
      <c r="Z107" s="18"/>
    </row>
    <row r="108" spans="1:26" ht="14.25" customHeight="1" x14ac:dyDescent="0.35">
      <c r="A108" s="26"/>
      <c r="B108" s="26"/>
      <c r="C108" s="44"/>
      <c r="D108" s="44"/>
      <c r="E108" s="26"/>
      <c r="F108" s="26"/>
      <c r="G108" s="26"/>
      <c r="H108" s="26"/>
      <c r="I108" s="26"/>
      <c r="J108" s="26"/>
      <c r="K108" s="26"/>
      <c r="L108" s="26"/>
      <c r="M108" s="26"/>
      <c r="N108" s="25"/>
      <c r="O108" s="26"/>
      <c r="P108" s="26"/>
      <c r="Q108" s="26"/>
      <c r="R108" s="26"/>
      <c r="S108" s="26"/>
      <c r="T108" s="26"/>
      <c r="U108" s="26"/>
      <c r="V108" s="26"/>
      <c r="W108" s="26"/>
      <c r="X108" s="18"/>
      <c r="Y108" s="18"/>
      <c r="Z108" s="18"/>
    </row>
    <row r="109" spans="1:26" ht="14.25" customHeight="1" x14ac:dyDescent="0.35">
      <c r="A109" s="26"/>
      <c r="B109" s="26"/>
      <c r="C109" s="44"/>
      <c r="D109" s="44"/>
      <c r="E109" s="26"/>
      <c r="F109" s="26"/>
      <c r="G109" s="26"/>
      <c r="H109" s="26"/>
      <c r="I109" s="26"/>
      <c r="J109" s="26"/>
      <c r="K109" s="26"/>
      <c r="L109" s="26"/>
      <c r="M109" s="26"/>
      <c r="N109" s="25"/>
      <c r="O109" s="26"/>
      <c r="P109" s="26"/>
      <c r="Q109" s="26"/>
      <c r="R109" s="26"/>
      <c r="S109" s="26"/>
      <c r="T109" s="26"/>
      <c r="U109" s="26"/>
      <c r="V109" s="26"/>
      <c r="W109" s="26"/>
      <c r="X109" s="18"/>
      <c r="Y109" s="18"/>
      <c r="Z109" s="18"/>
    </row>
    <row r="110" spans="1:26" ht="14.25" customHeight="1" x14ac:dyDescent="0.35">
      <c r="A110" s="26"/>
      <c r="B110" s="26"/>
      <c r="C110" s="44"/>
      <c r="D110" s="44"/>
      <c r="E110" s="26"/>
      <c r="F110" s="26"/>
      <c r="G110" s="26"/>
      <c r="H110" s="26"/>
      <c r="I110" s="26"/>
      <c r="J110" s="26"/>
      <c r="K110" s="26"/>
      <c r="L110" s="26"/>
      <c r="M110" s="26"/>
      <c r="N110" s="25"/>
      <c r="O110" s="26"/>
      <c r="P110" s="26"/>
      <c r="Q110" s="26"/>
      <c r="R110" s="26"/>
      <c r="S110" s="26"/>
      <c r="T110" s="26"/>
      <c r="U110" s="26"/>
      <c r="V110" s="26"/>
      <c r="W110" s="26"/>
      <c r="X110" s="18"/>
      <c r="Y110" s="18"/>
      <c r="Z110" s="18"/>
    </row>
    <row r="111" spans="1:26" ht="14.25" customHeight="1" x14ac:dyDescent="0.35">
      <c r="A111" s="26"/>
      <c r="B111" s="26"/>
      <c r="C111" s="44"/>
      <c r="D111" s="44"/>
      <c r="E111" s="26"/>
      <c r="F111" s="26"/>
      <c r="G111" s="26"/>
      <c r="H111" s="26"/>
      <c r="I111" s="26"/>
      <c r="J111" s="26"/>
      <c r="K111" s="26"/>
      <c r="L111" s="26"/>
      <c r="M111" s="26"/>
      <c r="N111" s="25"/>
      <c r="O111" s="26"/>
      <c r="P111" s="26"/>
      <c r="Q111" s="26"/>
      <c r="R111" s="26"/>
      <c r="S111" s="26"/>
      <c r="T111" s="26"/>
      <c r="U111" s="26"/>
      <c r="V111" s="26"/>
      <c r="W111" s="26"/>
      <c r="X111" s="18"/>
      <c r="Y111" s="18"/>
      <c r="Z111" s="18"/>
    </row>
    <row r="112" spans="1:26" ht="14.25" customHeight="1" x14ac:dyDescent="0.35">
      <c r="A112" s="26"/>
      <c r="B112" s="26"/>
      <c r="C112" s="44"/>
      <c r="D112" s="44"/>
      <c r="E112" s="26"/>
      <c r="F112" s="26"/>
      <c r="G112" s="26"/>
      <c r="H112" s="26"/>
      <c r="I112" s="26"/>
      <c r="J112" s="26"/>
      <c r="K112" s="26"/>
      <c r="L112" s="26"/>
      <c r="M112" s="26"/>
      <c r="N112" s="25"/>
      <c r="O112" s="26"/>
      <c r="P112" s="26"/>
      <c r="Q112" s="26"/>
      <c r="R112" s="26"/>
      <c r="S112" s="26"/>
      <c r="T112" s="26"/>
      <c r="U112" s="26"/>
      <c r="V112" s="26"/>
      <c r="W112" s="26"/>
      <c r="X112" s="18"/>
      <c r="Y112" s="18"/>
      <c r="Z112" s="18"/>
    </row>
    <row r="113" spans="1:26" ht="14.25" customHeight="1" x14ac:dyDescent="0.35">
      <c r="A113" s="26"/>
      <c r="B113" s="26"/>
      <c r="C113" s="44"/>
      <c r="D113" s="44"/>
      <c r="E113" s="26"/>
      <c r="F113" s="26"/>
      <c r="G113" s="26"/>
      <c r="H113" s="26"/>
      <c r="I113" s="26"/>
      <c r="J113" s="26"/>
      <c r="K113" s="26"/>
      <c r="L113" s="26"/>
      <c r="M113" s="26"/>
      <c r="N113" s="25"/>
      <c r="O113" s="26"/>
      <c r="P113" s="26"/>
      <c r="Q113" s="26"/>
      <c r="R113" s="26"/>
      <c r="S113" s="26"/>
      <c r="T113" s="26"/>
      <c r="U113" s="26"/>
      <c r="V113" s="26"/>
      <c r="W113" s="26"/>
      <c r="X113" s="18"/>
      <c r="Y113" s="18"/>
      <c r="Z113" s="18"/>
    </row>
    <row r="114" spans="1:26" ht="14.25" customHeight="1" x14ac:dyDescent="0.35">
      <c r="A114" s="26"/>
      <c r="B114" s="26"/>
      <c r="C114" s="44"/>
      <c r="D114" s="44"/>
      <c r="E114" s="26"/>
      <c r="F114" s="26"/>
      <c r="G114" s="26"/>
      <c r="H114" s="26"/>
      <c r="I114" s="26"/>
      <c r="J114" s="26"/>
      <c r="K114" s="26"/>
      <c r="L114" s="26"/>
      <c r="M114" s="26"/>
      <c r="N114" s="25"/>
      <c r="O114" s="26"/>
      <c r="P114" s="26"/>
      <c r="Q114" s="26"/>
      <c r="R114" s="26"/>
      <c r="S114" s="26"/>
      <c r="T114" s="26"/>
      <c r="U114" s="26"/>
      <c r="V114" s="26"/>
      <c r="W114" s="26"/>
      <c r="X114" s="18"/>
      <c r="Y114" s="18"/>
      <c r="Z114" s="18"/>
    </row>
    <row r="115" spans="1:26" ht="14.25" customHeight="1" x14ac:dyDescent="0.35">
      <c r="A115" s="26"/>
      <c r="B115" s="26"/>
      <c r="C115" s="44"/>
      <c r="D115" s="44"/>
      <c r="E115" s="26"/>
      <c r="F115" s="26"/>
      <c r="G115" s="26"/>
      <c r="H115" s="26"/>
      <c r="I115" s="26"/>
      <c r="J115" s="26"/>
      <c r="K115" s="26"/>
      <c r="L115" s="26"/>
      <c r="M115" s="26"/>
      <c r="N115" s="25"/>
      <c r="O115" s="26"/>
      <c r="P115" s="26"/>
      <c r="Q115" s="26"/>
      <c r="R115" s="26"/>
      <c r="S115" s="26"/>
      <c r="T115" s="26"/>
      <c r="U115" s="26"/>
      <c r="V115" s="26"/>
      <c r="W115" s="26"/>
      <c r="X115" s="18"/>
      <c r="Y115" s="18"/>
      <c r="Z115" s="18"/>
    </row>
    <row r="116" spans="1:26" ht="14.25" customHeight="1" x14ac:dyDescent="0.35">
      <c r="A116" s="26"/>
      <c r="B116" s="26"/>
      <c r="C116" s="44"/>
      <c r="D116" s="44"/>
      <c r="E116" s="26"/>
      <c r="F116" s="26"/>
      <c r="G116" s="26"/>
      <c r="H116" s="26"/>
      <c r="I116" s="26"/>
      <c r="J116" s="26"/>
      <c r="K116" s="26"/>
      <c r="L116" s="26"/>
      <c r="M116" s="26"/>
      <c r="N116" s="25"/>
      <c r="O116" s="26"/>
      <c r="P116" s="26"/>
      <c r="Q116" s="26"/>
      <c r="R116" s="26"/>
      <c r="S116" s="26"/>
      <c r="T116" s="26"/>
      <c r="U116" s="26"/>
      <c r="V116" s="26"/>
      <c r="W116" s="26"/>
      <c r="X116" s="18"/>
      <c r="Y116" s="18"/>
      <c r="Z116" s="18"/>
    </row>
    <row r="117" spans="1:26" ht="14.25" customHeight="1" x14ac:dyDescent="0.35">
      <c r="A117" s="26"/>
      <c r="B117" s="26"/>
      <c r="C117" s="44"/>
      <c r="D117" s="44"/>
      <c r="E117" s="26"/>
      <c r="F117" s="26"/>
      <c r="G117" s="26"/>
      <c r="H117" s="26"/>
      <c r="I117" s="26"/>
      <c r="J117" s="26"/>
      <c r="K117" s="26"/>
      <c r="L117" s="26"/>
      <c r="M117" s="26"/>
      <c r="N117" s="25"/>
      <c r="O117" s="26"/>
      <c r="P117" s="26"/>
      <c r="Q117" s="26"/>
      <c r="R117" s="26"/>
      <c r="S117" s="26"/>
      <c r="T117" s="26"/>
      <c r="U117" s="26"/>
      <c r="V117" s="26"/>
      <c r="W117" s="26"/>
      <c r="X117" s="18"/>
      <c r="Y117" s="18"/>
      <c r="Z117" s="18"/>
    </row>
    <row r="118" spans="1:26" ht="14.25" customHeight="1" x14ac:dyDescent="0.35">
      <c r="A118" s="26"/>
      <c r="B118" s="26"/>
      <c r="C118" s="44"/>
      <c r="D118" s="44"/>
      <c r="E118" s="26"/>
      <c r="F118" s="26"/>
      <c r="G118" s="26"/>
      <c r="H118" s="26"/>
      <c r="I118" s="26"/>
      <c r="J118" s="26"/>
      <c r="K118" s="26"/>
      <c r="L118" s="26"/>
      <c r="M118" s="26"/>
      <c r="N118" s="25"/>
      <c r="O118" s="26"/>
      <c r="P118" s="26"/>
      <c r="Q118" s="26"/>
      <c r="R118" s="26"/>
      <c r="S118" s="26"/>
      <c r="T118" s="26"/>
      <c r="U118" s="26"/>
      <c r="V118" s="26"/>
      <c r="W118" s="26"/>
      <c r="X118" s="18"/>
      <c r="Y118" s="18"/>
      <c r="Z118" s="18"/>
    </row>
    <row r="119" spans="1:26" ht="14.25" customHeight="1" x14ac:dyDescent="0.35">
      <c r="A119" s="26"/>
      <c r="B119" s="26"/>
      <c r="C119" s="44"/>
      <c r="D119" s="44"/>
      <c r="E119" s="26"/>
      <c r="F119" s="26"/>
      <c r="G119" s="26"/>
      <c r="H119" s="26"/>
      <c r="I119" s="26"/>
      <c r="J119" s="26"/>
      <c r="K119" s="26"/>
      <c r="L119" s="26"/>
      <c r="M119" s="26"/>
      <c r="N119" s="25"/>
      <c r="O119" s="26"/>
      <c r="P119" s="26"/>
      <c r="Q119" s="26"/>
      <c r="R119" s="26"/>
      <c r="S119" s="26"/>
      <c r="T119" s="26"/>
      <c r="U119" s="26"/>
      <c r="V119" s="26"/>
      <c r="W119" s="26"/>
      <c r="X119" s="18"/>
      <c r="Y119" s="18"/>
      <c r="Z119" s="18"/>
    </row>
    <row r="120" spans="1:26" ht="14.25" customHeight="1" x14ac:dyDescent="0.35">
      <c r="A120" s="26"/>
      <c r="B120" s="26"/>
      <c r="C120" s="44"/>
      <c r="D120" s="44"/>
      <c r="E120" s="26"/>
      <c r="F120" s="26"/>
      <c r="G120" s="26"/>
      <c r="H120" s="26"/>
      <c r="I120" s="26"/>
      <c r="J120" s="26"/>
      <c r="K120" s="26"/>
      <c r="L120" s="26"/>
      <c r="M120" s="26"/>
      <c r="N120" s="25"/>
      <c r="O120" s="26"/>
      <c r="P120" s="26"/>
      <c r="Q120" s="26"/>
      <c r="R120" s="26"/>
      <c r="S120" s="26"/>
      <c r="T120" s="26"/>
      <c r="U120" s="26"/>
      <c r="V120" s="26"/>
      <c r="W120" s="26"/>
      <c r="X120" s="18"/>
      <c r="Y120" s="18"/>
      <c r="Z120" s="18"/>
    </row>
    <row r="121" spans="1:26" ht="14.25" customHeight="1" x14ac:dyDescent="0.35">
      <c r="A121" s="26"/>
      <c r="B121" s="26"/>
      <c r="C121" s="44"/>
      <c r="D121" s="44"/>
      <c r="E121" s="26"/>
      <c r="F121" s="26"/>
      <c r="G121" s="26"/>
      <c r="H121" s="26"/>
      <c r="I121" s="26"/>
      <c r="J121" s="26"/>
      <c r="K121" s="26"/>
      <c r="L121" s="26"/>
      <c r="M121" s="26"/>
      <c r="N121" s="25"/>
      <c r="O121" s="26"/>
      <c r="P121" s="26"/>
      <c r="Q121" s="26"/>
      <c r="R121" s="26"/>
      <c r="S121" s="26"/>
      <c r="T121" s="26"/>
      <c r="U121" s="26"/>
      <c r="V121" s="26"/>
      <c r="W121" s="26"/>
      <c r="X121" s="18"/>
      <c r="Y121" s="18"/>
      <c r="Z121" s="18"/>
    </row>
    <row r="122" spans="1:26" ht="14.25" customHeight="1" x14ac:dyDescent="0.35">
      <c r="A122" s="26"/>
      <c r="B122" s="26"/>
      <c r="C122" s="44"/>
      <c r="D122" s="44"/>
      <c r="E122" s="26"/>
      <c r="F122" s="26"/>
      <c r="G122" s="26"/>
      <c r="H122" s="26"/>
      <c r="I122" s="26"/>
      <c r="J122" s="26"/>
      <c r="K122" s="26"/>
      <c r="L122" s="26"/>
      <c r="M122" s="26"/>
      <c r="N122" s="25"/>
      <c r="O122" s="26"/>
      <c r="P122" s="26"/>
      <c r="Q122" s="26"/>
      <c r="R122" s="26"/>
      <c r="S122" s="26"/>
      <c r="T122" s="26"/>
      <c r="U122" s="26"/>
      <c r="V122" s="26"/>
      <c r="W122" s="26"/>
      <c r="X122" s="18"/>
      <c r="Y122" s="18"/>
      <c r="Z122" s="18"/>
    </row>
    <row r="123" spans="1:26" ht="14.25" customHeight="1" x14ac:dyDescent="0.35">
      <c r="A123" s="26"/>
      <c r="B123" s="26"/>
      <c r="C123" s="44"/>
      <c r="D123" s="44"/>
      <c r="E123" s="26"/>
      <c r="F123" s="26"/>
      <c r="G123" s="26"/>
      <c r="H123" s="26"/>
      <c r="I123" s="26"/>
      <c r="J123" s="26"/>
      <c r="K123" s="26"/>
      <c r="L123" s="26"/>
      <c r="M123" s="26"/>
      <c r="N123" s="25"/>
      <c r="O123" s="26"/>
      <c r="P123" s="26"/>
      <c r="Q123" s="26"/>
      <c r="R123" s="26"/>
      <c r="S123" s="26"/>
      <c r="T123" s="26"/>
      <c r="U123" s="26"/>
      <c r="V123" s="26"/>
      <c r="W123" s="26"/>
      <c r="X123" s="18"/>
      <c r="Y123" s="18"/>
      <c r="Z123" s="18"/>
    </row>
    <row r="124" spans="1:26" ht="14.25" customHeight="1" x14ac:dyDescent="0.35">
      <c r="A124" s="26"/>
      <c r="B124" s="26"/>
      <c r="C124" s="44"/>
      <c r="D124" s="44"/>
      <c r="E124" s="26"/>
      <c r="F124" s="26"/>
      <c r="G124" s="26"/>
      <c r="H124" s="26"/>
      <c r="I124" s="26"/>
      <c r="J124" s="26"/>
      <c r="K124" s="26"/>
      <c r="L124" s="26"/>
      <c r="M124" s="26"/>
      <c r="N124" s="25"/>
      <c r="O124" s="26"/>
      <c r="P124" s="26"/>
      <c r="Q124" s="26"/>
      <c r="R124" s="26"/>
      <c r="S124" s="26"/>
      <c r="T124" s="26"/>
      <c r="U124" s="26"/>
      <c r="V124" s="26"/>
      <c r="W124" s="26"/>
      <c r="X124" s="18"/>
      <c r="Y124" s="18"/>
      <c r="Z124" s="18"/>
    </row>
    <row r="125" spans="1:26" ht="14.25" customHeight="1" x14ac:dyDescent="0.35">
      <c r="A125" s="26"/>
      <c r="B125" s="26"/>
      <c r="C125" s="44"/>
      <c r="D125" s="44"/>
      <c r="E125" s="26"/>
      <c r="F125" s="26"/>
      <c r="G125" s="26"/>
      <c r="H125" s="26"/>
      <c r="I125" s="26"/>
      <c r="J125" s="26"/>
      <c r="K125" s="26"/>
      <c r="L125" s="26"/>
      <c r="M125" s="26"/>
      <c r="N125" s="25"/>
      <c r="O125" s="26"/>
      <c r="P125" s="26"/>
      <c r="Q125" s="26"/>
      <c r="R125" s="26"/>
      <c r="S125" s="26"/>
      <c r="T125" s="26"/>
      <c r="U125" s="26"/>
      <c r="V125" s="26"/>
      <c r="W125" s="26"/>
      <c r="X125" s="18"/>
      <c r="Y125" s="18"/>
      <c r="Z125" s="18"/>
    </row>
    <row r="126" spans="1:26" ht="14.25" customHeight="1" x14ac:dyDescent="0.35">
      <c r="A126" s="26"/>
      <c r="B126" s="26"/>
      <c r="C126" s="44"/>
      <c r="D126" s="44"/>
      <c r="E126" s="26"/>
      <c r="F126" s="26"/>
      <c r="G126" s="26"/>
      <c r="H126" s="26"/>
      <c r="I126" s="26"/>
      <c r="J126" s="26"/>
      <c r="K126" s="26"/>
      <c r="L126" s="26"/>
      <c r="M126" s="26"/>
      <c r="N126" s="25"/>
      <c r="O126" s="26"/>
      <c r="P126" s="26"/>
      <c r="Q126" s="26"/>
      <c r="R126" s="26"/>
      <c r="S126" s="26"/>
      <c r="T126" s="26"/>
      <c r="U126" s="26"/>
      <c r="V126" s="26"/>
      <c r="W126" s="26"/>
      <c r="X126" s="18"/>
      <c r="Y126" s="18"/>
      <c r="Z126" s="18"/>
    </row>
    <row r="127" spans="1:26" ht="14.25" customHeight="1" x14ac:dyDescent="0.35">
      <c r="A127" s="26"/>
      <c r="B127" s="26"/>
      <c r="C127" s="44"/>
      <c r="D127" s="44"/>
      <c r="E127" s="26"/>
      <c r="F127" s="26"/>
      <c r="G127" s="26"/>
      <c r="H127" s="26"/>
      <c r="I127" s="26"/>
      <c r="J127" s="26"/>
      <c r="K127" s="26"/>
      <c r="L127" s="26"/>
      <c r="M127" s="26"/>
      <c r="N127" s="25"/>
      <c r="O127" s="26"/>
      <c r="P127" s="26"/>
      <c r="Q127" s="26"/>
      <c r="R127" s="26"/>
      <c r="S127" s="26"/>
      <c r="T127" s="26"/>
      <c r="U127" s="26"/>
      <c r="V127" s="26"/>
      <c r="W127" s="26"/>
      <c r="X127" s="18"/>
      <c r="Y127" s="18"/>
      <c r="Z127" s="18"/>
    </row>
    <row r="128" spans="1:26" ht="14.25" customHeight="1" x14ac:dyDescent="0.35">
      <c r="A128" s="26"/>
      <c r="B128" s="26"/>
      <c r="C128" s="44"/>
      <c r="D128" s="44"/>
      <c r="E128" s="26"/>
      <c r="F128" s="26"/>
      <c r="G128" s="26"/>
      <c r="H128" s="26"/>
      <c r="I128" s="26"/>
      <c r="J128" s="26"/>
      <c r="K128" s="26"/>
      <c r="L128" s="26"/>
      <c r="M128" s="26"/>
      <c r="N128" s="25"/>
      <c r="O128" s="26"/>
      <c r="P128" s="26"/>
      <c r="Q128" s="26"/>
      <c r="R128" s="26"/>
      <c r="S128" s="26"/>
      <c r="T128" s="26"/>
      <c r="U128" s="26"/>
      <c r="V128" s="26"/>
      <c r="W128" s="26"/>
      <c r="X128" s="18"/>
      <c r="Y128" s="18"/>
      <c r="Z128" s="18"/>
    </row>
    <row r="129" spans="1:26" ht="14.25" customHeight="1" x14ac:dyDescent="0.35">
      <c r="A129" s="26"/>
      <c r="B129" s="26"/>
      <c r="C129" s="44"/>
      <c r="D129" s="44"/>
      <c r="E129" s="26"/>
      <c r="F129" s="26"/>
      <c r="G129" s="26"/>
      <c r="H129" s="26"/>
      <c r="I129" s="26"/>
      <c r="J129" s="26"/>
      <c r="K129" s="26"/>
      <c r="L129" s="26"/>
      <c r="M129" s="26"/>
      <c r="N129" s="25"/>
      <c r="O129" s="26"/>
      <c r="P129" s="26"/>
      <c r="Q129" s="26"/>
      <c r="R129" s="26"/>
      <c r="S129" s="26"/>
      <c r="T129" s="26"/>
      <c r="U129" s="26"/>
      <c r="V129" s="26"/>
      <c r="W129" s="26"/>
      <c r="X129" s="18"/>
      <c r="Y129" s="18"/>
      <c r="Z129" s="18"/>
    </row>
    <row r="130" spans="1:26" ht="14.25" customHeight="1" x14ac:dyDescent="0.35">
      <c r="A130" s="26"/>
      <c r="B130" s="26"/>
      <c r="C130" s="44"/>
      <c r="D130" s="44"/>
      <c r="E130" s="26"/>
      <c r="F130" s="26"/>
      <c r="G130" s="26"/>
      <c r="H130" s="26"/>
      <c r="I130" s="26"/>
      <c r="J130" s="26"/>
      <c r="K130" s="26"/>
      <c r="L130" s="26"/>
      <c r="M130" s="26"/>
      <c r="N130" s="25"/>
      <c r="O130" s="26"/>
      <c r="P130" s="26"/>
      <c r="Q130" s="26"/>
      <c r="R130" s="26"/>
      <c r="S130" s="26"/>
      <c r="T130" s="26"/>
      <c r="U130" s="26"/>
      <c r="V130" s="26"/>
      <c r="W130" s="26"/>
      <c r="X130" s="18"/>
      <c r="Y130" s="18"/>
      <c r="Z130" s="18"/>
    </row>
    <row r="131" spans="1:26" ht="14.25" customHeight="1" x14ac:dyDescent="0.35">
      <c r="A131" s="26"/>
      <c r="B131" s="26"/>
      <c r="C131" s="44"/>
      <c r="D131" s="44"/>
      <c r="E131" s="26"/>
      <c r="F131" s="26"/>
      <c r="G131" s="26"/>
      <c r="H131" s="26"/>
      <c r="I131" s="26"/>
      <c r="J131" s="26"/>
      <c r="K131" s="26"/>
      <c r="L131" s="26"/>
      <c r="M131" s="26"/>
      <c r="N131" s="25"/>
      <c r="O131" s="26"/>
      <c r="P131" s="26"/>
      <c r="Q131" s="26"/>
      <c r="R131" s="26"/>
      <c r="S131" s="26"/>
      <c r="T131" s="26"/>
      <c r="U131" s="26"/>
      <c r="V131" s="26"/>
      <c r="W131" s="26"/>
      <c r="X131" s="18"/>
      <c r="Y131" s="18"/>
      <c r="Z131" s="18"/>
    </row>
    <row r="132" spans="1:26" ht="14.25" customHeight="1" x14ac:dyDescent="0.35">
      <c r="A132" s="26"/>
      <c r="B132" s="26"/>
      <c r="C132" s="44"/>
      <c r="D132" s="44"/>
      <c r="E132" s="26"/>
      <c r="F132" s="26"/>
      <c r="G132" s="26"/>
      <c r="H132" s="26"/>
      <c r="I132" s="26"/>
      <c r="J132" s="26"/>
      <c r="K132" s="26"/>
      <c r="L132" s="26"/>
      <c r="M132" s="26"/>
      <c r="N132" s="25"/>
      <c r="O132" s="26"/>
      <c r="P132" s="26"/>
      <c r="Q132" s="26"/>
      <c r="R132" s="26"/>
      <c r="S132" s="26"/>
      <c r="T132" s="26"/>
      <c r="U132" s="26"/>
      <c r="V132" s="26"/>
      <c r="W132" s="26"/>
      <c r="X132" s="18"/>
      <c r="Y132" s="18"/>
      <c r="Z132" s="18"/>
    </row>
    <row r="133" spans="1:26" ht="14.25" customHeight="1" x14ac:dyDescent="0.35">
      <c r="A133" s="26"/>
      <c r="B133" s="26"/>
      <c r="C133" s="44"/>
      <c r="D133" s="44"/>
      <c r="E133" s="26"/>
      <c r="F133" s="26"/>
      <c r="G133" s="26"/>
      <c r="H133" s="26"/>
      <c r="I133" s="26"/>
      <c r="J133" s="26"/>
      <c r="K133" s="26"/>
      <c r="L133" s="26"/>
      <c r="M133" s="26"/>
      <c r="N133" s="25"/>
      <c r="O133" s="26"/>
      <c r="P133" s="26"/>
      <c r="Q133" s="26"/>
      <c r="R133" s="26"/>
      <c r="S133" s="26"/>
      <c r="T133" s="26"/>
      <c r="U133" s="26"/>
      <c r="V133" s="26"/>
      <c r="W133" s="26"/>
      <c r="X133" s="18"/>
      <c r="Y133" s="18"/>
      <c r="Z133" s="18"/>
    </row>
    <row r="134" spans="1:26" ht="14.25" customHeight="1" x14ac:dyDescent="0.35">
      <c r="A134" s="26"/>
      <c r="B134" s="26"/>
      <c r="C134" s="44"/>
      <c r="D134" s="44"/>
      <c r="E134" s="26"/>
      <c r="F134" s="26"/>
      <c r="G134" s="26"/>
      <c r="H134" s="26"/>
      <c r="I134" s="26"/>
      <c r="J134" s="26"/>
      <c r="K134" s="26"/>
      <c r="L134" s="26"/>
      <c r="M134" s="26"/>
      <c r="N134" s="25"/>
      <c r="O134" s="26"/>
      <c r="P134" s="26"/>
      <c r="Q134" s="26"/>
      <c r="R134" s="26"/>
      <c r="S134" s="26"/>
      <c r="T134" s="26"/>
      <c r="U134" s="26"/>
      <c r="V134" s="26"/>
      <c r="W134" s="26"/>
      <c r="X134" s="18"/>
      <c r="Y134" s="18"/>
      <c r="Z134" s="18"/>
    </row>
    <row r="135" spans="1:26" ht="14.25" customHeight="1" x14ac:dyDescent="0.35">
      <c r="A135" s="26"/>
      <c r="B135" s="26"/>
      <c r="C135" s="44"/>
      <c r="D135" s="44"/>
      <c r="E135" s="26"/>
      <c r="F135" s="26"/>
      <c r="G135" s="26"/>
      <c r="H135" s="26"/>
      <c r="I135" s="26"/>
      <c r="J135" s="26"/>
      <c r="K135" s="26"/>
      <c r="L135" s="26"/>
      <c r="M135" s="26"/>
      <c r="N135" s="25"/>
      <c r="O135" s="26"/>
      <c r="P135" s="26"/>
      <c r="Q135" s="26"/>
      <c r="R135" s="26"/>
      <c r="S135" s="26"/>
      <c r="T135" s="26"/>
      <c r="U135" s="26"/>
      <c r="V135" s="26"/>
      <c r="W135" s="26"/>
      <c r="X135" s="18"/>
      <c r="Y135" s="18"/>
      <c r="Z135" s="18"/>
    </row>
    <row r="136" spans="1:26" ht="14.25" customHeight="1" x14ac:dyDescent="0.35">
      <c r="A136" s="26"/>
      <c r="B136" s="26"/>
      <c r="C136" s="44"/>
      <c r="D136" s="44"/>
      <c r="E136" s="26"/>
      <c r="F136" s="26"/>
      <c r="G136" s="26"/>
      <c r="H136" s="26"/>
      <c r="I136" s="26"/>
      <c r="J136" s="26"/>
      <c r="K136" s="26"/>
      <c r="L136" s="26"/>
      <c r="M136" s="26"/>
      <c r="N136" s="25"/>
      <c r="O136" s="26"/>
      <c r="P136" s="26"/>
      <c r="Q136" s="26"/>
      <c r="R136" s="26"/>
      <c r="S136" s="26"/>
      <c r="T136" s="26"/>
      <c r="U136" s="26"/>
      <c r="V136" s="26"/>
      <c r="W136" s="26"/>
      <c r="X136" s="18"/>
      <c r="Y136" s="18"/>
      <c r="Z136" s="18"/>
    </row>
    <row r="137" spans="1:26" ht="14.25" customHeight="1" x14ac:dyDescent="0.35">
      <c r="A137" s="26"/>
      <c r="B137" s="26"/>
      <c r="C137" s="44"/>
      <c r="D137" s="44"/>
      <c r="E137" s="26"/>
      <c r="F137" s="26"/>
      <c r="G137" s="26"/>
      <c r="H137" s="26"/>
      <c r="I137" s="26"/>
      <c r="J137" s="26"/>
      <c r="K137" s="26"/>
      <c r="L137" s="26"/>
      <c r="M137" s="26"/>
      <c r="N137" s="25"/>
      <c r="O137" s="26"/>
      <c r="P137" s="26"/>
      <c r="Q137" s="26"/>
      <c r="R137" s="26"/>
      <c r="S137" s="26"/>
      <c r="T137" s="26"/>
      <c r="U137" s="26"/>
      <c r="V137" s="26"/>
      <c r="W137" s="26"/>
      <c r="X137" s="18"/>
      <c r="Y137" s="18"/>
      <c r="Z137" s="18"/>
    </row>
    <row r="138" spans="1:26" ht="14.25" customHeight="1" x14ac:dyDescent="0.35">
      <c r="A138" s="26"/>
      <c r="B138" s="26"/>
      <c r="C138" s="44"/>
      <c r="D138" s="44"/>
      <c r="E138" s="26"/>
      <c r="F138" s="26"/>
      <c r="G138" s="26"/>
      <c r="H138" s="26"/>
      <c r="I138" s="26"/>
      <c r="J138" s="26"/>
      <c r="K138" s="26"/>
      <c r="L138" s="26"/>
      <c r="M138" s="26"/>
      <c r="N138" s="25"/>
      <c r="O138" s="26"/>
      <c r="P138" s="26"/>
      <c r="Q138" s="26"/>
      <c r="R138" s="26"/>
      <c r="S138" s="26"/>
      <c r="T138" s="26"/>
      <c r="U138" s="26"/>
      <c r="V138" s="26"/>
      <c r="W138" s="26"/>
      <c r="X138" s="18"/>
      <c r="Y138" s="18"/>
      <c r="Z138" s="18"/>
    </row>
    <row r="139" spans="1:26" ht="14.25" customHeight="1" x14ac:dyDescent="0.35">
      <c r="A139" s="26"/>
      <c r="B139" s="26"/>
      <c r="C139" s="44"/>
      <c r="D139" s="44"/>
      <c r="E139" s="26"/>
      <c r="F139" s="26"/>
      <c r="G139" s="26"/>
      <c r="H139" s="26"/>
      <c r="I139" s="26"/>
      <c r="J139" s="26"/>
      <c r="K139" s="26"/>
      <c r="L139" s="26"/>
      <c r="M139" s="26"/>
      <c r="N139" s="25"/>
      <c r="O139" s="26"/>
      <c r="P139" s="26"/>
      <c r="Q139" s="26"/>
      <c r="R139" s="26"/>
      <c r="S139" s="26"/>
      <c r="T139" s="26"/>
      <c r="U139" s="26"/>
      <c r="V139" s="26"/>
      <c r="W139" s="26"/>
      <c r="X139" s="18"/>
      <c r="Y139" s="18"/>
      <c r="Z139" s="18"/>
    </row>
    <row r="140" spans="1:26" ht="14.25" customHeight="1" x14ac:dyDescent="0.35">
      <c r="A140" s="26"/>
      <c r="B140" s="26"/>
      <c r="C140" s="44"/>
      <c r="D140" s="44"/>
      <c r="E140" s="26"/>
      <c r="F140" s="26"/>
      <c r="G140" s="26"/>
      <c r="H140" s="26"/>
      <c r="I140" s="26"/>
      <c r="J140" s="26"/>
      <c r="K140" s="26"/>
      <c r="L140" s="26"/>
      <c r="M140" s="26"/>
      <c r="N140" s="25"/>
      <c r="O140" s="26"/>
      <c r="P140" s="26"/>
      <c r="Q140" s="26"/>
      <c r="R140" s="26"/>
      <c r="S140" s="26"/>
      <c r="T140" s="26"/>
      <c r="U140" s="26"/>
      <c r="V140" s="26"/>
      <c r="W140" s="26"/>
      <c r="X140" s="18"/>
      <c r="Y140" s="18"/>
      <c r="Z140" s="18"/>
    </row>
    <row r="141" spans="1:26" ht="14.25" customHeight="1" x14ac:dyDescent="0.35">
      <c r="A141" s="26"/>
      <c r="B141" s="26"/>
      <c r="C141" s="44"/>
      <c r="D141" s="44"/>
      <c r="E141" s="26"/>
      <c r="F141" s="26"/>
      <c r="G141" s="26"/>
      <c r="H141" s="26"/>
      <c r="I141" s="26"/>
      <c r="J141" s="26"/>
      <c r="K141" s="26"/>
      <c r="L141" s="26"/>
      <c r="M141" s="26"/>
      <c r="N141" s="25"/>
      <c r="O141" s="26"/>
      <c r="P141" s="26"/>
      <c r="Q141" s="26"/>
      <c r="R141" s="26"/>
      <c r="S141" s="26"/>
      <c r="T141" s="26"/>
      <c r="U141" s="26"/>
      <c r="V141" s="26"/>
      <c r="W141" s="26"/>
      <c r="X141" s="18"/>
      <c r="Y141" s="18"/>
      <c r="Z141" s="18"/>
    </row>
    <row r="142" spans="1:26" ht="14.25" customHeight="1" x14ac:dyDescent="0.35">
      <c r="A142" s="26"/>
      <c r="B142" s="26"/>
      <c r="C142" s="44"/>
      <c r="D142" s="44"/>
      <c r="E142" s="26"/>
      <c r="F142" s="26"/>
      <c r="G142" s="26"/>
      <c r="H142" s="26"/>
      <c r="I142" s="26"/>
      <c r="J142" s="26"/>
      <c r="K142" s="26"/>
      <c r="L142" s="26"/>
      <c r="M142" s="26"/>
      <c r="N142" s="25"/>
      <c r="O142" s="26"/>
      <c r="P142" s="26"/>
      <c r="Q142" s="26"/>
      <c r="R142" s="26"/>
      <c r="S142" s="26"/>
      <c r="T142" s="26"/>
      <c r="U142" s="26"/>
      <c r="V142" s="26"/>
      <c r="W142" s="26"/>
      <c r="X142" s="18"/>
      <c r="Y142" s="18"/>
      <c r="Z142" s="18"/>
    </row>
    <row r="143" spans="1:26" ht="14.25" customHeight="1" x14ac:dyDescent="0.35">
      <c r="A143" s="26"/>
      <c r="B143" s="26"/>
      <c r="C143" s="44"/>
      <c r="D143" s="44"/>
      <c r="E143" s="26"/>
      <c r="F143" s="26"/>
      <c r="G143" s="26"/>
      <c r="H143" s="26"/>
      <c r="I143" s="26"/>
      <c r="J143" s="26"/>
      <c r="K143" s="26"/>
      <c r="L143" s="26"/>
      <c r="M143" s="26"/>
      <c r="N143" s="25"/>
      <c r="O143" s="26"/>
      <c r="P143" s="26"/>
      <c r="Q143" s="26"/>
      <c r="R143" s="26"/>
      <c r="S143" s="26"/>
      <c r="T143" s="26"/>
      <c r="U143" s="26"/>
      <c r="V143" s="26"/>
      <c r="W143" s="26"/>
      <c r="X143" s="18"/>
      <c r="Y143" s="18"/>
      <c r="Z143" s="18"/>
    </row>
    <row r="144" spans="1:26" ht="14.25" customHeight="1" x14ac:dyDescent="0.35">
      <c r="A144" s="26"/>
      <c r="B144" s="26"/>
      <c r="C144" s="44"/>
      <c r="D144" s="44"/>
      <c r="E144" s="26"/>
      <c r="F144" s="26"/>
      <c r="G144" s="26"/>
      <c r="H144" s="26"/>
      <c r="I144" s="26"/>
      <c r="J144" s="26"/>
      <c r="K144" s="26"/>
      <c r="L144" s="26"/>
      <c r="M144" s="26"/>
      <c r="N144" s="25"/>
      <c r="O144" s="26"/>
      <c r="P144" s="26"/>
      <c r="Q144" s="26"/>
      <c r="R144" s="26"/>
      <c r="S144" s="26"/>
      <c r="T144" s="26"/>
      <c r="U144" s="26"/>
      <c r="V144" s="26"/>
      <c r="W144" s="26"/>
      <c r="X144" s="18"/>
      <c r="Y144" s="18"/>
      <c r="Z144" s="18"/>
    </row>
    <row r="145" spans="1:26" ht="14.25" customHeight="1" x14ac:dyDescent="0.35">
      <c r="A145" s="26"/>
      <c r="B145" s="26"/>
      <c r="C145" s="44"/>
      <c r="D145" s="44"/>
      <c r="E145" s="26"/>
      <c r="F145" s="26"/>
      <c r="G145" s="26"/>
      <c r="H145" s="26"/>
      <c r="I145" s="26"/>
      <c r="J145" s="26"/>
      <c r="K145" s="26"/>
      <c r="L145" s="26"/>
      <c r="M145" s="26"/>
      <c r="N145" s="25"/>
      <c r="O145" s="26"/>
      <c r="P145" s="26"/>
      <c r="Q145" s="26"/>
      <c r="R145" s="26"/>
      <c r="S145" s="26"/>
      <c r="T145" s="26"/>
      <c r="U145" s="26"/>
      <c r="V145" s="26"/>
      <c r="W145" s="26"/>
      <c r="X145" s="18"/>
      <c r="Y145" s="18"/>
      <c r="Z145" s="18"/>
    </row>
    <row r="146" spans="1:26" ht="14.25" customHeight="1" x14ac:dyDescent="0.35">
      <c r="A146" s="26"/>
      <c r="B146" s="26"/>
      <c r="C146" s="44"/>
      <c r="D146" s="44"/>
      <c r="E146" s="26"/>
      <c r="F146" s="26"/>
      <c r="G146" s="26"/>
      <c r="H146" s="26"/>
      <c r="I146" s="26"/>
      <c r="J146" s="26"/>
      <c r="K146" s="26"/>
      <c r="L146" s="26"/>
      <c r="M146" s="26"/>
      <c r="N146" s="25"/>
      <c r="O146" s="26"/>
      <c r="P146" s="26"/>
      <c r="Q146" s="26"/>
      <c r="R146" s="26"/>
      <c r="S146" s="26"/>
      <c r="T146" s="26"/>
      <c r="U146" s="26"/>
      <c r="V146" s="26"/>
      <c r="W146" s="26"/>
      <c r="X146" s="18"/>
      <c r="Y146" s="18"/>
      <c r="Z146" s="18"/>
    </row>
    <row r="147" spans="1:26" ht="14.25" customHeight="1" x14ac:dyDescent="0.35">
      <c r="A147" s="26"/>
      <c r="B147" s="26"/>
      <c r="C147" s="44"/>
      <c r="D147" s="44"/>
      <c r="E147" s="26"/>
      <c r="F147" s="26"/>
      <c r="G147" s="26"/>
      <c r="H147" s="26"/>
      <c r="I147" s="26"/>
      <c r="J147" s="26"/>
      <c r="K147" s="26"/>
      <c r="L147" s="26"/>
      <c r="M147" s="26"/>
      <c r="N147" s="25"/>
      <c r="O147" s="26"/>
      <c r="P147" s="26"/>
      <c r="Q147" s="26"/>
      <c r="R147" s="26"/>
      <c r="S147" s="26"/>
      <c r="T147" s="26"/>
      <c r="U147" s="26"/>
      <c r="V147" s="26"/>
      <c r="W147" s="26"/>
      <c r="X147" s="18"/>
      <c r="Y147" s="18"/>
      <c r="Z147" s="18"/>
    </row>
    <row r="148" spans="1:26" ht="14.25" customHeight="1" x14ac:dyDescent="0.35">
      <c r="A148" s="26"/>
      <c r="B148" s="26"/>
      <c r="C148" s="44"/>
      <c r="D148" s="44"/>
      <c r="E148" s="26"/>
      <c r="F148" s="26"/>
      <c r="G148" s="26"/>
      <c r="H148" s="26"/>
      <c r="I148" s="26"/>
      <c r="J148" s="26"/>
      <c r="K148" s="26"/>
      <c r="L148" s="26"/>
      <c r="M148" s="26"/>
      <c r="N148" s="25"/>
      <c r="O148" s="26"/>
      <c r="P148" s="26"/>
      <c r="Q148" s="26"/>
      <c r="R148" s="26"/>
      <c r="S148" s="26"/>
      <c r="T148" s="26"/>
      <c r="U148" s="26"/>
      <c r="V148" s="26"/>
      <c r="W148" s="26"/>
      <c r="X148" s="18"/>
      <c r="Y148" s="18"/>
      <c r="Z148" s="18"/>
    </row>
    <row r="149" spans="1:26" ht="14.25" customHeight="1" x14ac:dyDescent="0.35">
      <c r="A149" s="26"/>
      <c r="B149" s="26"/>
      <c r="C149" s="44"/>
      <c r="D149" s="44"/>
      <c r="E149" s="26"/>
      <c r="F149" s="26"/>
      <c r="G149" s="26"/>
      <c r="H149" s="26"/>
      <c r="I149" s="26"/>
      <c r="J149" s="26"/>
      <c r="K149" s="26"/>
      <c r="L149" s="26"/>
      <c r="M149" s="26"/>
      <c r="N149" s="25"/>
      <c r="O149" s="26"/>
      <c r="P149" s="26"/>
      <c r="Q149" s="26"/>
      <c r="R149" s="26"/>
      <c r="S149" s="26"/>
      <c r="T149" s="26"/>
      <c r="U149" s="26"/>
      <c r="V149" s="26"/>
      <c r="W149" s="26"/>
      <c r="X149" s="18"/>
      <c r="Y149" s="18"/>
      <c r="Z149" s="18"/>
    </row>
    <row r="150" spans="1:26" ht="14.25" customHeight="1" x14ac:dyDescent="0.35">
      <c r="A150" s="26"/>
      <c r="B150" s="26"/>
      <c r="C150" s="44"/>
      <c r="D150" s="44"/>
      <c r="E150" s="26"/>
      <c r="F150" s="26"/>
      <c r="G150" s="26"/>
      <c r="H150" s="26"/>
      <c r="I150" s="26"/>
      <c r="J150" s="26"/>
      <c r="K150" s="26"/>
      <c r="L150" s="26"/>
      <c r="M150" s="26"/>
      <c r="N150" s="25"/>
      <c r="O150" s="26"/>
      <c r="P150" s="26"/>
      <c r="Q150" s="26"/>
      <c r="R150" s="26"/>
      <c r="S150" s="26"/>
      <c r="T150" s="26"/>
      <c r="U150" s="26"/>
      <c r="V150" s="26"/>
      <c r="W150" s="26"/>
      <c r="X150" s="18"/>
      <c r="Y150" s="18"/>
      <c r="Z150" s="18"/>
    </row>
    <row r="151" spans="1:26" ht="14.25" customHeight="1" x14ac:dyDescent="0.35">
      <c r="A151" s="26"/>
      <c r="B151" s="26"/>
      <c r="C151" s="44"/>
      <c r="D151" s="44"/>
      <c r="E151" s="26"/>
      <c r="F151" s="26"/>
      <c r="G151" s="26"/>
      <c r="H151" s="26"/>
      <c r="I151" s="26"/>
      <c r="J151" s="26"/>
      <c r="K151" s="26"/>
      <c r="L151" s="26"/>
      <c r="M151" s="26"/>
      <c r="N151" s="25"/>
      <c r="O151" s="26"/>
      <c r="P151" s="26"/>
      <c r="Q151" s="26"/>
      <c r="R151" s="26"/>
      <c r="S151" s="26"/>
      <c r="T151" s="26"/>
      <c r="U151" s="26"/>
      <c r="V151" s="26"/>
      <c r="W151" s="26"/>
      <c r="X151" s="18"/>
      <c r="Y151" s="18"/>
      <c r="Z151" s="18"/>
    </row>
    <row r="152" spans="1:26" ht="14.25" customHeight="1" x14ac:dyDescent="0.35">
      <c r="A152" s="26"/>
      <c r="B152" s="26"/>
      <c r="C152" s="44"/>
      <c r="D152" s="44"/>
      <c r="E152" s="26"/>
      <c r="F152" s="26"/>
      <c r="G152" s="26"/>
      <c r="H152" s="26"/>
      <c r="I152" s="26"/>
      <c r="J152" s="26"/>
      <c r="K152" s="26"/>
      <c r="L152" s="26"/>
      <c r="M152" s="26"/>
      <c r="N152" s="25"/>
      <c r="O152" s="26"/>
      <c r="P152" s="26"/>
      <c r="Q152" s="26"/>
      <c r="R152" s="26"/>
      <c r="S152" s="26"/>
      <c r="T152" s="26"/>
      <c r="U152" s="26"/>
      <c r="V152" s="26"/>
      <c r="W152" s="26"/>
      <c r="X152" s="18"/>
      <c r="Y152" s="18"/>
      <c r="Z152" s="18"/>
    </row>
    <row r="153" spans="1:26" ht="14.25" customHeight="1" x14ac:dyDescent="0.35">
      <c r="A153" s="26"/>
      <c r="B153" s="26"/>
      <c r="C153" s="44"/>
      <c r="D153" s="44"/>
      <c r="E153" s="26"/>
      <c r="F153" s="26"/>
      <c r="G153" s="26"/>
      <c r="H153" s="26"/>
      <c r="I153" s="26"/>
      <c r="J153" s="26"/>
      <c r="K153" s="26"/>
      <c r="L153" s="26"/>
      <c r="M153" s="26"/>
      <c r="N153" s="25"/>
      <c r="O153" s="26"/>
      <c r="P153" s="26"/>
      <c r="Q153" s="26"/>
      <c r="R153" s="26"/>
      <c r="S153" s="26"/>
      <c r="T153" s="26"/>
      <c r="U153" s="26"/>
      <c r="V153" s="26"/>
      <c r="W153" s="26"/>
      <c r="X153" s="18"/>
      <c r="Y153" s="18"/>
      <c r="Z153" s="18"/>
    </row>
    <row r="154" spans="1:26" ht="14.25" customHeight="1" x14ac:dyDescent="0.35">
      <c r="A154" s="26"/>
      <c r="B154" s="26"/>
      <c r="C154" s="44"/>
      <c r="D154" s="44"/>
      <c r="E154" s="26"/>
      <c r="F154" s="26"/>
      <c r="G154" s="26"/>
      <c r="H154" s="26"/>
      <c r="I154" s="26"/>
      <c r="J154" s="26"/>
      <c r="K154" s="26"/>
      <c r="L154" s="26"/>
      <c r="M154" s="26"/>
      <c r="N154" s="25"/>
      <c r="O154" s="26"/>
      <c r="P154" s="26"/>
      <c r="Q154" s="26"/>
      <c r="R154" s="26"/>
      <c r="S154" s="26"/>
      <c r="T154" s="26"/>
      <c r="U154" s="26"/>
      <c r="V154" s="26"/>
      <c r="W154" s="26"/>
      <c r="X154" s="18"/>
      <c r="Y154" s="18"/>
      <c r="Z154" s="18"/>
    </row>
    <row r="155" spans="1:26" ht="14.25" customHeight="1" x14ac:dyDescent="0.35">
      <c r="A155" s="26"/>
      <c r="B155" s="26"/>
      <c r="C155" s="44"/>
      <c r="D155" s="44"/>
      <c r="E155" s="26"/>
      <c r="F155" s="26"/>
      <c r="G155" s="26"/>
      <c r="H155" s="26"/>
      <c r="I155" s="26"/>
      <c r="J155" s="26"/>
      <c r="K155" s="26"/>
      <c r="L155" s="26"/>
      <c r="M155" s="26"/>
      <c r="N155" s="25"/>
      <c r="O155" s="26"/>
      <c r="P155" s="26"/>
      <c r="Q155" s="26"/>
      <c r="R155" s="26"/>
      <c r="S155" s="26"/>
      <c r="T155" s="26"/>
      <c r="U155" s="26"/>
      <c r="V155" s="26"/>
      <c r="W155" s="26"/>
      <c r="X155" s="18"/>
      <c r="Y155" s="18"/>
      <c r="Z155" s="18"/>
    </row>
    <row r="156" spans="1:26" ht="14.25" customHeight="1" x14ac:dyDescent="0.35">
      <c r="A156" s="26"/>
      <c r="B156" s="26"/>
      <c r="C156" s="44"/>
      <c r="D156" s="44"/>
      <c r="E156" s="26"/>
      <c r="F156" s="26"/>
      <c r="G156" s="26"/>
      <c r="H156" s="26"/>
      <c r="I156" s="26"/>
      <c r="J156" s="26"/>
      <c r="K156" s="26"/>
      <c r="L156" s="26"/>
      <c r="M156" s="26"/>
      <c r="N156" s="25"/>
      <c r="O156" s="26"/>
      <c r="P156" s="26"/>
      <c r="Q156" s="26"/>
      <c r="R156" s="26"/>
      <c r="S156" s="26"/>
      <c r="T156" s="26"/>
      <c r="U156" s="26"/>
      <c r="V156" s="26"/>
      <c r="W156" s="26"/>
      <c r="X156" s="18"/>
      <c r="Y156" s="18"/>
      <c r="Z156" s="18"/>
    </row>
    <row r="157" spans="1:26" ht="14.25" customHeight="1" x14ac:dyDescent="0.35">
      <c r="A157" s="26"/>
      <c r="B157" s="26"/>
      <c r="C157" s="44"/>
      <c r="D157" s="44"/>
      <c r="E157" s="26"/>
      <c r="F157" s="26"/>
      <c r="G157" s="26"/>
      <c r="H157" s="26"/>
      <c r="I157" s="26"/>
      <c r="J157" s="26"/>
      <c r="K157" s="26"/>
      <c r="L157" s="26"/>
      <c r="M157" s="26"/>
      <c r="N157" s="25"/>
      <c r="O157" s="26"/>
      <c r="P157" s="26"/>
      <c r="Q157" s="26"/>
      <c r="R157" s="26"/>
      <c r="S157" s="26"/>
      <c r="T157" s="26"/>
      <c r="U157" s="26"/>
      <c r="V157" s="26"/>
      <c r="W157" s="26"/>
      <c r="X157" s="18"/>
      <c r="Y157" s="18"/>
      <c r="Z157" s="18"/>
    </row>
    <row r="158" spans="1:26" ht="13.5" customHeight="1" x14ac:dyDescent="0.35">
      <c r="A158" s="26"/>
      <c r="B158" s="26"/>
      <c r="C158" s="44"/>
      <c r="D158" s="44"/>
      <c r="E158" s="26"/>
      <c r="F158" s="26"/>
      <c r="G158" s="26"/>
      <c r="H158" s="26"/>
      <c r="I158" s="26"/>
      <c r="J158" s="26"/>
      <c r="K158" s="26"/>
      <c r="L158" s="26"/>
      <c r="M158" s="26"/>
      <c r="N158" s="25"/>
      <c r="O158" s="26"/>
      <c r="P158" s="26"/>
      <c r="Q158" s="26"/>
      <c r="R158" s="26"/>
      <c r="S158" s="26"/>
      <c r="T158" s="26"/>
      <c r="U158" s="26"/>
      <c r="V158" s="26"/>
      <c r="W158" s="26"/>
      <c r="X158" s="18"/>
      <c r="Y158" s="18"/>
      <c r="Z158" s="26"/>
    </row>
    <row r="159" spans="1:26" ht="13.5" customHeight="1" x14ac:dyDescent="0.35">
      <c r="A159" s="26"/>
      <c r="B159" s="26"/>
      <c r="C159" s="44"/>
      <c r="D159" s="44"/>
      <c r="E159" s="26"/>
      <c r="F159" s="26"/>
      <c r="G159" s="26"/>
      <c r="H159" s="26"/>
      <c r="I159" s="26"/>
      <c r="J159" s="26"/>
      <c r="K159" s="26"/>
      <c r="L159" s="26"/>
      <c r="M159" s="26"/>
      <c r="N159" s="25"/>
      <c r="O159" s="26"/>
      <c r="P159" s="26"/>
      <c r="Q159" s="26"/>
      <c r="R159" s="26"/>
      <c r="S159" s="26"/>
      <c r="T159" s="26"/>
      <c r="U159" s="26"/>
      <c r="V159" s="26"/>
      <c r="W159" s="26"/>
      <c r="X159" s="18"/>
      <c r="Y159" s="18"/>
      <c r="Z159" s="26"/>
    </row>
    <row r="160" spans="1:26" ht="13.5" customHeight="1" x14ac:dyDescent="0.35">
      <c r="A160" s="26"/>
      <c r="B160" s="26"/>
      <c r="C160" s="44"/>
      <c r="D160" s="44"/>
      <c r="E160" s="26"/>
      <c r="F160" s="26"/>
      <c r="G160" s="26"/>
      <c r="H160" s="26"/>
      <c r="I160" s="26"/>
      <c r="J160" s="26"/>
      <c r="K160" s="26"/>
      <c r="L160" s="26"/>
      <c r="M160" s="26"/>
      <c r="N160" s="25"/>
      <c r="O160" s="26"/>
      <c r="P160" s="26"/>
      <c r="Q160" s="26"/>
      <c r="R160" s="26"/>
      <c r="S160" s="26"/>
      <c r="T160" s="26"/>
      <c r="U160" s="26"/>
      <c r="V160" s="26"/>
      <c r="W160" s="26"/>
      <c r="X160" s="18"/>
      <c r="Y160" s="18"/>
      <c r="Z160" s="26"/>
    </row>
    <row r="161" spans="1:26" ht="13.5" customHeight="1" x14ac:dyDescent="0.35">
      <c r="A161" s="26"/>
      <c r="B161" s="26"/>
      <c r="C161" s="44"/>
      <c r="D161" s="44"/>
      <c r="E161" s="26"/>
      <c r="F161" s="26"/>
      <c r="G161" s="26"/>
      <c r="H161" s="26"/>
      <c r="I161" s="26"/>
      <c r="J161" s="26"/>
      <c r="K161" s="26"/>
      <c r="L161" s="26"/>
      <c r="M161" s="26"/>
      <c r="N161" s="25"/>
      <c r="O161" s="26"/>
      <c r="P161" s="26"/>
      <c r="Q161" s="26"/>
      <c r="R161" s="26"/>
      <c r="S161" s="26"/>
      <c r="T161" s="26"/>
      <c r="U161" s="26"/>
      <c r="V161" s="26"/>
      <c r="W161" s="26"/>
      <c r="X161" s="18"/>
      <c r="Y161" s="18"/>
      <c r="Z161" s="26"/>
    </row>
    <row r="162" spans="1:26" ht="13.5" customHeight="1" x14ac:dyDescent="0.35">
      <c r="A162" s="26"/>
      <c r="B162" s="26"/>
      <c r="C162" s="44"/>
      <c r="D162" s="44"/>
      <c r="E162" s="26"/>
      <c r="F162" s="26"/>
      <c r="G162" s="26"/>
      <c r="H162" s="26"/>
      <c r="I162" s="26"/>
      <c r="J162" s="26"/>
      <c r="K162" s="26"/>
      <c r="L162" s="26"/>
      <c r="M162" s="26"/>
      <c r="N162" s="25"/>
      <c r="O162" s="26"/>
      <c r="P162" s="26"/>
      <c r="Q162" s="26"/>
      <c r="R162" s="26"/>
      <c r="S162" s="26"/>
      <c r="T162" s="26"/>
      <c r="U162" s="26"/>
      <c r="V162" s="26"/>
      <c r="W162" s="26"/>
      <c r="X162" s="18"/>
      <c r="Y162" s="18"/>
      <c r="Z162" s="26"/>
    </row>
    <row r="163" spans="1:26" ht="13.5" customHeight="1" x14ac:dyDescent="0.35">
      <c r="A163" s="26"/>
      <c r="B163" s="26"/>
      <c r="C163" s="44"/>
      <c r="D163" s="44"/>
      <c r="E163" s="26"/>
      <c r="F163" s="26"/>
      <c r="G163" s="26"/>
      <c r="H163" s="26"/>
      <c r="I163" s="26"/>
      <c r="J163" s="26"/>
      <c r="K163" s="26"/>
      <c r="L163" s="26"/>
      <c r="M163" s="26"/>
      <c r="N163" s="25"/>
      <c r="O163" s="26"/>
      <c r="P163" s="26"/>
      <c r="Q163" s="26"/>
      <c r="R163" s="26"/>
      <c r="S163" s="26"/>
      <c r="T163" s="26"/>
      <c r="U163" s="26"/>
      <c r="V163" s="26"/>
      <c r="W163" s="26"/>
      <c r="X163" s="18"/>
      <c r="Y163" s="18"/>
      <c r="Z163" s="26"/>
    </row>
    <row r="164" spans="1:26" ht="13.5" customHeight="1" x14ac:dyDescent="0.35">
      <c r="A164" s="26"/>
      <c r="B164" s="26"/>
      <c r="C164" s="44"/>
      <c r="D164" s="44"/>
      <c r="E164" s="26"/>
      <c r="F164" s="26"/>
      <c r="G164" s="26"/>
      <c r="H164" s="26"/>
      <c r="I164" s="26"/>
      <c r="J164" s="26"/>
      <c r="K164" s="26"/>
      <c r="L164" s="26"/>
      <c r="M164" s="26"/>
      <c r="N164" s="25"/>
      <c r="O164" s="26"/>
      <c r="P164" s="26"/>
      <c r="Q164" s="26"/>
      <c r="R164" s="26"/>
      <c r="S164" s="26"/>
      <c r="T164" s="26"/>
      <c r="U164" s="26"/>
      <c r="V164" s="26"/>
      <c r="W164" s="26"/>
      <c r="X164" s="18"/>
      <c r="Y164" s="18"/>
      <c r="Z164" s="26"/>
    </row>
    <row r="165" spans="1:26" ht="13.5" customHeight="1" x14ac:dyDescent="0.35">
      <c r="A165" s="26"/>
      <c r="B165" s="26"/>
      <c r="C165" s="44"/>
      <c r="D165" s="44"/>
      <c r="E165" s="26"/>
      <c r="F165" s="26"/>
      <c r="G165" s="26"/>
      <c r="H165" s="26"/>
      <c r="I165" s="26"/>
      <c r="J165" s="26"/>
      <c r="K165" s="26"/>
      <c r="L165" s="26"/>
      <c r="M165" s="26"/>
      <c r="N165" s="25"/>
      <c r="O165" s="26"/>
      <c r="P165" s="26"/>
      <c r="Q165" s="26"/>
      <c r="R165" s="26"/>
      <c r="S165" s="26"/>
      <c r="T165" s="26"/>
      <c r="U165" s="26"/>
      <c r="V165" s="26"/>
      <c r="W165" s="26"/>
      <c r="X165" s="18"/>
      <c r="Y165" s="18"/>
      <c r="Z165" s="26"/>
    </row>
    <row r="166" spans="1:26" ht="13.5" customHeight="1" x14ac:dyDescent="0.35">
      <c r="A166" s="26"/>
      <c r="B166" s="26"/>
      <c r="C166" s="44"/>
      <c r="D166" s="44"/>
      <c r="E166" s="26"/>
      <c r="F166" s="26"/>
      <c r="G166" s="26"/>
      <c r="H166" s="26"/>
      <c r="I166" s="26"/>
      <c r="J166" s="26"/>
      <c r="K166" s="26"/>
      <c r="L166" s="26"/>
      <c r="M166" s="26"/>
      <c r="N166" s="25"/>
      <c r="O166" s="26"/>
      <c r="P166" s="26"/>
      <c r="Q166" s="26"/>
      <c r="R166" s="26"/>
      <c r="S166" s="26"/>
      <c r="T166" s="26"/>
      <c r="U166" s="26"/>
      <c r="V166" s="26"/>
      <c r="W166" s="26"/>
      <c r="X166" s="18"/>
      <c r="Y166" s="18"/>
      <c r="Z166" s="26"/>
    </row>
    <row r="167" spans="1:26" ht="13.5" customHeight="1" x14ac:dyDescent="0.35">
      <c r="A167" s="26"/>
      <c r="B167" s="26"/>
      <c r="C167" s="44"/>
      <c r="D167" s="44"/>
      <c r="E167" s="26"/>
      <c r="F167" s="26"/>
      <c r="G167" s="26"/>
      <c r="H167" s="26"/>
      <c r="I167" s="26"/>
      <c r="J167" s="26"/>
      <c r="K167" s="26"/>
      <c r="L167" s="26"/>
      <c r="M167" s="26"/>
      <c r="N167" s="25"/>
      <c r="O167" s="26"/>
      <c r="P167" s="26"/>
      <c r="Q167" s="26"/>
      <c r="R167" s="26"/>
      <c r="S167" s="26"/>
      <c r="T167" s="26"/>
      <c r="U167" s="26"/>
      <c r="V167" s="26"/>
      <c r="W167" s="26"/>
      <c r="X167" s="18"/>
      <c r="Y167" s="18"/>
      <c r="Z167" s="26"/>
    </row>
    <row r="168" spans="1:26" ht="13.5" customHeight="1" x14ac:dyDescent="0.35">
      <c r="A168" s="26"/>
      <c r="B168" s="26"/>
      <c r="C168" s="44"/>
      <c r="D168" s="44"/>
      <c r="E168" s="26"/>
      <c r="F168" s="26"/>
      <c r="G168" s="26"/>
      <c r="H168" s="26"/>
      <c r="I168" s="26"/>
      <c r="J168" s="26"/>
      <c r="K168" s="26"/>
      <c r="L168" s="26"/>
      <c r="M168" s="26"/>
      <c r="N168" s="25"/>
      <c r="O168" s="26"/>
      <c r="P168" s="26"/>
      <c r="Q168" s="26"/>
      <c r="R168" s="26"/>
      <c r="S168" s="26"/>
      <c r="T168" s="26"/>
      <c r="U168" s="26"/>
      <c r="V168" s="26"/>
      <c r="W168" s="26"/>
      <c r="X168" s="18"/>
      <c r="Y168" s="18"/>
      <c r="Z168" s="26"/>
    </row>
    <row r="169" spans="1:26" ht="13.5" customHeight="1" x14ac:dyDescent="0.35">
      <c r="A169" s="26"/>
      <c r="B169" s="26"/>
      <c r="C169" s="44"/>
      <c r="D169" s="44"/>
      <c r="E169" s="26"/>
      <c r="F169" s="26"/>
      <c r="G169" s="26"/>
      <c r="H169" s="26"/>
      <c r="I169" s="26"/>
      <c r="J169" s="26"/>
      <c r="K169" s="26"/>
      <c r="L169" s="26"/>
      <c r="M169" s="26"/>
      <c r="N169" s="25"/>
      <c r="O169" s="26"/>
      <c r="P169" s="26"/>
      <c r="Q169" s="26"/>
      <c r="R169" s="26"/>
      <c r="S169" s="26"/>
      <c r="T169" s="26"/>
      <c r="U169" s="26"/>
      <c r="V169" s="26"/>
      <c r="W169" s="26"/>
      <c r="X169" s="18"/>
      <c r="Y169" s="18"/>
      <c r="Z169" s="26"/>
    </row>
    <row r="170" spans="1:26" ht="13.5" customHeight="1" x14ac:dyDescent="0.35">
      <c r="A170" s="26"/>
      <c r="B170" s="26"/>
      <c r="C170" s="44"/>
      <c r="D170" s="44"/>
      <c r="E170" s="26"/>
      <c r="F170" s="26"/>
      <c r="G170" s="26"/>
      <c r="H170" s="26"/>
      <c r="I170" s="26"/>
      <c r="J170" s="26"/>
      <c r="K170" s="26"/>
      <c r="L170" s="26"/>
      <c r="M170" s="26"/>
      <c r="N170" s="25"/>
      <c r="O170" s="26"/>
      <c r="P170" s="26"/>
      <c r="Q170" s="26"/>
      <c r="R170" s="26"/>
      <c r="S170" s="26"/>
      <c r="T170" s="26"/>
      <c r="U170" s="26"/>
      <c r="V170" s="26"/>
      <c r="W170" s="26"/>
      <c r="X170" s="18"/>
      <c r="Y170" s="18"/>
      <c r="Z170" s="26"/>
    </row>
    <row r="171" spans="1:26" ht="13.5" customHeight="1" x14ac:dyDescent="0.35">
      <c r="A171" s="26"/>
      <c r="B171" s="26"/>
      <c r="C171" s="44"/>
      <c r="D171" s="44"/>
      <c r="E171" s="26"/>
      <c r="F171" s="26"/>
      <c r="G171" s="26"/>
      <c r="H171" s="26"/>
      <c r="I171" s="26"/>
      <c r="J171" s="26"/>
      <c r="K171" s="26"/>
      <c r="L171" s="26"/>
      <c r="M171" s="26"/>
      <c r="N171" s="25"/>
      <c r="O171" s="26"/>
      <c r="P171" s="26"/>
      <c r="Q171" s="26"/>
      <c r="R171" s="26"/>
      <c r="S171" s="26"/>
      <c r="T171" s="26"/>
      <c r="U171" s="26"/>
      <c r="V171" s="26"/>
      <c r="W171" s="26"/>
      <c r="X171" s="18"/>
      <c r="Y171" s="18"/>
      <c r="Z171" s="26"/>
    </row>
    <row r="172" spans="1:26" ht="13.5" customHeight="1" x14ac:dyDescent="0.35">
      <c r="A172" s="26"/>
      <c r="B172" s="26"/>
      <c r="C172" s="44"/>
      <c r="D172" s="44"/>
      <c r="E172" s="26"/>
      <c r="F172" s="26"/>
      <c r="G172" s="26"/>
      <c r="H172" s="26"/>
      <c r="I172" s="26"/>
      <c r="J172" s="26"/>
      <c r="K172" s="26"/>
      <c r="L172" s="26"/>
      <c r="M172" s="26"/>
      <c r="N172" s="25"/>
      <c r="O172" s="26"/>
      <c r="P172" s="26"/>
      <c r="Q172" s="26"/>
      <c r="R172" s="26"/>
      <c r="S172" s="26"/>
      <c r="T172" s="26"/>
      <c r="U172" s="26"/>
      <c r="V172" s="26"/>
      <c r="W172" s="26"/>
      <c r="X172" s="18"/>
      <c r="Y172" s="18"/>
      <c r="Z172" s="26"/>
    </row>
    <row r="173" spans="1:26" ht="13.5" customHeight="1" x14ac:dyDescent="0.35">
      <c r="A173" s="26"/>
      <c r="B173" s="26"/>
      <c r="C173" s="44"/>
      <c r="D173" s="44"/>
      <c r="E173" s="26"/>
      <c r="F173" s="26"/>
      <c r="G173" s="26"/>
      <c r="H173" s="26"/>
      <c r="I173" s="26"/>
      <c r="J173" s="26"/>
      <c r="K173" s="26"/>
      <c r="L173" s="26"/>
      <c r="M173" s="26"/>
      <c r="N173" s="25"/>
      <c r="O173" s="26"/>
      <c r="P173" s="26"/>
      <c r="Q173" s="26"/>
      <c r="R173" s="26"/>
      <c r="S173" s="26"/>
      <c r="T173" s="26"/>
      <c r="U173" s="26"/>
      <c r="V173" s="26"/>
      <c r="W173" s="26"/>
      <c r="X173" s="18"/>
      <c r="Y173" s="18"/>
      <c r="Z173" s="26"/>
    </row>
    <row r="174" spans="1:26" ht="13.5" customHeight="1" x14ac:dyDescent="0.35">
      <c r="A174" s="26"/>
      <c r="B174" s="26"/>
      <c r="C174" s="44"/>
      <c r="D174" s="44"/>
      <c r="E174" s="26"/>
      <c r="F174" s="26"/>
      <c r="G174" s="26"/>
      <c r="H174" s="26"/>
      <c r="I174" s="26"/>
      <c r="J174" s="26"/>
      <c r="K174" s="26"/>
      <c r="L174" s="26"/>
      <c r="M174" s="26"/>
      <c r="N174" s="25"/>
      <c r="O174" s="26"/>
      <c r="P174" s="26"/>
      <c r="Q174" s="26"/>
      <c r="R174" s="26"/>
      <c r="S174" s="26"/>
      <c r="T174" s="26"/>
      <c r="U174" s="26"/>
      <c r="V174" s="26"/>
      <c r="W174" s="26"/>
      <c r="X174" s="18"/>
      <c r="Y174" s="18"/>
      <c r="Z174" s="26"/>
    </row>
    <row r="175" spans="1:26" ht="13.5" customHeight="1" x14ac:dyDescent="0.35">
      <c r="A175" s="26"/>
      <c r="B175" s="26"/>
      <c r="C175" s="44"/>
      <c r="D175" s="44"/>
      <c r="E175" s="26"/>
      <c r="F175" s="26"/>
      <c r="G175" s="26"/>
      <c r="H175" s="26"/>
      <c r="I175" s="26"/>
      <c r="J175" s="26"/>
      <c r="K175" s="26"/>
      <c r="L175" s="26"/>
      <c r="M175" s="26"/>
      <c r="N175" s="25"/>
      <c r="O175" s="26"/>
      <c r="P175" s="26"/>
      <c r="Q175" s="26"/>
      <c r="R175" s="26"/>
      <c r="S175" s="26"/>
      <c r="T175" s="26"/>
      <c r="U175" s="26"/>
      <c r="V175" s="26"/>
      <c r="W175" s="26"/>
      <c r="X175" s="18"/>
      <c r="Y175" s="18"/>
      <c r="Z175" s="26"/>
    </row>
    <row r="176" spans="1:26" ht="13.5" customHeight="1" x14ac:dyDescent="0.35">
      <c r="A176" s="26"/>
      <c r="B176" s="26"/>
      <c r="C176" s="44"/>
      <c r="D176" s="44"/>
      <c r="E176" s="26"/>
      <c r="F176" s="26"/>
      <c r="G176" s="26"/>
      <c r="H176" s="26"/>
      <c r="I176" s="26"/>
      <c r="J176" s="26"/>
      <c r="K176" s="26"/>
      <c r="L176" s="26"/>
      <c r="M176" s="26"/>
      <c r="N176" s="25"/>
      <c r="O176" s="26"/>
      <c r="P176" s="26"/>
      <c r="Q176" s="26"/>
      <c r="R176" s="26"/>
      <c r="S176" s="26"/>
      <c r="T176" s="26"/>
      <c r="U176" s="26"/>
      <c r="V176" s="26"/>
      <c r="W176" s="26"/>
      <c r="X176" s="18"/>
      <c r="Y176" s="18"/>
      <c r="Z176" s="26"/>
    </row>
    <row r="177" spans="1:26" ht="13.5" customHeight="1" x14ac:dyDescent="0.35">
      <c r="A177" s="26"/>
      <c r="B177" s="26"/>
      <c r="C177" s="44"/>
      <c r="D177" s="44"/>
      <c r="E177" s="26"/>
      <c r="F177" s="26"/>
      <c r="G177" s="26"/>
      <c r="H177" s="26"/>
      <c r="I177" s="26"/>
      <c r="J177" s="26"/>
      <c r="K177" s="26"/>
      <c r="L177" s="26"/>
      <c r="M177" s="26"/>
      <c r="N177" s="25"/>
      <c r="O177" s="26"/>
      <c r="P177" s="26"/>
      <c r="Q177" s="26"/>
      <c r="R177" s="26"/>
      <c r="S177" s="26"/>
      <c r="T177" s="26"/>
      <c r="U177" s="26"/>
      <c r="V177" s="26"/>
      <c r="W177" s="26"/>
      <c r="X177" s="18"/>
      <c r="Y177" s="18"/>
      <c r="Z177" s="26"/>
    </row>
    <row r="178" spans="1:26" ht="13.5" customHeight="1" x14ac:dyDescent="0.35">
      <c r="A178" s="26"/>
      <c r="B178" s="26"/>
      <c r="C178" s="44"/>
      <c r="D178" s="44"/>
      <c r="E178" s="26"/>
      <c r="F178" s="26"/>
      <c r="G178" s="26"/>
      <c r="H178" s="26"/>
      <c r="I178" s="26"/>
      <c r="J178" s="26"/>
      <c r="K178" s="26"/>
      <c r="L178" s="26"/>
      <c r="M178" s="26"/>
      <c r="N178" s="25"/>
      <c r="O178" s="26"/>
      <c r="P178" s="26"/>
      <c r="Q178" s="26"/>
      <c r="R178" s="26"/>
      <c r="S178" s="26"/>
      <c r="T178" s="26"/>
      <c r="U178" s="26"/>
      <c r="V178" s="26"/>
      <c r="W178" s="26"/>
      <c r="X178" s="18"/>
      <c r="Y178" s="18"/>
      <c r="Z178" s="26"/>
    </row>
    <row r="179" spans="1:26" ht="13.5" customHeight="1" x14ac:dyDescent="0.35">
      <c r="A179" s="26"/>
      <c r="B179" s="26"/>
      <c r="C179" s="44"/>
      <c r="D179" s="44"/>
      <c r="E179" s="26"/>
      <c r="F179" s="26"/>
      <c r="G179" s="26"/>
      <c r="H179" s="26"/>
      <c r="I179" s="26"/>
      <c r="J179" s="26"/>
      <c r="K179" s="26"/>
      <c r="L179" s="26"/>
      <c r="M179" s="26"/>
      <c r="N179" s="25"/>
      <c r="O179" s="26"/>
      <c r="P179" s="26"/>
      <c r="Q179" s="26"/>
      <c r="R179" s="26"/>
      <c r="S179" s="26"/>
      <c r="T179" s="26"/>
      <c r="U179" s="26"/>
      <c r="V179" s="26"/>
      <c r="W179" s="26"/>
      <c r="X179" s="18"/>
      <c r="Y179" s="18"/>
      <c r="Z179" s="26"/>
    </row>
    <row r="180" spans="1:26" ht="13.5" customHeight="1" x14ac:dyDescent="0.35">
      <c r="A180" s="26"/>
      <c r="B180" s="26"/>
      <c r="C180" s="44"/>
      <c r="D180" s="44"/>
      <c r="E180" s="26"/>
      <c r="F180" s="26"/>
      <c r="G180" s="26"/>
      <c r="H180" s="26"/>
      <c r="I180" s="26"/>
      <c r="J180" s="26"/>
      <c r="K180" s="26"/>
      <c r="L180" s="26"/>
      <c r="M180" s="26"/>
      <c r="N180" s="25"/>
      <c r="O180" s="26"/>
      <c r="P180" s="26"/>
      <c r="Q180" s="26"/>
      <c r="R180" s="26"/>
      <c r="S180" s="26"/>
      <c r="T180" s="26"/>
      <c r="U180" s="26"/>
      <c r="V180" s="26"/>
      <c r="W180" s="26"/>
      <c r="X180" s="18"/>
      <c r="Y180" s="18"/>
      <c r="Z180" s="26"/>
    </row>
    <row r="181" spans="1:26" ht="13.5" customHeight="1" x14ac:dyDescent="0.35">
      <c r="A181" s="26"/>
      <c r="B181" s="26"/>
      <c r="C181" s="44"/>
      <c r="D181" s="44"/>
      <c r="E181" s="26"/>
      <c r="F181" s="26"/>
      <c r="G181" s="26"/>
      <c r="H181" s="26"/>
      <c r="I181" s="26"/>
      <c r="J181" s="26"/>
      <c r="K181" s="26"/>
      <c r="L181" s="26"/>
      <c r="M181" s="26"/>
      <c r="N181" s="25"/>
      <c r="O181" s="26"/>
      <c r="P181" s="26"/>
      <c r="Q181" s="26"/>
      <c r="R181" s="26"/>
      <c r="S181" s="26"/>
      <c r="T181" s="26"/>
      <c r="U181" s="26"/>
      <c r="V181" s="26"/>
      <c r="W181" s="26"/>
      <c r="X181" s="18"/>
      <c r="Y181" s="18"/>
      <c r="Z181" s="26"/>
    </row>
    <row r="182" spans="1:26" ht="13.5" customHeight="1" x14ac:dyDescent="0.35">
      <c r="A182" s="26"/>
      <c r="B182" s="26"/>
      <c r="C182" s="44"/>
      <c r="D182" s="44"/>
      <c r="E182" s="26"/>
      <c r="F182" s="26"/>
      <c r="G182" s="26"/>
      <c r="H182" s="26"/>
      <c r="I182" s="26"/>
      <c r="J182" s="26"/>
      <c r="K182" s="26"/>
      <c r="L182" s="26"/>
      <c r="M182" s="26"/>
      <c r="N182" s="25"/>
      <c r="O182" s="26"/>
      <c r="P182" s="26"/>
      <c r="Q182" s="26"/>
      <c r="R182" s="26"/>
      <c r="S182" s="26"/>
      <c r="T182" s="26"/>
      <c r="U182" s="26"/>
      <c r="V182" s="26"/>
      <c r="W182" s="26"/>
      <c r="X182" s="18"/>
      <c r="Y182" s="18"/>
      <c r="Z182" s="26"/>
    </row>
    <row r="183" spans="1:26" ht="13.5" customHeight="1" x14ac:dyDescent="0.35">
      <c r="A183" s="26"/>
      <c r="B183" s="26"/>
      <c r="C183" s="44"/>
      <c r="D183" s="44"/>
      <c r="E183" s="26"/>
      <c r="F183" s="26"/>
      <c r="G183" s="26"/>
      <c r="H183" s="26"/>
      <c r="I183" s="26"/>
      <c r="J183" s="26"/>
      <c r="K183" s="26"/>
      <c r="L183" s="26"/>
      <c r="M183" s="26"/>
      <c r="N183" s="25"/>
      <c r="O183" s="26"/>
      <c r="P183" s="26"/>
      <c r="Q183" s="26"/>
      <c r="R183" s="26"/>
      <c r="S183" s="26"/>
      <c r="T183" s="26"/>
      <c r="U183" s="26"/>
      <c r="V183" s="26"/>
      <c r="W183" s="26"/>
      <c r="X183" s="18"/>
      <c r="Y183" s="18"/>
      <c r="Z183" s="26"/>
    </row>
    <row r="184" spans="1:26" ht="13.5" customHeight="1" x14ac:dyDescent="0.35">
      <c r="A184" s="26"/>
      <c r="B184" s="26"/>
      <c r="C184" s="44"/>
      <c r="D184" s="44"/>
      <c r="E184" s="26"/>
      <c r="F184" s="26"/>
      <c r="G184" s="26"/>
      <c r="H184" s="26"/>
      <c r="I184" s="26"/>
      <c r="J184" s="26"/>
      <c r="K184" s="26"/>
      <c r="L184" s="26"/>
      <c r="M184" s="26"/>
      <c r="N184" s="25"/>
      <c r="O184" s="26"/>
      <c r="P184" s="26"/>
      <c r="Q184" s="26"/>
      <c r="R184" s="26"/>
      <c r="S184" s="26"/>
      <c r="T184" s="26"/>
      <c r="U184" s="26"/>
      <c r="V184" s="26"/>
      <c r="W184" s="26"/>
      <c r="X184" s="18"/>
      <c r="Y184" s="18"/>
      <c r="Z184" s="26"/>
    </row>
    <row r="185" spans="1:26" ht="13.5" customHeight="1" x14ac:dyDescent="0.35">
      <c r="A185" s="26"/>
      <c r="B185" s="26"/>
      <c r="C185" s="44"/>
      <c r="D185" s="44"/>
      <c r="E185" s="26"/>
      <c r="F185" s="26"/>
      <c r="G185" s="26"/>
      <c r="H185" s="26"/>
      <c r="I185" s="26"/>
      <c r="J185" s="26"/>
      <c r="K185" s="26"/>
      <c r="L185" s="26"/>
      <c r="M185" s="26"/>
      <c r="N185" s="25"/>
      <c r="O185" s="26"/>
      <c r="P185" s="26"/>
      <c r="Q185" s="26"/>
      <c r="R185" s="26"/>
      <c r="S185" s="26"/>
      <c r="T185" s="26"/>
      <c r="U185" s="26"/>
      <c r="V185" s="26"/>
      <c r="W185" s="26"/>
      <c r="X185" s="18"/>
      <c r="Y185" s="18"/>
      <c r="Z185" s="26"/>
    </row>
    <row r="186" spans="1:26" ht="13.5" customHeight="1" x14ac:dyDescent="0.35">
      <c r="A186" s="26"/>
      <c r="B186" s="26"/>
      <c r="C186" s="44"/>
      <c r="D186" s="44"/>
      <c r="E186" s="26"/>
      <c r="F186" s="26"/>
      <c r="G186" s="26"/>
      <c r="H186" s="26"/>
      <c r="I186" s="26"/>
      <c r="J186" s="26"/>
      <c r="K186" s="26"/>
      <c r="L186" s="26"/>
      <c r="M186" s="26"/>
      <c r="N186" s="25"/>
      <c r="O186" s="26"/>
      <c r="P186" s="26"/>
      <c r="Q186" s="26"/>
      <c r="R186" s="26"/>
      <c r="S186" s="26"/>
      <c r="T186" s="26"/>
      <c r="U186" s="26"/>
      <c r="V186" s="26"/>
      <c r="W186" s="26"/>
      <c r="X186" s="18"/>
      <c r="Y186" s="18"/>
      <c r="Z186" s="26"/>
    </row>
    <row r="187" spans="1:26" ht="13.5" customHeight="1" x14ac:dyDescent="0.35">
      <c r="A187" s="26"/>
      <c r="B187" s="26"/>
      <c r="C187" s="44"/>
      <c r="D187" s="44"/>
      <c r="E187" s="26"/>
      <c r="F187" s="26"/>
      <c r="G187" s="26"/>
      <c r="H187" s="26"/>
      <c r="I187" s="26"/>
      <c r="J187" s="26"/>
      <c r="K187" s="26"/>
      <c r="L187" s="26"/>
      <c r="M187" s="26"/>
      <c r="N187" s="25"/>
      <c r="O187" s="26"/>
      <c r="P187" s="26"/>
      <c r="Q187" s="26"/>
      <c r="R187" s="26"/>
      <c r="S187" s="26"/>
      <c r="T187" s="26"/>
      <c r="U187" s="26"/>
      <c r="V187" s="26"/>
      <c r="W187" s="26"/>
      <c r="X187" s="18"/>
      <c r="Y187" s="18"/>
      <c r="Z187" s="26"/>
    </row>
    <row r="188" spans="1:26" ht="13.5" customHeight="1" x14ac:dyDescent="0.35">
      <c r="A188" s="26"/>
      <c r="B188" s="26"/>
      <c r="C188" s="44"/>
      <c r="D188" s="44"/>
      <c r="E188" s="26"/>
      <c r="F188" s="26"/>
      <c r="G188" s="26"/>
      <c r="H188" s="26"/>
      <c r="I188" s="26"/>
      <c r="J188" s="26"/>
      <c r="K188" s="26"/>
      <c r="L188" s="26"/>
      <c r="M188" s="26"/>
      <c r="N188" s="25"/>
      <c r="O188" s="26"/>
      <c r="P188" s="26"/>
      <c r="Q188" s="26"/>
      <c r="R188" s="26"/>
      <c r="S188" s="26"/>
      <c r="T188" s="26"/>
      <c r="U188" s="26"/>
      <c r="V188" s="26"/>
      <c r="W188" s="26"/>
      <c r="X188" s="18"/>
      <c r="Y188" s="18"/>
      <c r="Z188" s="26"/>
    </row>
    <row r="189" spans="1:26" ht="13.5" customHeight="1" x14ac:dyDescent="0.35">
      <c r="A189" s="26"/>
      <c r="B189" s="26"/>
      <c r="C189" s="44"/>
      <c r="D189" s="44"/>
      <c r="E189" s="26"/>
      <c r="F189" s="26"/>
      <c r="G189" s="26"/>
      <c r="H189" s="26"/>
      <c r="I189" s="26"/>
      <c r="J189" s="26"/>
      <c r="K189" s="26"/>
      <c r="L189" s="26"/>
      <c r="M189" s="26"/>
      <c r="N189" s="25"/>
      <c r="O189" s="26"/>
      <c r="P189" s="26"/>
      <c r="Q189" s="26"/>
      <c r="R189" s="26"/>
      <c r="S189" s="26"/>
      <c r="T189" s="26"/>
      <c r="U189" s="26"/>
      <c r="V189" s="26"/>
      <c r="W189" s="26"/>
      <c r="X189" s="18"/>
      <c r="Y189" s="18"/>
      <c r="Z189" s="26"/>
    </row>
    <row r="190" spans="1:26" ht="13.5" customHeight="1" x14ac:dyDescent="0.35">
      <c r="A190" s="26"/>
      <c r="B190" s="26"/>
      <c r="C190" s="44"/>
      <c r="D190" s="44"/>
      <c r="E190" s="26"/>
      <c r="F190" s="26"/>
      <c r="G190" s="26"/>
      <c r="H190" s="26"/>
      <c r="I190" s="26"/>
      <c r="J190" s="26"/>
      <c r="K190" s="26"/>
      <c r="L190" s="26"/>
      <c r="M190" s="26"/>
      <c r="N190" s="25"/>
      <c r="O190" s="26"/>
      <c r="P190" s="26"/>
      <c r="Q190" s="26"/>
      <c r="R190" s="26"/>
      <c r="S190" s="26"/>
      <c r="T190" s="26"/>
      <c r="U190" s="26"/>
      <c r="V190" s="26"/>
      <c r="W190" s="26"/>
      <c r="X190" s="18"/>
      <c r="Y190" s="18"/>
      <c r="Z190" s="26"/>
    </row>
    <row r="191" spans="1:26" ht="13.5" customHeight="1" x14ac:dyDescent="0.35">
      <c r="A191" s="26"/>
      <c r="B191" s="26"/>
      <c r="C191" s="44"/>
      <c r="D191" s="44"/>
      <c r="E191" s="26"/>
      <c r="F191" s="26"/>
      <c r="G191" s="26"/>
      <c r="H191" s="26"/>
      <c r="I191" s="26"/>
      <c r="J191" s="26"/>
      <c r="K191" s="26"/>
      <c r="L191" s="26"/>
      <c r="M191" s="26"/>
      <c r="N191" s="25"/>
      <c r="O191" s="26"/>
      <c r="P191" s="26"/>
      <c r="Q191" s="26"/>
      <c r="R191" s="26"/>
      <c r="S191" s="26"/>
      <c r="T191" s="26"/>
      <c r="U191" s="26"/>
      <c r="V191" s="26"/>
      <c r="W191" s="26"/>
      <c r="X191" s="18"/>
      <c r="Y191" s="18"/>
      <c r="Z191" s="26"/>
    </row>
    <row r="192" spans="1:26" ht="13.5" customHeight="1" x14ac:dyDescent="0.35">
      <c r="A192" s="26"/>
      <c r="B192" s="26"/>
      <c r="C192" s="44"/>
      <c r="D192" s="44"/>
      <c r="E192" s="26"/>
      <c r="F192" s="26"/>
      <c r="G192" s="26"/>
      <c r="H192" s="26"/>
      <c r="I192" s="26"/>
      <c r="J192" s="26"/>
      <c r="K192" s="26"/>
      <c r="L192" s="26"/>
      <c r="M192" s="26"/>
      <c r="N192" s="25"/>
      <c r="O192" s="26"/>
      <c r="P192" s="26"/>
      <c r="Q192" s="26"/>
      <c r="R192" s="26"/>
      <c r="S192" s="26"/>
      <c r="T192" s="26"/>
      <c r="U192" s="26"/>
      <c r="V192" s="26"/>
      <c r="W192" s="26"/>
      <c r="X192" s="18"/>
      <c r="Y192" s="18"/>
      <c r="Z192" s="26"/>
    </row>
    <row r="193" spans="1:26" ht="13.5" customHeight="1" x14ac:dyDescent="0.35">
      <c r="A193" s="26"/>
      <c r="B193" s="26"/>
      <c r="C193" s="44"/>
      <c r="D193" s="44"/>
      <c r="E193" s="26"/>
      <c r="F193" s="26"/>
      <c r="G193" s="26"/>
      <c r="H193" s="26"/>
      <c r="I193" s="26"/>
      <c r="J193" s="26"/>
      <c r="K193" s="26"/>
      <c r="L193" s="26"/>
      <c r="M193" s="26"/>
      <c r="N193" s="25"/>
      <c r="O193" s="26"/>
      <c r="P193" s="26"/>
      <c r="Q193" s="26"/>
      <c r="R193" s="26"/>
      <c r="S193" s="26"/>
      <c r="T193" s="26"/>
      <c r="U193" s="26"/>
      <c r="V193" s="26"/>
      <c r="W193" s="26"/>
      <c r="X193" s="18"/>
      <c r="Y193" s="18"/>
      <c r="Z193" s="26"/>
    </row>
    <row r="194" spans="1:26" ht="13.5" customHeight="1" x14ac:dyDescent="0.35">
      <c r="A194" s="26"/>
      <c r="B194" s="26"/>
      <c r="C194" s="44"/>
      <c r="D194" s="44"/>
      <c r="E194" s="26"/>
      <c r="F194" s="26"/>
      <c r="G194" s="26"/>
      <c r="H194" s="26"/>
      <c r="I194" s="26"/>
      <c r="J194" s="26"/>
      <c r="K194" s="26"/>
      <c r="L194" s="26"/>
      <c r="M194" s="26"/>
      <c r="N194" s="25"/>
      <c r="O194" s="26"/>
      <c r="P194" s="26"/>
      <c r="Q194" s="26"/>
      <c r="R194" s="26"/>
      <c r="S194" s="26"/>
      <c r="T194" s="26"/>
      <c r="U194" s="26"/>
      <c r="V194" s="26"/>
      <c r="W194" s="26"/>
      <c r="X194" s="18"/>
      <c r="Y194" s="18"/>
      <c r="Z194" s="26"/>
    </row>
    <row r="195" spans="1:26" ht="13.5" customHeight="1" x14ac:dyDescent="0.35">
      <c r="A195" s="26"/>
      <c r="B195" s="26"/>
      <c r="C195" s="44"/>
      <c r="D195" s="44"/>
      <c r="E195" s="26"/>
      <c r="F195" s="26"/>
      <c r="G195" s="26"/>
      <c r="H195" s="26"/>
      <c r="I195" s="26"/>
      <c r="J195" s="26"/>
      <c r="K195" s="26"/>
      <c r="L195" s="26"/>
      <c r="M195" s="26"/>
      <c r="N195" s="25"/>
      <c r="O195" s="26"/>
      <c r="P195" s="26"/>
      <c r="Q195" s="26"/>
      <c r="R195" s="26"/>
      <c r="S195" s="26"/>
      <c r="T195" s="26"/>
      <c r="U195" s="26"/>
      <c r="V195" s="26"/>
      <c r="W195" s="26"/>
      <c r="X195" s="18"/>
      <c r="Y195" s="18"/>
      <c r="Z195" s="26"/>
    </row>
    <row r="196" spans="1:26" ht="13.5" customHeight="1" x14ac:dyDescent="0.35">
      <c r="A196" s="26"/>
      <c r="B196" s="26"/>
      <c r="C196" s="44"/>
      <c r="D196" s="44"/>
      <c r="E196" s="26"/>
      <c r="F196" s="26"/>
      <c r="G196" s="26"/>
      <c r="H196" s="26"/>
      <c r="I196" s="26"/>
      <c r="J196" s="26"/>
      <c r="K196" s="26"/>
      <c r="L196" s="26"/>
      <c r="M196" s="26"/>
      <c r="N196" s="25"/>
      <c r="O196" s="26"/>
      <c r="P196" s="26"/>
      <c r="Q196" s="26"/>
      <c r="R196" s="26"/>
      <c r="S196" s="26"/>
      <c r="T196" s="26"/>
      <c r="U196" s="26"/>
      <c r="V196" s="26"/>
      <c r="W196" s="26"/>
      <c r="X196" s="18"/>
      <c r="Y196" s="18"/>
      <c r="Z196" s="26"/>
    </row>
    <row r="197" spans="1:26" ht="13.5" customHeight="1" x14ac:dyDescent="0.35">
      <c r="A197" s="26"/>
      <c r="B197" s="26"/>
      <c r="C197" s="44"/>
      <c r="D197" s="44"/>
      <c r="E197" s="26"/>
      <c r="F197" s="26"/>
      <c r="G197" s="26"/>
      <c r="H197" s="26"/>
      <c r="I197" s="26"/>
      <c r="J197" s="26"/>
      <c r="K197" s="26"/>
      <c r="L197" s="26"/>
      <c r="M197" s="26"/>
      <c r="N197" s="25"/>
      <c r="O197" s="26"/>
      <c r="P197" s="26"/>
      <c r="Q197" s="26"/>
      <c r="R197" s="26"/>
      <c r="S197" s="26"/>
      <c r="T197" s="26"/>
      <c r="U197" s="26"/>
      <c r="V197" s="26"/>
      <c r="W197" s="26"/>
      <c r="X197" s="18"/>
      <c r="Y197" s="18"/>
      <c r="Z197" s="26"/>
    </row>
    <row r="198" spans="1:26" ht="13.5" customHeight="1" x14ac:dyDescent="0.35">
      <c r="A198" s="26"/>
      <c r="B198" s="26"/>
      <c r="C198" s="44"/>
      <c r="D198" s="44"/>
      <c r="E198" s="26"/>
      <c r="F198" s="26"/>
      <c r="G198" s="26"/>
      <c r="H198" s="26"/>
      <c r="I198" s="26"/>
      <c r="J198" s="26"/>
      <c r="K198" s="26"/>
      <c r="L198" s="26"/>
      <c r="M198" s="26"/>
      <c r="N198" s="25"/>
      <c r="O198" s="26"/>
      <c r="P198" s="26"/>
      <c r="Q198" s="26"/>
      <c r="R198" s="26"/>
      <c r="S198" s="26"/>
      <c r="T198" s="26"/>
      <c r="U198" s="26"/>
      <c r="V198" s="26"/>
      <c r="W198" s="26"/>
      <c r="X198" s="18"/>
      <c r="Y198" s="18"/>
      <c r="Z198" s="26"/>
    </row>
    <row r="199" spans="1:26" ht="13.5" customHeight="1" x14ac:dyDescent="0.35">
      <c r="A199" s="26"/>
      <c r="B199" s="26"/>
      <c r="C199" s="44"/>
      <c r="D199" s="44"/>
      <c r="E199" s="26"/>
      <c r="F199" s="26"/>
      <c r="G199" s="26"/>
      <c r="H199" s="26"/>
      <c r="I199" s="26"/>
      <c r="J199" s="26"/>
      <c r="K199" s="26"/>
      <c r="L199" s="26"/>
      <c r="M199" s="26"/>
      <c r="N199" s="25"/>
      <c r="O199" s="26"/>
      <c r="P199" s="26"/>
      <c r="Q199" s="26"/>
      <c r="R199" s="26"/>
      <c r="S199" s="26"/>
      <c r="T199" s="26"/>
      <c r="U199" s="26"/>
      <c r="V199" s="26"/>
      <c r="W199" s="26"/>
      <c r="X199" s="18"/>
      <c r="Y199" s="18"/>
      <c r="Z199" s="26"/>
    </row>
    <row r="200" spans="1:26" ht="13.5" customHeight="1" x14ac:dyDescent="0.35">
      <c r="A200" s="26"/>
      <c r="B200" s="26"/>
      <c r="C200" s="44"/>
      <c r="D200" s="44"/>
      <c r="E200" s="26"/>
      <c r="F200" s="26"/>
      <c r="G200" s="26"/>
      <c r="H200" s="26"/>
      <c r="I200" s="26"/>
      <c r="J200" s="26"/>
      <c r="K200" s="26"/>
      <c r="L200" s="26"/>
      <c r="M200" s="26"/>
      <c r="N200" s="25"/>
      <c r="O200" s="26"/>
      <c r="P200" s="26"/>
      <c r="Q200" s="26"/>
      <c r="R200" s="26"/>
      <c r="S200" s="26"/>
      <c r="T200" s="26"/>
      <c r="U200" s="26"/>
      <c r="V200" s="26"/>
      <c r="W200" s="26"/>
      <c r="X200" s="18"/>
      <c r="Y200" s="18"/>
      <c r="Z200" s="26"/>
    </row>
    <row r="201" spans="1:26" ht="13.5" customHeight="1" x14ac:dyDescent="0.35">
      <c r="A201" s="26"/>
      <c r="B201" s="26"/>
      <c r="C201" s="44"/>
      <c r="D201" s="44"/>
      <c r="E201" s="26"/>
      <c r="F201" s="26"/>
      <c r="G201" s="26"/>
      <c r="H201" s="26"/>
      <c r="I201" s="26"/>
      <c r="J201" s="26"/>
      <c r="K201" s="26"/>
      <c r="L201" s="26"/>
      <c r="M201" s="26"/>
      <c r="N201" s="25"/>
      <c r="O201" s="26"/>
      <c r="P201" s="26"/>
      <c r="Q201" s="26"/>
      <c r="R201" s="26"/>
      <c r="S201" s="26"/>
      <c r="T201" s="26"/>
      <c r="U201" s="26"/>
      <c r="V201" s="26"/>
      <c r="W201" s="26"/>
      <c r="X201" s="18"/>
      <c r="Y201" s="18"/>
      <c r="Z201" s="26"/>
    </row>
    <row r="202" spans="1:26" ht="13.5" customHeight="1" x14ac:dyDescent="0.35">
      <c r="A202" s="26"/>
      <c r="B202" s="26"/>
      <c r="C202" s="44"/>
      <c r="D202" s="44"/>
      <c r="E202" s="26"/>
      <c r="F202" s="26"/>
      <c r="G202" s="26"/>
      <c r="H202" s="26"/>
      <c r="I202" s="26"/>
      <c r="J202" s="26"/>
      <c r="K202" s="26"/>
      <c r="L202" s="26"/>
      <c r="M202" s="26"/>
      <c r="N202" s="25"/>
      <c r="O202" s="26"/>
      <c r="P202" s="26"/>
      <c r="Q202" s="26"/>
      <c r="R202" s="26"/>
      <c r="S202" s="26"/>
      <c r="T202" s="26"/>
      <c r="U202" s="26"/>
      <c r="V202" s="26"/>
      <c r="W202" s="26"/>
      <c r="X202" s="18"/>
      <c r="Y202" s="18"/>
      <c r="Z202" s="26"/>
    </row>
    <row r="203" spans="1:26" ht="13.5" customHeight="1" x14ac:dyDescent="0.35">
      <c r="A203" s="26"/>
      <c r="B203" s="26"/>
      <c r="C203" s="44"/>
      <c r="D203" s="44"/>
      <c r="E203" s="26"/>
      <c r="F203" s="26"/>
      <c r="G203" s="26"/>
      <c r="H203" s="26"/>
      <c r="I203" s="26"/>
      <c r="J203" s="26"/>
      <c r="K203" s="26"/>
      <c r="L203" s="26"/>
      <c r="M203" s="26"/>
      <c r="N203" s="25"/>
      <c r="O203" s="26"/>
      <c r="P203" s="26"/>
      <c r="Q203" s="26"/>
      <c r="R203" s="26"/>
      <c r="S203" s="26"/>
      <c r="T203" s="26"/>
      <c r="U203" s="26"/>
      <c r="V203" s="26"/>
      <c r="W203" s="26"/>
      <c r="X203" s="18"/>
      <c r="Y203" s="18"/>
      <c r="Z203" s="26"/>
    </row>
    <row r="204" spans="1:26" ht="13.5" customHeight="1" x14ac:dyDescent="0.35">
      <c r="A204" s="26"/>
      <c r="B204" s="26"/>
      <c r="C204" s="44"/>
      <c r="D204" s="44"/>
      <c r="E204" s="26"/>
      <c r="F204" s="26"/>
      <c r="G204" s="26"/>
      <c r="H204" s="26"/>
      <c r="I204" s="26"/>
      <c r="J204" s="26"/>
      <c r="K204" s="26"/>
      <c r="L204" s="26"/>
      <c r="M204" s="26"/>
      <c r="N204" s="25"/>
      <c r="O204" s="26"/>
      <c r="P204" s="26"/>
      <c r="Q204" s="26"/>
      <c r="R204" s="26"/>
      <c r="S204" s="26"/>
      <c r="T204" s="26"/>
      <c r="U204" s="26"/>
      <c r="V204" s="26"/>
      <c r="W204" s="26"/>
      <c r="X204" s="18"/>
      <c r="Y204" s="18"/>
      <c r="Z204" s="26"/>
    </row>
    <row r="205" spans="1:26" ht="13.5" customHeight="1" x14ac:dyDescent="0.35">
      <c r="A205" s="26"/>
      <c r="B205" s="26"/>
      <c r="C205" s="44"/>
      <c r="D205" s="44"/>
      <c r="E205" s="26"/>
      <c r="F205" s="26"/>
      <c r="G205" s="26"/>
      <c r="H205" s="26"/>
      <c r="I205" s="26"/>
      <c r="J205" s="26"/>
      <c r="K205" s="26"/>
      <c r="L205" s="26"/>
      <c r="M205" s="26"/>
      <c r="N205" s="25"/>
      <c r="O205" s="26"/>
      <c r="P205" s="26"/>
      <c r="Q205" s="26"/>
      <c r="R205" s="26"/>
      <c r="S205" s="26"/>
      <c r="T205" s="26"/>
      <c r="U205" s="26"/>
      <c r="V205" s="26"/>
      <c r="W205" s="26"/>
      <c r="X205" s="18"/>
      <c r="Y205" s="18"/>
      <c r="Z205" s="26"/>
    </row>
    <row r="206" spans="1:26" ht="13.5" customHeight="1" x14ac:dyDescent="0.35">
      <c r="A206" s="26"/>
      <c r="B206" s="26"/>
      <c r="C206" s="44"/>
      <c r="D206" s="44"/>
      <c r="E206" s="26"/>
      <c r="F206" s="26"/>
      <c r="G206" s="26"/>
      <c r="H206" s="26"/>
      <c r="I206" s="26"/>
      <c r="J206" s="26"/>
      <c r="K206" s="26"/>
      <c r="L206" s="26"/>
      <c r="M206" s="26"/>
      <c r="N206" s="25"/>
      <c r="O206" s="26"/>
      <c r="P206" s="26"/>
      <c r="Q206" s="26"/>
      <c r="R206" s="26"/>
      <c r="S206" s="26"/>
      <c r="T206" s="26"/>
      <c r="U206" s="26"/>
      <c r="V206" s="26"/>
      <c r="W206" s="26"/>
      <c r="X206" s="18"/>
      <c r="Y206" s="18"/>
      <c r="Z206" s="26"/>
    </row>
    <row r="207" spans="1:26" ht="13.5" customHeight="1" x14ac:dyDescent="0.35">
      <c r="A207" s="26"/>
      <c r="B207" s="26"/>
      <c r="C207" s="44"/>
      <c r="D207" s="44"/>
      <c r="E207" s="26"/>
      <c r="F207" s="26"/>
      <c r="G207" s="26"/>
      <c r="H207" s="26"/>
      <c r="I207" s="26"/>
      <c r="J207" s="26"/>
      <c r="K207" s="26"/>
      <c r="L207" s="26"/>
      <c r="M207" s="26"/>
      <c r="N207" s="25"/>
      <c r="O207" s="26"/>
      <c r="P207" s="26"/>
      <c r="Q207" s="26"/>
      <c r="R207" s="26"/>
      <c r="S207" s="26"/>
      <c r="T207" s="26"/>
      <c r="U207" s="26"/>
      <c r="V207" s="26"/>
      <c r="W207" s="26"/>
      <c r="X207" s="18"/>
      <c r="Y207" s="18"/>
      <c r="Z207" s="26"/>
    </row>
    <row r="208" spans="1:26" ht="13.5" customHeight="1" x14ac:dyDescent="0.35">
      <c r="A208" s="26"/>
      <c r="B208" s="26"/>
      <c r="C208" s="44"/>
      <c r="D208" s="44"/>
      <c r="E208" s="26"/>
      <c r="F208" s="26"/>
      <c r="G208" s="26"/>
      <c r="H208" s="26"/>
      <c r="I208" s="26"/>
      <c r="J208" s="26"/>
      <c r="K208" s="26"/>
      <c r="L208" s="26"/>
      <c r="M208" s="26"/>
      <c r="N208" s="25"/>
      <c r="O208" s="26"/>
      <c r="P208" s="26"/>
      <c r="Q208" s="26"/>
      <c r="R208" s="26"/>
      <c r="S208" s="26"/>
      <c r="T208" s="26"/>
      <c r="U208" s="26"/>
      <c r="V208" s="26"/>
      <c r="W208" s="26"/>
      <c r="X208" s="18"/>
      <c r="Y208" s="18"/>
      <c r="Z208" s="26"/>
    </row>
    <row r="209" spans="1:26" ht="13.5" customHeight="1" x14ac:dyDescent="0.35">
      <c r="A209" s="26"/>
      <c r="B209" s="26"/>
      <c r="C209" s="44"/>
      <c r="D209" s="44"/>
      <c r="E209" s="26"/>
      <c r="F209" s="26"/>
      <c r="G209" s="26"/>
      <c r="H209" s="26"/>
      <c r="I209" s="26"/>
      <c r="J209" s="26"/>
      <c r="K209" s="26"/>
      <c r="L209" s="26"/>
      <c r="M209" s="26"/>
      <c r="N209" s="25"/>
      <c r="O209" s="26"/>
      <c r="P209" s="26"/>
      <c r="Q209" s="26"/>
      <c r="R209" s="26"/>
      <c r="S209" s="26"/>
      <c r="T209" s="26"/>
      <c r="U209" s="26"/>
      <c r="V209" s="26"/>
      <c r="W209" s="26"/>
      <c r="X209" s="18"/>
      <c r="Y209" s="18"/>
      <c r="Z209" s="26"/>
    </row>
    <row r="210" spans="1:26" ht="13.5" customHeight="1" x14ac:dyDescent="0.35">
      <c r="A210" s="26"/>
      <c r="B210" s="26"/>
      <c r="C210" s="44"/>
      <c r="D210" s="44"/>
      <c r="E210" s="26"/>
      <c r="F210" s="26"/>
      <c r="G210" s="26"/>
      <c r="H210" s="26"/>
      <c r="I210" s="26"/>
      <c r="J210" s="26"/>
      <c r="K210" s="26"/>
      <c r="L210" s="26"/>
      <c r="M210" s="26"/>
      <c r="N210" s="25"/>
      <c r="O210" s="26"/>
      <c r="P210" s="26"/>
      <c r="Q210" s="26"/>
      <c r="R210" s="26"/>
      <c r="S210" s="26"/>
      <c r="T210" s="26"/>
      <c r="U210" s="26"/>
      <c r="V210" s="26"/>
      <c r="W210" s="26"/>
      <c r="X210" s="18"/>
      <c r="Y210" s="18"/>
      <c r="Z210" s="26"/>
    </row>
    <row r="211" spans="1:26" ht="13.5" customHeight="1" x14ac:dyDescent="0.35">
      <c r="A211" s="26"/>
      <c r="B211" s="26"/>
      <c r="C211" s="44"/>
      <c r="D211" s="44"/>
      <c r="E211" s="26"/>
      <c r="F211" s="26"/>
      <c r="G211" s="26"/>
      <c r="H211" s="26"/>
      <c r="I211" s="26"/>
      <c r="J211" s="26"/>
      <c r="K211" s="26"/>
      <c r="L211" s="26"/>
      <c r="M211" s="26"/>
      <c r="N211" s="25"/>
      <c r="O211" s="26"/>
      <c r="P211" s="26"/>
      <c r="Q211" s="26"/>
      <c r="R211" s="26"/>
      <c r="S211" s="26"/>
      <c r="T211" s="26"/>
      <c r="U211" s="26"/>
      <c r="V211" s="26"/>
      <c r="W211" s="26"/>
      <c r="X211" s="18"/>
      <c r="Y211" s="18"/>
      <c r="Z211" s="26"/>
    </row>
    <row r="212" spans="1:26" ht="13.5" customHeight="1" x14ac:dyDescent="0.35">
      <c r="A212" s="26"/>
      <c r="B212" s="26"/>
      <c r="C212" s="44"/>
      <c r="D212" s="44"/>
      <c r="E212" s="26"/>
      <c r="F212" s="26"/>
      <c r="G212" s="26"/>
      <c r="H212" s="26"/>
      <c r="I212" s="26"/>
      <c r="J212" s="26"/>
      <c r="K212" s="26"/>
      <c r="L212" s="26"/>
      <c r="M212" s="26"/>
      <c r="N212" s="25"/>
      <c r="O212" s="26"/>
      <c r="P212" s="26"/>
      <c r="Q212" s="26"/>
      <c r="R212" s="26"/>
      <c r="S212" s="26"/>
      <c r="T212" s="26"/>
      <c r="U212" s="26"/>
      <c r="V212" s="26"/>
      <c r="W212" s="26"/>
      <c r="X212" s="18"/>
      <c r="Y212" s="18"/>
      <c r="Z212" s="26"/>
    </row>
    <row r="213" spans="1:26" ht="13.5" customHeight="1" x14ac:dyDescent="0.35">
      <c r="A213" s="26"/>
      <c r="B213" s="26"/>
      <c r="C213" s="44"/>
      <c r="D213" s="44"/>
      <c r="E213" s="26"/>
      <c r="F213" s="26"/>
      <c r="G213" s="26"/>
      <c r="H213" s="26"/>
      <c r="I213" s="26"/>
      <c r="J213" s="26"/>
      <c r="K213" s="26"/>
      <c r="L213" s="26"/>
      <c r="M213" s="26"/>
      <c r="N213" s="25"/>
      <c r="O213" s="26"/>
      <c r="P213" s="26"/>
      <c r="Q213" s="26"/>
      <c r="R213" s="26"/>
      <c r="S213" s="26"/>
      <c r="T213" s="26"/>
      <c r="U213" s="26"/>
      <c r="V213" s="26"/>
      <c r="W213" s="26"/>
      <c r="X213" s="18"/>
      <c r="Y213" s="18"/>
      <c r="Z213" s="26"/>
    </row>
    <row r="214" spans="1:26" ht="13.5" customHeight="1" x14ac:dyDescent="0.35">
      <c r="A214" s="26"/>
      <c r="B214" s="26"/>
      <c r="C214" s="44"/>
      <c r="D214" s="44"/>
      <c r="E214" s="26"/>
      <c r="F214" s="26"/>
      <c r="G214" s="26"/>
      <c r="H214" s="26"/>
      <c r="I214" s="26"/>
      <c r="J214" s="26"/>
      <c r="K214" s="26"/>
      <c r="L214" s="26"/>
      <c r="M214" s="26"/>
      <c r="N214" s="25"/>
      <c r="O214" s="26"/>
      <c r="P214" s="26"/>
      <c r="Q214" s="26"/>
      <c r="R214" s="26"/>
      <c r="S214" s="26"/>
      <c r="T214" s="26"/>
      <c r="U214" s="26"/>
      <c r="V214" s="26"/>
      <c r="W214" s="26"/>
      <c r="X214" s="18"/>
      <c r="Y214" s="18"/>
      <c r="Z214" s="26"/>
    </row>
    <row r="215" spans="1:26" ht="13.5" customHeight="1" x14ac:dyDescent="0.35">
      <c r="A215" s="26"/>
      <c r="B215" s="26"/>
      <c r="C215" s="44"/>
      <c r="D215" s="44"/>
      <c r="E215" s="26"/>
      <c r="F215" s="26"/>
      <c r="G215" s="26"/>
      <c r="H215" s="26"/>
      <c r="I215" s="26"/>
      <c r="J215" s="26"/>
      <c r="K215" s="26"/>
      <c r="L215" s="26"/>
      <c r="M215" s="26"/>
      <c r="N215" s="25"/>
      <c r="O215" s="26"/>
      <c r="P215" s="26"/>
      <c r="Q215" s="26"/>
      <c r="R215" s="26"/>
      <c r="S215" s="26"/>
      <c r="T215" s="26"/>
      <c r="U215" s="26"/>
      <c r="V215" s="26"/>
      <c r="W215" s="26"/>
      <c r="X215" s="18"/>
      <c r="Y215" s="18"/>
      <c r="Z215" s="26"/>
    </row>
    <row r="216" spans="1:26" ht="13.5" customHeight="1" x14ac:dyDescent="0.35">
      <c r="A216" s="26"/>
      <c r="B216" s="26"/>
      <c r="C216" s="44"/>
      <c r="D216" s="44"/>
      <c r="E216" s="26"/>
      <c r="F216" s="26"/>
      <c r="G216" s="26"/>
      <c r="H216" s="26"/>
      <c r="I216" s="26"/>
      <c r="J216" s="26"/>
      <c r="K216" s="26"/>
      <c r="L216" s="26"/>
      <c r="M216" s="26"/>
      <c r="N216" s="25"/>
      <c r="O216" s="26"/>
      <c r="P216" s="26"/>
      <c r="Q216" s="26"/>
      <c r="R216" s="26"/>
      <c r="S216" s="26"/>
      <c r="T216" s="26"/>
      <c r="U216" s="26"/>
      <c r="V216" s="26"/>
      <c r="W216" s="26"/>
      <c r="X216" s="18"/>
      <c r="Y216" s="18"/>
      <c r="Z216" s="26"/>
    </row>
    <row r="217" spans="1:26" ht="13.5" customHeight="1" x14ac:dyDescent="0.35">
      <c r="A217" s="26"/>
      <c r="B217" s="26"/>
      <c r="C217" s="44"/>
      <c r="D217" s="44"/>
      <c r="E217" s="26"/>
      <c r="F217" s="26"/>
      <c r="G217" s="26"/>
      <c r="H217" s="26"/>
      <c r="I217" s="26"/>
      <c r="J217" s="26"/>
      <c r="K217" s="26"/>
      <c r="L217" s="26"/>
      <c r="M217" s="26"/>
      <c r="N217" s="25"/>
      <c r="O217" s="26"/>
      <c r="P217" s="26"/>
      <c r="Q217" s="26"/>
      <c r="R217" s="26"/>
      <c r="S217" s="26"/>
      <c r="T217" s="26"/>
      <c r="U217" s="26"/>
      <c r="V217" s="26"/>
      <c r="W217" s="26"/>
      <c r="X217" s="18"/>
      <c r="Y217" s="18"/>
      <c r="Z217" s="26"/>
    </row>
    <row r="218" spans="1:26" ht="13.5" customHeight="1" x14ac:dyDescent="0.35">
      <c r="A218" s="26"/>
      <c r="B218" s="26"/>
      <c r="C218" s="44"/>
      <c r="D218" s="44"/>
      <c r="E218" s="26"/>
      <c r="F218" s="26"/>
      <c r="G218" s="26"/>
      <c r="H218" s="26"/>
      <c r="I218" s="26"/>
      <c r="J218" s="26"/>
      <c r="K218" s="26"/>
      <c r="L218" s="26"/>
      <c r="M218" s="26"/>
      <c r="N218" s="25"/>
      <c r="O218" s="26"/>
      <c r="P218" s="26"/>
      <c r="Q218" s="26"/>
      <c r="R218" s="26"/>
      <c r="S218" s="26"/>
      <c r="T218" s="26"/>
      <c r="U218" s="26"/>
      <c r="V218" s="26"/>
      <c r="W218" s="26"/>
      <c r="X218" s="18"/>
      <c r="Y218" s="18"/>
      <c r="Z218" s="26"/>
    </row>
    <row r="219" spans="1:26" ht="13.5" customHeight="1" x14ac:dyDescent="0.35">
      <c r="A219" s="26"/>
      <c r="B219" s="26"/>
      <c r="C219" s="44"/>
      <c r="D219" s="44"/>
      <c r="E219" s="26"/>
      <c r="F219" s="26"/>
      <c r="G219" s="26"/>
      <c r="H219" s="26"/>
      <c r="I219" s="26"/>
      <c r="J219" s="26"/>
      <c r="K219" s="26"/>
      <c r="L219" s="26"/>
      <c r="M219" s="26"/>
      <c r="N219" s="25"/>
      <c r="O219" s="26"/>
      <c r="P219" s="26"/>
      <c r="Q219" s="26"/>
      <c r="R219" s="26"/>
      <c r="S219" s="26"/>
      <c r="T219" s="26"/>
      <c r="U219" s="26"/>
      <c r="V219" s="26"/>
      <c r="W219" s="26"/>
      <c r="X219" s="18"/>
      <c r="Y219" s="18"/>
      <c r="Z219" s="26"/>
    </row>
    <row r="220" spans="1:26" ht="13.5" customHeight="1" x14ac:dyDescent="0.35">
      <c r="A220" s="26"/>
      <c r="B220" s="26"/>
      <c r="C220" s="44"/>
      <c r="D220" s="44"/>
      <c r="E220" s="26"/>
      <c r="F220" s="26"/>
      <c r="G220" s="26"/>
      <c r="H220" s="26"/>
      <c r="I220" s="26"/>
      <c r="J220" s="26"/>
      <c r="K220" s="26"/>
      <c r="L220" s="26"/>
      <c r="M220" s="26"/>
      <c r="N220" s="25"/>
      <c r="O220" s="26"/>
      <c r="P220" s="26"/>
      <c r="Q220" s="26"/>
      <c r="R220" s="26"/>
      <c r="S220" s="26"/>
      <c r="T220" s="26"/>
      <c r="U220" s="26"/>
      <c r="V220" s="26"/>
      <c r="W220" s="26"/>
      <c r="X220" s="18"/>
      <c r="Y220" s="18"/>
      <c r="Z220" s="26"/>
    </row>
    <row r="221" spans="1:26" ht="15.75" customHeight="1" x14ac:dyDescent="0.35">
      <c r="A221" s="4"/>
      <c r="B221" s="4"/>
      <c r="F221" s="4"/>
      <c r="O221" s="4"/>
      <c r="P221" s="4"/>
      <c r="S221" s="4"/>
      <c r="T221" s="4"/>
      <c r="W221" s="4"/>
    </row>
    <row r="222" spans="1:26" ht="15.75" customHeight="1" x14ac:dyDescent="0.35">
      <c r="A222" s="4"/>
      <c r="B222" s="4"/>
      <c r="F222" s="4"/>
      <c r="O222" s="4"/>
      <c r="P222" s="4"/>
      <c r="S222" s="4"/>
      <c r="T222" s="4"/>
      <c r="W222" s="4"/>
    </row>
    <row r="223" spans="1:26" ht="15.75" customHeight="1" x14ac:dyDescent="0.35">
      <c r="A223" s="4"/>
      <c r="B223" s="4"/>
      <c r="F223" s="4"/>
      <c r="O223" s="4"/>
      <c r="P223" s="4"/>
      <c r="S223" s="4"/>
      <c r="T223" s="4"/>
      <c r="W223" s="4"/>
    </row>
    <row r="224" spans="1:26" ht="15.75" customHeight="1" x14ac:dyDescent="0.35">
      <c r="A224" s="4"/>
      <c r="B224" s="4"/>
      <c r="F224" s="4"/>
      <c r="O224" s="4"/>
      <c r="P224" s="4"/>
      <c r="S224" s="4"/>
      <c r="T224" s="4"/>
      <c r="W224" s="4"/>
    </row>
    <row r="225" spans="1:23" ht="15.75" customHeight="1" x14ac:dyDescent="0.35">
      <c r="A225" s="4"/>
      <c r="B225" s="4"/>
      <c r="F225" s="4"/>
      <c r="O225" s="4"/>
      <c r="P225" s="4"/>
      <c r="S225" s="4"/>
      <c r="T225" s="4"/>
      <c r="W225" s="4"/>
    </row>
    <row r="226" spans="1:23" ht="15.75" customHeight="1" x14ac:dyDescent="0.35">
      <c r="A226" s="4"/>
      <c r="B226" s="4"/>
      <c r="F226" s="4"/>
      <c r="O226" s="4"/>
      <c r="P226" s="4"/>
      <c r="S226" s="4"/>
      <c r="T226" s="4"/>
      <c r="W226" s="4"/>
    </row>
    <row r="227" spans="1:23" ht="15.75" customHeight="1" x14ac:dyDescent="0.35">
      <c r="A227" s="4"/>
      <c r="B227" s="4"/>
      <c r="F227" s="4"/>
      <c r="O227" s="4"/>
      <c r="P227" s="4"/>
      <c r="S227" s="4"/>
      <c r="T227" s="4"/>
      <c r="W227" s="4"/>
    </row>
    <row r="228" spans="1:23" ht="15.75" customHeight="1" x14ac:dyDescent="0.35">
      <c r="A228" s="4"/>
      <c r="B228" s="4"/>
      <c r="F228" s="4"/>
      <c r="O228" s="4"/>
      <c r="P228" s="4"/>
      <c r="S228" s="4"/>
      <c r="T228" s="4"/>
      <c r="W228" s="4"/>
    </row>
    <row r="229" spans="1:23" ht="15.75" customHeight="1" x14ac:dyDescent="0.35">
      <c r="A229" s="4"/>
      <c r="B229" s="4"/>
      <c r="F229" s="4"/>
      <c r="O229" s="4"/>
      <c r="P229" s="4"/>
      <c r="S229" s="4"/>
      <c r="T229" s="4"/>
      <c r="W229" s="4"/>
    </row>
    <row r="230" spans="1:23" ht="15.75" customHeight="1" x14ac:dyDescent="0.35">
      <c r="A230" s="4"/>
      <c r="B230" s="4"/>
      <c r="F230" s="4"/>
      <c r="O230" s="4"/>
      <c r="P230" s="4"/>
      <c r="S230" s="4"/>
      <c r="T230" s="4"/>
      <c r="W230" s="4"/>
    </row>
    <row r="231" spans="1:23" ht="15.75" customHeight="1" x14ac:dyDescent="0.35">
      <c r="A231" s="4"/>
      <c r="B231" s="4"/>
      <c r="F231" s="4"/>
      <c r="O231" s="4"/>
      <c r="P231" s="4"/>
      <c r="S231" s="4"/>
      <c r="T231" s="4"/>
      <c r="W231" s="4"/>
    </row>
    <row r="232" spans="1:23" ht="15.75" customHeight="1" x14ac:dyDescent="0.35">
      <c r="A232" s="4"/>
      <c r="B232" s="4"/>
      <c r="F232" s="4"/>
      <c r="O232" s="4"/>
      <c r="P232" s="4"/>
      <c r="S232" s="4"/>
      <c r="T232" s="4"/>
      <c r="W232" s="4"/>
    </row>
    <row r="233" spans="1:23" ht="15.75" customHeight="1" x14ac:dyDescent="0.35">
      <c r="A233" s="4"/>
      <c r="B233" s="4"/>
      <c r="F233" s="4"/>
      <c r="O233" s="4"/>
      <c r="P233" s="4"/>
      <c r="S233" s="4"/>
      <c r="T233" s="4"/>
      <c r="W233" s="4"/>
    </row>
    <row r="234" spans="1:23" ht="15.75" customHeight="1" x14ac:dyDescent="0.35">
      <c r="A234" s="4"/>
      <c r="B234" s="4"/>
      <c r="F234" s="4"/>
      <c r="O234" s="4"/>
      <c r="P234" s="4"/>
      <c r="S234" s="4"/>
      <c r="T234" s="4"/>
      <c r="W234" s="4"/>
    </row>
    <row r="235" spans="1:23" ht="15.75" customHeight="1" x14ac:dyDescent="0.35">
      <c r="A235" s="4"/>
      <c r="B235" s="4"/>
      <c r="F235" s="4"/>
      <c r="O235" s="4"/>
      <c r="P235" s="4"/>
      <c r="S235" s="4"/>
      <c r="T235" s="4"/>
      <c r="W235" s="4"/>
    </row>
    <row r="236" spans="1:23" ht="15.75" customHeight="1" x14ac:dyDescent="0.35">
      <c r="A236" s="4"/>
      <c r="B236" s="4"/>
      <c r="F236" s="4"/>
      <c r="O236" s="4"/>
      <c r="P236" s="4"/>
      <c r="S236" s="4"/>
      <c r="T236" s="4"/>
      <c r="W236" s="4"/>
    </row>
    <row r="237" spans="1:23" ht="15.75" customHeight="1" x14ac:dyDescent="0.35">
      <c r="A237" s="4"/>
      <c r="B237" s="4"/>
      <c r="F237" s="4"/>
      <c r="O237" s="4"/>
      <c r="P237" s="4"/>
      <c r="S237" s="4"/>
      <c r="T237" s="4"/>
      <c r="W237" s="4"/>
    </row>
    <row r="238" spans="1:23" ht="15.75" customHeight="1" x14ac:dyDescent="0.35">
      <c r="A238" s="4"/>
      <c r="B238" s="4"/>
      <c r="F238" s="4"/>
      <c r="O238" s="4"/>
      <c r="P238" s="4"/>
      <c r="S238" s="4"/>
      <c r="T238" s="4"/>
      <c r="W238" s="4"/>
    </row>
    <row r="239" spans="1:23" ht="15.75" customHeight="1" x14ac:dyDescent="0.35">
      <c r="A239" s="4"/>
      <c r="B239" s="4"/>
      <c r="F239" s="4"/>
      <c r="O239" s="4"/>
      <c r="P239" s="4"/>
      <c r="S239" s="4"/>
      <c r="T239" s="4"/>
      <c r="W239" s="4"/>
    </row>
    <row r="240" spans="1:23" ht="15.75" customHeight="1" x14ac:dyDescent="0.35">
      <c r="A240" s="4"/>
      <c r="B240" s="4"/>
      <c r="F240" s="4"/>
      <c r="O240" s="4"/>
      <c r="P240" s="4"/>
      <c r="S240" s="4"/>
      <c r="T240" s="4"/>
      <c r="W240" s="4"/>
    </row>
    <row r="241" spans="1:23" ht="15.75" customHeight="1" x14ac:dyDescent="0.35">
      <c r="A241" s="4"/>
      <c r="B241" s="4"/>
      <c r="F241" s="4"/>
      <c r="O241" s="4"/>
      <c r="P241" s="4"/>
      <c r="S241" s="4"/>
      <c r="T241" s="4"/>
      <c r="W241" s="4"/>
    </row>
    <row r="242" spans="1:23" ht="15.75" customHeight="1" x14ac:dyDescent="0.35">
      <c r="A242" s="4"/>
      <c r="B242" s="4"/>
      <c r="F242" s="4"/>
      <c r="O242" s="4"/>
      <c r="P242" s="4"/>
      <c r="S242" s="4"/>
      <c r="T242" s="4"/>
      <c r="W242" s="4"/>
    </row>
    <row r="243" spans="1:23" ht="15.75" customHeight="1" x14ac:dyDescent="0.35">
      <c r="A243" s="4"/>
      <c r="B243" s="4"/>
      <c r="F243" s="4"/>
      <c r="O243" s="4"/>
      <c r="P243" s="4"/>
      <c r="S243" s="4"/>
      <c r="T243" s="4"/>
      <c r="W243" s="4"/>
    </row>
    <row r="244" spans="1:23" ht="15.75" customHeight="1" x14ac:dyDescent="0.35">
      <c r="A244" s="4"/>
      <c r="B244" s="4"/>
      <c r="F244" s="4"/>
      <c r="O244" s="4"/>
      <c r="P244" s="4"/>
      <c r="S244" s="4"/>
      <c r="T244" s="4"/>
      <c r="W244" s="4"/>
    </row>
    <row r="245" spans="1:23" ht="15.75" customHeight="1" x14ac:dyDescent="0.35">
      <c r="A245" s="4"/>
      <c r="B245" s="4"/>
      <c r="F245" s="4"/>
      <c r="O245" s="4"/>
      <c r="P245" s="4"/>
      <c r="S245" s="4"/>
      <c r="T245" s="4"/>
      <c r="W245" s="4"/>
    </row>
    <row r="246" spans="1:23" ht="15.75" customHeight="1" x14ac:dyDescent="0.35">
      <c r="A246" s="4"/>
      <c r="B246" s="4"/>
      <c r="F246" s="4"/>
      <c r="O246" s="4"/>
      <c r="P246" s="4"/>
      <c r="S246" s="4"/>
      <c r="T246" s="4"/>
      <c r="W246" s="4"/>
    </row>
    <row r="247" spans="1:23" ht="15.75" customHeight="1" x14ac:dyDescent="0.35">
      <c r="A247" s="4"/>
      <c r="B247" s="4"/>
      <c r="F247" s="4"/>
      <c r="O247" s="4"/>
      <c r="P247" s="4"/>
      <c r="S247" s="4"/>
      <c r="T247" s="4"/>
      <c r="W247" s="4"/>
    </row>
    <row r="248" spans="1:23" ht="15.75" customHeight="1" x14ac:dyDescent="0.35">
      <c r="A248" s="4"/>
      <c r="B248" s="4"/>
      <c r="F248" s="4"/>
      <c r="O248" s="4"/>
      <c r="P248" s="4"/>
      <c r="S248" s="4"/>
      <c r="T248" s="4"/>
      <c r="W248" s="4"/>
    </row>
    <row r="249" spans="1:23" ht="15.75" customHeight="1" x14ac:dyDescent="0.35">
      <c r="A249" s="4"/>
      <c r="B249" s="4"/>
      <c r="F249" s="4"/>
      <c r="O249" s="4"/>
      <c r="P249" s="4"/>
      <c r="S249" s="4"/>
      <c r="T249" s="4"/>
      <c r="W249" s="4"/>
    </row>
    <row r="250" spans="1:23" ht="15.75" customHeight="1" x14ac:dyDescent="0.35">
      <c r="A250" s="4"/>
      <c r="B250" s="4"/>
      <c r="F250" s="4"/>
      <c r="O250" s="4"/>
      <c r="P250" s="4"/>
      <c r="S250" s="4"/>
      <c r="T250" s="4"/>
      <c r="W250" s="4"/>
    </row>
    <row r="251" spans="1:23" ht="15.75" customHeight="1" x14ac:dyDescent="0.35">
      <c r="A251" s="4"/>
      <c r="B251" s="4"/>
      <c r="F251" s="4"/>
      <c r="O251" s="4"/>
      <c r="P251" s="4"/>
      <c r="S251" s="4"/>
      <c r="T251" s="4"/>
      <c r="W251" s="4"/>
    </row>
    <row r="252" spans="1:23" ht="15.75" customHeight="1" x14ac:dyDescent="0.35">
      <c r="A252" s="4"/>
      <c r="B252" s="4"/>
      <c r="F252" s="4"/>
      <c r="O252" s="4"/>
      <c r="P252" s="4"/>
      <c r="S252" s="4"/>
      <c r="T252" s="4"/>
      <c r="W252" s="4"/>
    </row>
    <row r="253" spans="1:23" ht="15.75" customHeight="1" x14ac:dyDescent="0.35">
      <c r="A253" s="4"/>
      <c r="B253" s="4"/>
      <c r="F253" s="4"/>
      <c r="O253" s="4"/>
      <c r="P253" s="4"/>
      <c r="S253" s="4"/>
      <c r="T253" s="4"/>
      <c r="W253" s="4"/>
    </row>
    <row r="254" spans="1:23" ht="15.75" customHeight="1" x14ac:dyDescent="0.35">
      <c r="A254" s="4"/>
      <c r="B254" s="4"/>
      <c r="F254" s="4"/>
      <c r="O254" s="4"/>
      <c r="P254" s="4"/>
      <c r="S254" s="4"/>
      <c r="T254" s="4"/>
      <c r="W254" s="4"/>
    </row>
    <row r="255" spans="1:23" ht="15.75" customHeight="1" x14ac:dyDescent="0.35">
      <c r="A255" s="4"/>
      <c r="B255" s="4"/>
      <c r="F255" s="4"/>
      <c r="O255" s="4"/>
      <c r="P255" s="4"/>
      <c r="S255" s="4"/>
      <c r="T255" s="4"/>
      <c r="W255" s="4"/>
    </row>
    <row r="256" spans="1:23" ht="15.75" customHeight="1" x14ac:dyDescent="0.35">
      <c r="A256" s="4"/>
      <c r="B256" s="4"/>
      <c r="F256" s="4"/>
      <c r="O256" s="4"/>
      <c r="P256" s="4"/>
      <c r="S256" s="4"/>
      <c r="T256" s="4"/>
      <c r="W256" s="4"/>
    </row>
    <row r="257" spans="1:23" ht="15.75" customHeight="1" x14ac:dyDescent="0.35">
      <c r="A257" s="4"/>
      <c r="B257" s="4"/>
      <c r="F257" s="4"/>
      <c r="O257" s="4"/>
      <c r="P257" s="4"/>
      <c r="S257" s="4"/>
      <c r="T257" s="4"/>
      <c r="W257" s="4"/>
    </row>
    <row r="258" spans="1:23" ht="15.75" customHeight="1" x14ac:dyDescent="0.35">
      <c r="A258" s="4"/>
      <c r="B258" s="4"/>
      <c r="F258" s="4"/>
      <c r="O258" s="4"/>
      <c r="P258" s="4"/>
      <c r="S258" s="4"/>
      <c r="T258" s="4"/>
      <c r="W258" s="4"/>
    </row>
    <row r="259" spans="1:23" ht="15.75" customHeight="1" x14ac:dyDescent="0.35">
      <c r="A259" s="4"/>
      <c r="B259" s="4"/>
      <c r="F259" s="4"/>
      <c r="O259" s="4"/>
      <c r="P259" s="4"/>
      <c r="S259" s="4"/>
      <c r="T259" s="4"/>
      <c r="W259" s="4"/>
    </row>
    <row r="260" spans="1:23" ht="15.75" customHeight="1" x14ac:dyDescent="0.35">
      <c r="A260" s="4"/>
      <c r="B260" s="4"/>
      <c r="F260" s="4"/>
      <c r="O260" s="4"/>
      <c r="P260" s="4"/>
      <c r="S260" s="4"/>
      <c r="T260" s="4"/>
      <c r="W260" s="4"/>
    </row>
    <row r="261" spans="1:23" ht="15.75" customHeight="1" x14ac:dyDescent="0.35">
      <c r="A261" s="4"/>
      <c r="B261" s="4"/>
      <c r="F261" s="4"/>
      <c r="O261" s="4"/>
      <c r="P261" s="4"/>
      <c r="S261" s="4"/>
      <c r="T261" s="4"/>
      <c r="W261" s="4"/>
    </row>
    <row r="262" spans="1:23" ht="15.75" customHeight="1" x14ac:dyDescent="0.35">
      <c r="A262" s="4"/>
      <c r="B262" s="4"/>
      <c r="F262" s="4"/>
      <c r="O262" s="4"/>
      <c r="P262" s="4"/>
      <c r="S262" s="4"/>
      <c r="T262" s="4"/>
      <c r="W262" s="4"/>
    </row>
    <row r="263" spans="1:23" ht="15.75" customHeight="1" x14ac:dyDescent="0.35">
      <c r="A263" s="4"/>
      <c r="B263" s="4"/>
      <c r="F263" s="4"/>
      <c r="O263" s="4"/>
      <c r="P263" s="4"/>
      <c r="S263" s="4"/>
      <c r="T263" s="4"/>
      <c r="W263" s="4"/>
    </row>
    <row r="264" spans="1:23" ht="15.75" customHeight="1" x14ac:dyDescent="0.35">
      <c r="A264" s="4"/>
      <c r="B264" s="4"/>
      <c r="F264" s="4"/>
      <c r="O264" s="4"/>
      <c r="P264" s="4"/>
      <c r="S264" s="4"/>
      <c r="T264" s="4"/>
      <c r="W264" s="4"/>
    </row>
    <row r="265" spans="1:23" ht="15.75" customHeight="1" x14ac:dyDescent="0.35">
      <c r="A265" s="4"/>
      <c r="B265" s="4"/>
      <c r="F265" s="4"/>
      <c r="O265" s="4"/>
      <c r="P265" s="4"/>
      <c r="S265" s="4"/>
      <c r="T265" s="4"/>
      <c r="W265" s="4"/>
    </row>
    <row r="266" spans="1:23" ht="15.75" customHeight="1" x14ac:dyDescent="0.35">
      <c r="A266" s="4"/>
      <c r="B266" s="4"/>
      <c r="F266" s="4"/>
      <c r="O266" s="4"/>
      <c r="P266" s="4"/>
      <c r="S266" s="4"/>
      <c r="T266" s="4"/>
      <c r="W266" s="4"/>
    </row>
    <row r="267" spans="1:23" ht="15.75" customHeight="1" x14ac:dyDescent="0.35">
      <c r="A267" s="4"/>
      <c r="B267" s="4"/>
      <c r="F267" s="4"/>
      <c r="O267" s="4"/>
      <c r="P267" s="4"/>
      <c r="S267" s="4"/>
      <c r="T267" s="4"/>
      <c r="W267" s="4"/>
    </row>
    <row r="268" spans="1:23" ht="15.75" customHeight="1" x14ac:dyDescent="0.35">
      <c r="A268" s="4"/>
      <c r="B268" s="4"/>
      <c r="F268" s="4"/>
      <c r="O268" s="4"/>
      <c r="P268" s="4"/>
      <c r="S268" s="4"/>
      <c r="T268" s="4"/>
      <c r="W268" s="4"/>
    </row>
    <row r="269" spans="1:23" ht="15.75" customHeight="1" x14ac:dyDescent="0.35">
      <c r="A269" s="4"/>
      <c r="B269" s="4"/>
      <c r="F269" s="4"/>
      <c r="O269" s="4"/>
      <c r="P269" s="4"/>
      <c r="S269" s="4"/>
      <c r="T269" s="4"/>
      <c r="W269" s="4"/>
    </row>
    <row r="270" spans="1:23" ht="15.75" customHeight="1" x14ac:dyDescent="0.35">
      <c r="A270" s="4"/>
      <c r="B270" s="4"/>
      <c r="F270" s="4"/>
      <c r="O270" s="4"/>
      <c r="P270" s="4"/>
      <c r="S270" s="4"/>
      <c r="T270" s="4"/>
      <c r="W270" s="4"/>
    </row>
    <row r="271" spans="1:23" ht="15.75" customHeight="1" x14ac:dyDescent="0.35">
      <c r="A271" s="4"/>
      <c r="B271" s="4"/>
      <c r="F271" s="4"/>
      <c r="O271" s="4"/>
      <c r="P271" s="4"/>
      <c r="S271" s="4"/>
      <c r="T271" s="4"/>
      <c r="W271" s="4"/>
    </row>
    <row r="272" spans="1:23" ht="15.75" customHeight="1" x14ac:dyDescent="0.35">
      <c r="A272" s="4"/>
      <c r="B272" s="4"/>
      <c r="F272" s="4"/>
      <c r="O272" s="4"/>
      <c r="P272" s="4"/>
      <c r="S272" s="4"/>
      <c r="T272" s="4"/>
      <c r="W272" s="4"/>
    </row>
    <row r="273" spans="1:23" ht="15.75" customHeight="1" x14ac:dyDescent="0.35">
      <c r="A273" s="4"/>
      <c r="B273" s="4"/>
      <c r="F273" s="4"/>
      <c r="O273" s="4"/>
      <c r="P273" s="4"/>
      <c r="S273" s="4"/>
      <c r="T273" s="4"/>
      <c r="W273" s="4"/>
    </row>
    <row r="274" spans="1:23" ht="15.75" customHeight="1" x14ac:dyDescent="0.35">
      <c r="A274" s="4"/>
      <c r="B274" s="4"/>
      <c r="F274" s="4"/>
      <c r="O274" s="4"/>
      <c r="P274" s="4"/>
      <c r="S274" s="4"/>
      <c r="T274" s="4"/>
      <c r="W274" s="4"/>
    </row>
    <row r="275" spans="1:23" ht="15.75" customHeight="1" x14ac:dyDescent="0.35">
      <c r="A275" s="4"/>
      <c r="B275" s="4"/>
      <c r="F275" s="4"/>
      <c r="O275" s="4"/>
      <c r="P275" s="4"/>
      <c r="S275" s="4"/>
      <c r="T275" s="4"/>
      <c r="W275" s="4"/>
    </row>
    <row r="276" spans="1:23" ht="15.75" customHeight="1" x14ac:dyDescent="0.35">
      <c r="A276" s="4"/>
      <c r="B276" s="4"/>
      <c r="F276" s="4"/>
      <c r="O276" s="4"/>
      <c r="P276" s="4"/>
      <c r="S276" s="4"/>
      <c r="T276" s="4"/>
      <c r="W276" s="4"/>
    </row>
    <row r="277" spans="1:23" ht="15.75" customHeight="1" x14ac:dyDescent="0.35">
      <c r="A277" s="4"/>
      <c r="B277" s="4"/>
      <c r="F277" s="4"/>
      <c r="O277" s="4"/>
      <c r="P277" s="4"/>
      <c r="S277" s="4"/>
      <c r="T277" s="4"/>
      <c r="W277" s="4"/>
    </row>
    <row r="278" spans="1:23" ht="15.75" customHeight="1" x14ac:dyDescent="0.35">
      <c r="A278" s="4"/>
      <c r="B278" s="4"/>
      <c r="F278" s="4"/>
      <c r="O278" s="4"/>
      <c r="P278" s="4"/>
      <c r="S278" s="4"/>
      <c r="T278" s="4"/>
      <c r="W278" s="4"/>
    </row>
    <row r="279" spans="1:23" ht="15.75" customHeight="1" x14ac:dyDescent="0.35">
      <c r="A279" s="4"/>
      <c r="B279" s="4"/>
      <c r="F279" s="4"/>
      <c r="O279" s="4"/>
      <c r="P279" s="4"/>
      <c r="S279" s="4"/>
      <c r="T279" s="4"/>
      <c r="W279" s="4"/>
    </row>
    <row r="280" spans="1:23" ht="15.75" customHeight="1" x14ac:dyDescent="0.35">
      <c r="A280" s="4"/>
      <c r="B280" s="4"/>
      <c r="F280" s="4"/>
      <c r="O280" s="4"/>
      <c r="P280" s="4"/>
      <c r="S280" s="4"/>
      <c r="T280" s="4"/>
      <c r="W280" s="4"/>
    </row>
    <row r="281" spans="1:23" ht="15.75" customHeight="1" x14ac:dyDescent="0.35">
      <c r="A281" s="4"/>
      <c r="B281" s="4"/>
      <c r="F281" s="4"/>
      <c r="O281" s="4"/>
      <c r="P281" s="4"/>
      <c r="S281" s="4"/>
      <c r="T281" s="4"/>
      <c r="W281" s="4"/>
    </row>
    <row r="282" spans="1:23" ht="15.75" customHeight="1" x14ac:dyDescent="0.35">
      <c r="A282" s="4"/>
      <c r="B282" s="4"/>
      <c r="F282" s="4"/>
      <c r="O282" s="4"/>
      <c r="P282" s="4"/>
      <c r="S282" s="4"/>
      <c r="T282" s="4"/>
      <c r="W282" s="4"/>
    </row>
    <row r="283" spans="1:23" ht="15.75" customHeight="1" x14ac:dyDescent="0.35">
      <c r="A283" s="4"/>
      <c r="B283" s="4"/>
      <c r="F283" s="4"/>
      <c r="O283" s="4"/>
      <c r="P283" s="4"/>
      <c r="S283" s="4"/>
      <c r="T283" s="4"/>
      <c r="W283" s="4"/>
    </row>
    <row r="284" spans="1:23" ht="15.75" customHeight="1" x14ac:dyDescent="0.35">
      <c r="A284" s="4"/>
      <c r="B284" s="4"/>
      <c r="F284" s="4"/>
      <c r="O284" s="4"/>
      <c r="P284" s="4"/>
      <c r="S284" s="4"/>
      <c r="T284" s="4"/>
      <c r="W284" s="4"/>
    </row>
    <row r="285" spans="1:23" ht="15.75" customHeight="1" x14ac:dyDescent="0.35">
      <c r="A285" s="4"/>
      <c r="B285" s="4"/>
      <c r="F285" s="4"/>
      <c r="O285" s="4"/>
      <c r="P285" s="4"/>
      <c r="S285" s="4"/>
      <c r="T285" s="4"/>
      <c r="W285" s="4"/>
    </row>
    <row r="286" spans="1:23" ht="15.75" customHeight="1" x14ac:dyDescent="0.35">
      <c r="A286" s="4"/>
      <c r="B286" s="4"/>
      <c r="F286" s="4"/>
      <c r="O286" s="4"/>
      <c r="P286" s="4"/>
      <c r="S286" s="4"/>
      <c r="T286" s="4"/>
      <c r="W286" s="4"/>
    </row>
    <row r="287" spans="1:23" ht="15.75" customHeight="1" x14ac:dyDescent="0.35">
      <c r="A287" s="4"/>
      <c r="B287" s="4"/>
      <c r="F287" s="4"/>
      <c r="O287" s="4"/>
      <c r="P287" s="4"/>
      <c r="S287" s="4"/>
      <c r="T287" s="4"/>
      <c r="W287" s="4"/>
    </row>
    <row r="288" spans="1:23" ht="15.75" customHeight="1" x14ac:dyDescent="0.35">
      <c r="A288" s="4"/>
      <c r="B288" s="4"/>
      <c r="F288" s="4"/>
      <c r="O288" s="4"/>
      <c r="P288" s="4"/>
      <c r="S288" s="4"/>
      <c r="T288" s="4"/>
      <c r="W288" s="4"/>
    </row>
    <row r="289" spans="1:23" ht="15.75" customHeight="1" x14ac:dyDescent="0.35">
      <c r="A289" s="4"/>
      <c r="B289" s="4"/>
      <c r="F289" s="4"/>
      <c r="O289" s="4"/>
      <c r="P289" s="4"/>
      <c r="S289" s="4"/>
      <c r="T289" s="4"/>
      <c r="W289" s="4"/>
    </row>
    <row r="290" spans="1:23" ht="15.75" customHeight="1" x14ac:dyDescent="0.35">
      <c r="A290" s="4"/>
      <c r="B290" s="4"/>
      <c r="F290" s="4"/>
      <c r="O290" s="4"/>
      <c r="P290" s="4"/>
      <c r="S290" s="4"/>
      <c r="T290" s="4"/>
      <c r="W290" s="4"/>
    </row>
    <row r="291" spans="1:23" ht="15.75" customHeight="1" x14ac:dyDescent="0.35">
      <c r="A291" s="4"/>
      <c r="B291" s="4"/>
      <c r="F291" s="4"/>
      <c r="O291" s="4"/>
      <c r="P291" s="4"/>
      <c r="S291" s="4"/>
      <c r="T291" s="4"/>
      <c r="W291" s="4"/>
    </row>
    <row r="292" spans="1:23" ht="15.75" customHeight="1" x14ac:dyDescent="0.35">
      <c r="A292" s="4"/>
      <c r="B292" s="4"/>
      <c r="F292" s="4"/>
      <c r="O292" s="4"/>
      <c r="P292" s="4"/>
      <c r="S292" s="4"/>
      <c r="T292" s="4"/>
      <c r="W292" s="4"/>
    </row>
    <row r="293" spans="1:23" ht="15.75" customHeight="1" x14ac:dyDescent="0.35">
      <c r="A293" s="4"/>
      <c r="B293" s="4"/>
      <c r="F293" s="4"/>
      <c r="O293" s="4"/>
      <c r="P293" s="4"/>
      <c r="S293" s="4"/>
      <c r="T293" s="4"/>
      <c r="W293" s="4"/>
    </row>
    <row r="294" spans="1:23" ht="15.75" customHeight="1" x14ac:dyDescent="0.35">
      <c r="A294" s="4"/>
      <c r="B294" s="4"/>
      <c r="F294" s="4"/>
      <c r="O294" s="4"/>
      <c r="P294" s="4"/>
      <c r="S294" s="4"/>
      <c r="T294" s="4"/>
      <c r="W294" s="4"/>
    </row>
    <row r="295" spans="1:23" ht="15.75" customHeight="1" x14ac:dyDescent="0.35">
      <c r="A295" s="4"/>
      <c r="B295" s="4"/>
      <c r="F295" s="4"/>
      <c r="O295" s="4"/>
      <c r="P295" s="4"/>
      <c r="S295" s="4"/>
      <c r="T295" s="4"/>
      <c r="W295" s="4"/>
    </row>
    <row r="296" spans="1:23" ht="15.75" customHeight="1" x14ac:dyDescent="0.35">
      <c r="A296" s="4"/>
      <c r="B296" s="4"/>
      <c r="F296" s="4"/>
      <c r="O296" s="4"/>
      <c r="P296" s="4"/>
      <c r="S296" s="4"/>
      <c r="T296" s="4"/>
      <c r="W296" s="4"/>
    </row>
    <row r="297" spans="1:23" ht="15.75" customHeight="1" x14ac:dyDescent="0.35">
      <c r="A297" s="4"/>
      <c r="B297" s="4"/>
      <c r="F297" s="4"/>
      <c r="O297" s="4"/>
      <c r="P297" s="4"/>
      <c r="S297" s="4"/>
      <c r="T297" s="4"/>
      <c r="W297" s="4"/>
    </row>
    <row r="298" spans="1:23" ht="15.75" customHeight="1" x14ac:dyDescent="0.35">
      <c r="A298" s="4"/>
      <c r="B298" s="4"/>
      <c r="F298" s="4"/>
      <c r="O298" s="4"/>
      <c r="P298" s="4"/>
      <c r="S298" s="4"/>
      <c r="T298" s="4"/>
      <c r="W298" s="4"/>
    </row>
    <row r="299" spans="1:23" ht="15.75" customHeight="1" x14ac:dyDescent="0.35">
      <c r="A299" s="4"/>
      <c r="B299" s="4"/>
      <c r="F299" s="4"/>
      <c r="O299" s="4"/>
      <c r="P299" s="4"/>
      <c r="S299" s="4"/>
      <c r="T299" s="4"/>
      <c r="W299" s="4"/>
    </row>
    <row r="300" spans="1:23" ht="15.75" customHeight="1" x14ac:dyDescent="0.35">
      <c r="A300" s="4"/>
      <c r="B300" s="4"/>
      <c r="F300" s="4"/>
      <c r="O300" s="4"/>
      <c r="P300" s="4"/>
      <c r="S300" s="4"/>
      <c r="T300" s="4"/>
      <c r="W300" s="4"/>
    </row>
    <row r="301" spans="1:23" ht="15.75" customHeight="1" x14ac:dyDescent="0.35">
      <c r="A301" s="4"/>
      <c r="B301" s="4"/>
      <c r="F301" s="4"/>
      <c r="O301" s="4"/>
      <c r="P301" s="4"/>
      <c r="S301" s="4"/>
      <c r="T301" s="4"/>
      <c r="W301" s="4"/>
    </row>
    <row r="302" spans="1:23" ht="15.75" customHeight="1" x14ac:dyDescent="0.35">
      <c r="A302" s="4"/>
      <c r="B302" s="4"/>
      <c r="F302" s="4"/>
      <c r="O302" s="4"/>
      <c r="P302" s="4"/>
      <c r="S302" s="4"/>
      <c r="T302" s="4"/>
      <c r="W302" s="4"/>
    </row>
    <row r="303" spans="1:23" ht="15.75" customHeight="1" x14ac:dyDescent="0.35">
      <c r="A303" s="4"/>
      <c r="B303" s="4"/>
      <c r="F303" s="4"/>
      <c r="O303" s="4"/>
      <c r="P303" s="4"/>
      <c r="S303" s="4"/>
      <c r="T303" s="4"/>
      <c r="W303" s="4"/>
    </row>
    <row r="304" spans="1:23" ht="15.75" customHeight="1" x14ac:dyDescent="0.35">
      <c r="A304" s="4"/>
      <c r="B304" s="4"/>
      <c r="F304" s="4"/>
      <c r="O304" s="4"/>
      <c r="P304" s="4"/>
      <c r="S304" s="4"/>
      <c r="T304" s="4"/>
      <c r="W304" s="4"/>
    </row>
    <row r="305" spans="1:23" ht="15.75" customHeight="1" x14ac:dyDescent="0.35">
      <c r="A305" s="4"/>
      <c r="B305" s="4"/>
      <c r="F305" s="4"/>
      <c r="O305" s="4"/>
      <c r="P305" s="4"/>
      <c r="S305" s="4"/>
      <c r="T305" s="4"/>
      <c r="W305" s="4"/>
    </row>
    <row r="306" spans="1:23" ht="15.75" customHeight="1" x14ac:dyDescent="0.35">
      <c r="A306" s="4"/>
      <c r="B306" s="4"/>
      <c r="F306" s="4"/>
      <c r="O306" s="4"/>
      <c r="P306" s="4"/>
      <c r="S306" s="4"/>
      <c r="T306" s="4"/>
      <c r="W306" s="4"/>
    </row>
    <row r="307" spans="1:23" ht="15.75" customHeight="1" x14ac:dyDescent="0.35">
      <c r="A307" s="4"/>
      <c r="B307" s="4"/>
      <c r="F307" s="4"/>
      <c r="O307" s="4"/>
      <c r="P307" s="4"/>
      <c r="S307" s="4"/>
      <c r="T307" s="4"/>
      <c r="W307" s="4"/>
    </row>
    <row r="308" spans="1:23" ht="15.75" customHeight="1" x14ac:dyDescent="0.35">
      <c r="A308" s="4"/>
      <c r="B308" s="4"/>
      <c r="F308" s="4"/>
      <c r="O308" s="4"/>
      <c r="P308" s="4"/>
      <c r="S308" s="4"/>
      <c r="T308" s="4"/>
      <c r="W308" s="4"/>
    </row>
    <row r="309" spans="1:23" ht="15.75" customHeight="1" x14ac:dyDescent="0.35">
      <c r="A309" s="4"/>
      <c r="B309" s="4"/>
      <c r="F309" s="4"/>
      <c r="O309" s="4"/>
      <c r="P309" s="4"/>
      <c r="S309" s="4"/>
      <c r="T309" s="4"/>
      <c r="W309" s="4"/>
    </row>
    <row r="310" spans="1:23" ht="15.75" customHeight="1" x14ac:dyDescent="0.35">
      <c r="A310" s="4"/>
      <c r="B310" s="4"/>
      <c r="F310" s="4"/>
      <c r="O310" s="4"/>
      <c r="P310" s="4"/>
      <c r="S310" s="4"/>
      <c r="T310" s="4"/>
      <c r="W310" s="4"/>
    </row>
    <row r="311" spans="1:23" ht="15.75" customHeight="1" x14ac:dyDescent="0.35">
      <c r="A311" s="4"/>
      <c r="B311" s="4"/>
      <c r="F311" s="4"/>
      <c r="O311" s="4"/>
      <c r="P311" s="4"/>
      <c r="S311" s="4"/>
      <c r="T311" s="4"/>
      <c r="W311" s="4"/>
    </row>
    <row r="312" spans="1:23" ht="15.75" customHeight="1" x14ac:dyDescent="0.35">
      <c r="A312" s="4"/>
      <c r="B312" s="4"/>
      <c r="F312" s="4"/>
      <c r="O312" s="4"/>
      <c r="P312" s="4"/>
      <c r="S312" s="4"/>
      <c r="T312" s="4"/>
      <c r="W312" s="4"/>
    </row>
    <row r="313" spans="1:23" ht="15.75" customHeight="1" x14ac:dyDescent="0.35">
      <c r="A313" s="4"/>
      <c r="B313" s="4"/>
      <c r="F313" s="4"/>
      <c r="O313" s="4"/>
      <c r="P313" s="4"/>
      <c r="S313" s="4"/>
      <c r="T313" s="4"/>
      <c r="W313" s="4"/>
    </row>
    <row r="314" spans="1:23" ht="15.75" customHeight="1" x14ac:dyDescent="0.35">
      <c r="A314" s="4"/>
      <c r="B314" s="4"/>
      <c r="F314" s="4"/>
      <c r="O314" s="4"/>
      <c r="P314" s="4"/>
      <c r="S314" s="4"/>
      <c r="T314" s="4"/>
      <c r="W314" s="4"/>
    </row>
    <row r="315" spans="1:23" ht="15.75" customHeight="1" x14ac:dyDescent="0.35">
      <c r="A315" s="4"/>
      <c r="B315" s="4"/>
      <c r="F315" s="4"/>
      <c r="O315" s="4"/>
      <c r="P315" s="4"/>
      <c r="S315" s="4"/>
      <c r="T315" s="4"/>
      <c r="W315" s="4"/>
    </row>
    <row r="316" spans="1:23" ht="15.75" customHeight="1" x14ac:dyDescent="0.35">
      <c r="A316" s="4"/>
      <c r="B316" s="4"/>
      <c r="F316" s="4"/>
      <c r="O316" s="4"/>
      <c r="P316" s="4"/>
      <c r="S316" s="4"/>
      <c r="T316" s="4"/>
      <c r="W316" s="4"/>
    </row>
    <row r="317" spans="1:23" ht="15.75" customHeight="1" x14ac:dyDescent="0.35">
      <c r="A317" s="4"/>
      <c r="B317" s="4"/>
      <c r="F317" s="4"/>
      <c r="O317" s="4"/>
      <c r="P317" s="4"/>
      <c r="S317" s="4"/>
      <c r="T317" s="4"/>
      <c r="W317" s="4"/>
    </row>
    <row r="318" spans="1:23" ht="15.75" customHeight="1" x14ac:dyDescent="0.35">
      <c r="A318" s="4"/>
      <c r="B318" s="4"/>
      <c r="F318" s="4"/>
      <c r="O318" s="4"/>
      <c r="P318" s="4"/>
      <c r="S318" s="4"/>
      <c r="T318" s="4"/>
      <c r="W318" s="4"/>
    </row>
    <row r="319" spans="1:23" ht="15.75" customHeight="1" x14ac:dyDescent="0.35">
      <c r="A319" s="4"/>
      <c r="B319" s="4"/>
      <c r="F319" s="4"/>
      <c r="O319" s="4"/>
      <c r="P319" s="4"/>
      <c r="S319" s="4"/>
      <c r="T319" s="4"/>
      <c r="W319" s="4"/>
    </row>
    <row r="320" spans="1:23" ht="15.75" customHeight="1" x14ac:dyDescent="0.35">
      <c r="A320" s="4"/>
      <c r="B320" s="4"/>
      <c r="F320" s="4"/>
      <c r="O320" s="4"/>
      <c r="P320" s="4"/>
      <c r="S320" s="4"/>
      <c r="T320" s="4"/>
      <c r="W320" s="4"/>
    </row>
    <row r="321" spans="1:23" ht="15.75" customHeight="1" x14ac:dyDescent="0.35">
      <c r="A321" s="4"/>
      <c r="B321" s="4"/>
      <c r="F321" s="4"/>
      <c r="O321" s="4"/>
      <c r="P321" s="4"/>
      <c r="S321" s="4"/>
      <c r="T321" s="4"/>
      <c r="W321" s="4"/>
    </row>
    <row r="322" spans="1:23" ht="15.75" customHeight="1" x14ac:dyDescent="0.35">
      <c r="A322" s="4"/>
      <c r="B322" s="4"/>
      <c r="F322" s="4"/>
      <c r="O322" s="4"/>
      <c r="P322" s="4"/>
      <c r="S322" s="4"/>
      <c r="T322" s="4"/>
      <c r="W322" s="4"/>
    </row>
    <row r="323" spans="1:23" ht="15.75" customHeight="1" x14ac:dyDescent="0.35">
      <c r="A323" s="4"/>
      <c r="B323" s="4"/>
      <c r="F323" s="4"/>
      <c r="O323" s="4"/>
      <c r="P323" s="4"/>
      <c r="S323" s="4"/>
      <c r="T323" s="4"/>
      <c r="W323" s="4"/>
    </row>
    <row r="324" spans="1:23" ht="15.75" customHeight="1" x14ac:dyDescent="0.35">
      <c r="A324" s="4"/>
      <c r="B324" s="4"/>
      <c r="F324" s="4"/>
      <c r="O324" s="4"/>
      <c r="P324" s="4"/>
      <c r="S324" s="4"/>
      <c r="T324" s="4"/>
      <c r="W324" s="4"/>
    </row>
    <row r="325" spans="1:23" ht="15.75" customHeight="1" x14ac:dyDescent="0.35">
      <c r="A325" s="4"/>
      <c r="B325" s="4"/>
      <c r="F325" s="4"/>
      <c r="O325" s="4"/>
      <c r="P325" s="4"/>
      <c r="S325" s="4"/>
      <c r="T325" s="4"/>
      <c r="W325" s="4"/>
    </row>
    <row r="326" spans="1:23" ht="15.75" customHeight="1" x14ac:dyDescent="0.35">
      <c r="A326" s="4"/>
      <c r="B326" s="4"/>
      <c r="F326" s="4"/>
      <c r="O326" s="4"/>
      <c r="P326" s="4"/>
      <c r="S326" s="4"/>
      <c r="T326" s="4"/>
      <c r="W326" s="4"/>
    </row>
    <row r="327" spans="1:23" ht="15.75" customHeight="1" x14ac:dyDescent="0.35">
      <c r="A327" s="4"/>
      <c r="B327" s="4"/>
      <c r="F327" s="4"/>
      <c r="O327" s="4"/>
      <c r="P327" s="4"/>
      <c r="S327" s="4"/>
      <c r="T327" s="4"/>
      <c r="W327" s="4"/>
    </row>
    <row r="328" spans="1:23" ht="15.75" customHeight="1" x14ac:dyDescent="0.35">
      <c r="A328" s="4"/>
      <c r="B328" s="4"/>
      <c r="F328" s="4"/>
      <c r="O328" s="4"/>
      <c r="P328" s="4"/>
      <c r="S328" s="4"/>
      <c r="T328" s="4"/>
      <c r="W328" s="4"/>
    </row>
    <row r="329" spans="1:23" ht="15.75" customHeight="1" x14ac:dyDescent="0.35">
      <c r="A329" s="4"/>
      <c r="B329" s="4"/>
      <c r="F329" s="4"/>
      <c r="O329" s="4"/>
      <c r="P329" s="4"/>
      <c r="S329" s="4"/>
      <c r="T329" s="4"/>
      <c r="W329" s="4"/>
    </row>
    <row r="330" spans="1:23" ht="15.75" customHeight="1" x14ac:dyDescent="0.35">
      <c r="A330" s="4"/>
      <c r="B330" s="4"/>
      <c r="F330" s="4"/>
      <c r="O330" s="4"/>
      <c r="P330" s="4"/>
      <c r="S330" s="4"/>
      <c r="T330" s="4"/>
      <c r="W330" s="4"/>
    </row>
    <row r="331" spans="1:23" ht="15.75" customHeight="1" x14ac:dyDescent="0.35">
      <c r="A331" s="4"/>
      <c r="B331" s="4"/>
      <c r="F331" s="4"/>
      <c r="O331" s="4"/>
      <c r="P331" s="4"/>
      <c r="S331" s="4"/>
      <c r="T331" s="4"/>
      <c r="W331" s="4"/>
    </row>
    <row r="332" spans="1:23" ht="15.75" customHeight="1" x14ac:dyDescent="0.35">
      <c r="A332" s="4"/>
      <c r="B332" s="4"/>
      <c r="F332" s="4"/>
      <c r="O332" s="4"/>
      <c r="P332" s="4"/>
      <c r="S332" s="4"/>
      <c r="T332" s="4"/>
      <c r="W332" s="4"/>
    </row>
    <row r="333" spans="1:23" ht="15.75" customHeight="1" x14ac:dyDescent="0.35">
      <c r="A333" s="4"/>
      <c r="B333" s="4"/>
      <c r="F333" s="4"/>
      <c r="O333" s="4"/>
      <c r="P333" s="4"/>
      <c r="S333" s="4"/>
      <c r="T333" s="4"/>
      <c r="W333" s="4"/>
    </row>
    <row r="334" spans="1:23" ht="15.75" customHeight="1" x14ac:dyDescent="0.35">
      <c r="A334" s="4"/>
      <c r="B334" s="4"/>
      <c r="F334" s="4"/>
      <c r="O334" s="4"/>
      <c r="P334" s="4"/>
      <c r="S334" s="4"/>
      <c r="T334" s="4"/>
      <c r="W334" s="4"/>
    </row>
    <row r="335" spans="1:23" ht="15.75" customHeight="1" x14ac:dyDescent="0.35">
      <c r="A335" s="4"/>
      <c r="B335" s="4"/>
      <c r="F335" s="4"/>
      <c r="O335" s="4"/>
      <c r="P335" s="4"/>
      <c r="S335" s="4"/>
      <c r="T335" s="4"/>
      <c r="W335" s="4"/>
    </row>
    <row r="336" spans="1:23" ht="15.75" customHeight="1" x14ac:dyDescent="0.35">
      <c r="A336" s="4"/>
      <c r="B336" s="4"/>
      <c r="F336" s="4"/>
      <c r="O336" s="4"/>
      <c r="P336" s="4"/>
      <c r="S336" s="4"/>
      <c r="T336" s="4"/>
      <c r="W336" s="4"/>
    </row>
    <row r="337" spans="1:23" ht="15.75" customHeight="1" x14ac:dyDescent="0.35">
      <c r="A337" s="4"/>
      <c r="B337" s="4"/>
      <c r="F337" s="4"/>
      <c r="O337" s="4"/>
      <c r="P337" s="4"/>
      <c r="S337" s="4"/>
      <c r="T337" s="4"/>
      <c r="W337" s="4"/>
    </row>
    <row r="338" spans="1:23" ht="15.75" customHeight="1" x14ac:dyDescent="0.35">
      <c r="A338" s="4"/>
      <c r="B338" s="4"/>
      <c r="F338" s="4"/>
      <c r="O338" s="4"/>
      <c r="P338" s="4"/>
      <c r="S338" s="4"/>
      <c r="T338" s="4"/>
      <c r="W338" s="4"/>
    </row>
    <row r="339" spans="1:23" ht="15.75" customHeight="1" x14ac:dyDescent="0.35">
      <c r="A339" s="4"/>
      <c r="B339" s="4"/>
      <c r="F339" s="4"/>
      <c r="O339" s="4"/>
      <c r="P339" s="4"/>
      <c r="S339" s="4"/>
      <c r="T339" s="4"/>
      <c r="W339" s="4"/>
    </row>
    <row r="340" spans="1:23" ht="15.75" customHeight="1" x14ac:dyDescent="0.35">
      <c r="A340" s="4"/>
      <c r="B340" s="4"/>
      <c r="F340" s="4"/>
      <c r="O340" s="4"/>
      <c r="P340" s="4"/>
      <c r="S340" s="4"/>
      <c r="T340" s="4"/>
      <c r="W340" s="4"/>
    </row>
    <row r="341" spans="1:23" ht="15.75" customHeight="1" x14ac:dyDescent="0.35">
      <c r="A341" s="4"/>
      <c r="B341" s="4"/>
      <c r="F341" s="4"/>
      <c r="O341" s="4"/>
      <c r="P341" s="4"/>
      <c r="S341" s="4"/>
      <c r="T341" s="4"/>
      <c r="W341" s="4"/>
    </row>
    <row r="342" spans="1:23" ht="15.75" customHeight="1" x14ac:dyDescent="0.35">
      <c r="A342" s="4"/>
      <c r="B342" s="4"/>
      <c r="F342" s="4"/>
      <c r="O342" s="4"/>
      <c r="P342" s="4"/>
      <c r="S342" s="4"/>
      <c r="T342" s="4"/>
      <c r="W342" s="4"/>
    </row>
    <row r="343" spans="1:23" ht="15.75" customHeight="1" x14ac:dyDescent="0.35">
      <c r="A343" s="4"/>
      <c r="B343" s="4"/>
      <c r="F343" s="4"/>
      <c r="O343" s="4"/>
      <c r="P343" s="4"/>
      <c r="S343" s="4"/>
      <c r="T343" s="4"/>
      <c r="W343" s="4"/>
    </row>
    <row r="344" spans="1:23" ht="15.75" customHeight="1" x14ac:dyDescent="0.35">
      <c r="A344" s="4"/>
      <c r="B344" s="4"/>
      <c r="F344" s="4"/>
      <c r="O344" s="4"/>
      <c r="P344" s="4"/>
      <c r="S344" s="4"/>
      <c r="T344" s="4"/>
      <c r="W344" s="4"/>
    </row>
    <row r="345" spans="1:23" ht="15.75" customHeight="1" x14ac:dyDescent="0.35">
      <c r="A345" s="4"/>
      <c r="B345" s="4"/>
      <c r="F345" s="4"/>
      <c r="O345" s="4"/>
      <c r="P345" s="4"/>
      <c r="S345" s="4"/>
      <c r="T345" s="4"/>
      <c r="W345" s="4"/>
    </row>
    <row r="346" spans="1:23" ht="15.75" customHeight="1" x14ac:dyDescent="0.35">
      <c r="A346" s="4"/>
      <c r="B346" s="4"/>
      <c r="F346" s="4"/>
      <c r="O346" s="4"/>
      <c r="P346" s="4"/>
      <c r="S346" s="4"/>
      <c r="T346" s="4"/>
      <c r="W346" s="4"/>
    </row>
    <row r="347" spans="1:23" ht="15.75" customHeight="1" x14ac:dyDescent="0.35">
      <c r="A347" s="4"/>
      <c r="B347" s="4"/>
      <c r="F347" s="4"/>
      <c r="O347" s="4"/>
      <c r="P347" s="4"/>
      <c r="S347" s="4"/>
      <c r="T347" s="4"/>
      <c r="W347" s="4"/>
    </row>
    <row r="348" spans="1:23" ht="15.75" customHeight="1" x14ac:dyDescent="0.35">
      <c r="A348" s="4"/>
      <c r="B348" s="4"/>
      <c r="F348" s="4"/>
      <c r="O348" s="4"/>
      <c r="P348" s="4"/>
      <c r="S348" s="4"/>
      <c r="T348" s="4"/>
      <c r="W348" s="4"/>
    </row>
    <row r="349" spans="1:23" ht="15.75" customHeight="1" x14ac:dyDescent="0.35">
      <c r="A349" s="4"/>
      <c r="B349" s="4"/>
      <c r="F349" s="4"/>
      <c r="O349" s="4"/>
      <c r="P349" s="4"/>
      <c r="S349" s="4"/>
      <c r="T349" s="4"/>
      <c r="W349" s="4"/>
    </row>
    <row r="350" spans="1:23" ht="15.75" customHeight="1" x14ac:dyDescent="0.35">
      <c r="A350" s="4"/>
      <c r="B350" s="4"/>
      <c r="F350" s="4"/>
      <c r="O350" s="4"/>
      <c r="P350" s="4"/>
      <c r="S350" s="4"/>
      <c r="T350" s="4"/>
      <c r="W350" s="4"/>
    </row>
    <row r="351" spans="1:23" ht="15.75" customHeight="1" x14ac:dyDescent="0.35">
      <c r="A351" s="4"/>
      <c r="B351" s="4"/>
      <c r="F351" s="4"/>
      <c r="O351" s="4"/>
      <c r="P351" s="4"/>
      <c r="S351" s="4"/>
      <c r="T351" s="4"/>
      <c r="W351" s="4"/>
    </row>
    <row r="352" spans="1:23" ht="15.75" customHeight="1" x14ac:dyDescent="0.35">
      <c r="A352" s="4"/>
      <c r="B352" s="4"/>
      <c r="F352" s="4"/>
      <c r="O352" s="4"/>
      <c r="P352" s="4"/>
      <c r="S352" s="4"/>
      <c r="T352" s="4"/>
      <c r="W352" s="4"/>
    </row>
    <row r="353" spans="1:23" ht="15.75" customHeight="1" x14ac:dyDescent="0.35">
      <c r="A353" s="4"/>
      <c r="B353" s="4"/>
      <c r="F353" s="4"/>
      <c r="O353" s="4"/>
      <c r="P353" s="4"/>
      <c r="S353" s="4"/>
      <c r="T353" s="4"/>
      <c r="W353" s="4"/>
    </row>
    <row r="354" spans="1:23" ht="15.75" customHeight="1" x14ac:dyDescent="0.35">
      <c r="A354" s="4"/>
      <c r="B354" s="4"/>
      <c r="F354" s="4"/>
      <c r="O354" s="4"/>
      <c r="P354" s="4"/>
      <c r="S354" s="4"/>
      <c r="T354" s="4"/>
      <c r="W354" s="4"/>
    </row>
    <row r="355" spans="1:23" ht="15.75" customHeight="1" x14ac:dyDescent="0.35">
      <c r="A355" s="4"/>
      <c r="B355" s="4"/>
      <c r="F355" s="4"/>
      <c r="O355" s="4"/>
      <c r="P355" s="4"/>
      <c r="S355" s="4"/>
      <c r="T355" s="4"/>
      <c r="W355" s="4"/>
    </row>
    <row r="356" spans="1:23" ht="15.75" customHeight="1" x14ac:dyDescent="0.35">
      <c r="A356" s="4"/>
      <c r="B356" s="4"/>
      <c r="F356" s="4"/>
      <c r="O356" s="4"/>
      <c r="P356" s="4"/>
      <c r="S356" s="4"/>
      <c r="T356" s="4"/>
      <c r="W356" s="4"/>
    </row>
    <row r="357" spans="1:23" ht="15.75" customHeight="1" x14ac:dyDescent="0.35">
      <c r="A357" s="4"/>
      <c r="B357" s="4"/>
      <c r="F357" s="4"/>
      <c r="O357" s="4"/>
      <c r="P357" s="4"/>
      <c r="S357" s="4"/>
      <c r="T357" s="4"/>
      <c r="W357" s="4"/>
    </row>
    <row r="358" spans="1:23" ht="15.75" customHeight="1" x14ac:dyDescent="0.35">
      <c r="A358" s="4"/>
      <c r="B358" s="4"/>
      <c r="F358" s="4"/>
      <c r="O358" s="4"/>
      <c r="P358" s="4"/>
      <c r="S358" s="4"/>
      <c r="T358" s="4"/>
      <c r="W358" s="4"/>
    </row>
    <row r="359" spans="1:23" ht="15.75" customHeight="1" x14ac:dyDescent="0.35">
      <c r="A359" s="4"/>
      <c r="B359" s="4"/>
      <c r="F359" s="4"/>
      <c r="O359" s="4"/>
      <c r="P359" s="4"/>
      <c r="S359" s="4"/>
      <c r="T359" s="4"/>
      <c r="W359" s="4"/>
    </row>
    <row r="360" spans="1:23" ht="15.75" customHeight="1" x14ac:dyDescent="0.35">
      <c r="A360" s="4"/>
      <c r="B360" s="4"/>
      <c r="F360" s="4"/>
      <c r="O360" s="4"/>
      <c r="P360" s="4"/>
      <c r="S360" s="4"/>
      <c r="T360" s="4"/>
      <c r="W360" s="4"/>
    </row>
    <row r="361" spans="1:23" ht="15.75" customHeight="1" x14ac:dyDescent="0.35">
      <c r="A361" s="4"/>
      <c r="B361" s="4"/>
      <c r="F361" s="4"/>
      <c r="O361" s="4"/>
      <c r="P361" s="4"/>
      <c r="S361" s="4"/>
      <c r="T361" s="4"/>
      <c r="W361" s="4"/>
    </row>
    <row r="362" spans="1:23" ht="15.75" customHeight="1" x14ac:dyDescent="0.35">
      <c r="A362" s="4"/>
      <c r="B362" s="4"/>
      <c r="F362" s="4"/>
      <c r="O362" s="4"/>
      <c r="P362" s="4"/>
      <c r="S362" s="4"/>
      <c r="T362" s="4"/>
      <c r="W362" s="4"/>
    </row>
    <row r="363" spans="1:23" ht="15.75" customHeight="1" x14ac:dyDescent="0.35">
      <c r="A363" s="4"/>
      <c r="B363" s="4"/>
      <c r="F363" s="4"/>
      <c r="O363" s="4"/>
      <c r="P363" s="4"/>
      <c r="S363" s="4"/>
      <c r="T363" s="4"/>
      <c r="W363" s="4"/>
    </row>
    <row r="364" spans="1:23" ht="15.75" customHeight="1" x14ac:dyDescent="0.35">
      <c r="A364" s="4"/>
      <c r="B364" s="4"/>
      <c r="F364" s="4"/>
      <c r="O364" s="4"/>
      <c r="P364" s="4"/>
      <c r="S364" s="4"/>
      <c r="T364" s="4"/>
      <c r="W364" s="4"/>
    </row>
    <row r="365" spans="1:23" ht="15.75" customHeight="1" x14ac:dyDescent="0.35">
      <c r="A365" s="4"/>
      <c r="B365" s="4"/>
      <c r="F365" s="4"/>
      <c r="O365" s="4"/>
      <c r="P365" s="4"/>
      <c r="S365" s="4"/>
      <c r="T365" s="4"/>
      <c r="W365" s="4"/>
    </row>
    <row r="366" spans="1:23" ht="15.75" customHeight="1" x14ac:dyDescent="0.35">
      <c r="A366" s="4"/>
      <c r="B366" s="4"/>
      <c r="F366" s="4"/>
      <c r="O366" s="4"/>
      <c r="P366" s="4"/>
      <c r="S366" s="4"/>
      <c r="T366" s="4"/>
      <c r="W366" s="4"/>
    </row>
    <row r="367" spans="1:23" ht="15.75" customHeight="1" x14ac:dyDescent="0.35">
      <c r="A367" s="4"/>
      <c r="B367" s="4"/>
      <c r="F367" s="4"/>
      <c r="O367" s="4"/>
      <c r="P367" s="4"/>
      <c r="S367" s="4"/>
      <c r="T367" s="4"/>
      <c r="W367" s="4"/>
    </row>
    <row r="368" spans="1:23" ht="15.75" customHeight="1" x14ac:dyDescent="0.35">
      <c r="A368" s="4"/>
      <c r="B368" s="4"/>
      <c r="F368" s="4"/>
      <c r="O368" s="4"/>
      <c r="P368" s="4"/>
      <c r="S368" s="4"/>
      <c r="T368" s="4"/>
      <c r="W368" s="4"/>
    </row>
    <row r="369" spans="1:23" ht="15.75" customHeight="1" x14ac:dyDescent="0.35">
      <c r="A369" s="4"/>
      <c r="B369" s="4"/>
      <c r="F369" s="4"/>
      <c r="O369" s="4"/>
      <c r="P369" s="4"/>
      <c r="S369" s="4"/>
      <c r="T369" s="4"/>
      <c r="W369" s="4"/>
    </row>
    <row r="370" spans="1:23" ht="15.75" customHeight="1" x14ac:dyDescent="0.35">
      <c r="A370" s="4"/>
      <c r="B370" s="4"/>
      <c r="F370" s="4"/>
      <c r="O370" s="4"/>
      <c r="P370" s="4"/>
      <c r="S370" s="4"/>
      <c r="T370" s="4"/>
      <c r="W370" s="4"/>
    </row>
    <row r="371" spans="1:23" ht="15.75" customHeight="1" x14ac:dyDescent="0.35">
      <c r="A371" s="4"/>
      <c r="B371" s="4"/>
      <c r="F371" s="4"/>
      <c r="O371" s="4"/>
      <c r="P371" s="4"/>
      <c r="S371" s="4"/>
      <c r="T371" s="4"/>
      <c r="W371" s="4"/>
    </row>
    <row r="372" spans="1:23" ht="15.75" customHeight="1" x14ac:dyDescent="0.35">
      <c r="A372" s="4"/>
      <c r="B372" s="4"/>
      <c r="F372" s="4"/>
      <c r="O372" s="4"/>
      <c r="P372" s="4"/>
      <c r="S372" s="4"/>
      <c r="T372" s="4"/>
      <c r="W372" s="4"/>
    </row>
    <row r="373" spans="1:23" ht="15.75" customHeight="1" x14ac:dyDescent="0.35">
      <c r="A373" s="4"/>
      <c r="B373" s="4"/>
      <c r="F373" s="4"/>
      <c r="O373" s="4"/>
      <c r="P373" s="4"/>
      <c r="S373" s="4"/>
      <c r="T373" s="4"/>
      <c r="W373" s="4"/>
    </row>
    <row r="374" spans="1:23" ht="15.75" customHeight="1" x14ac:dyDescent="0.35">
      <c r="A374" s="4"/>
      <c r="B374" s="4"/>
      <c r="F374" s="4"/>
      <c r="O374" s="4"/>
      <c r="P374" s="4"/>
      <c r="S374" s="4"/>
      <c r="T374" s="4"/>
      <c r="W374" s="4"/>
    </row>
    <row r="375" spans="1:23" ht="15.75" customHeight="1" x14ac:dyDescent="0.35">
      <c r="A375" s="4"/>
      <c r="B375" s="4"/>
      <c r="F375" s="4"/>
      <c r="O375" s="4"/>
      <c r="P375" s="4"/>
      <c r="S375" s="4"/>
      <c r="T375" s="4"/>
      <c r="W375" s="4"/>
    </row>
    <row r="376" spans="1:23" ht="15.75" customHeight="1" x14ac:dyDescent="0.35">
      <c r="A376" s="4"/>
      <c r="B376" s="4"/>
      <c r="F376" s="4"/>
      <c r="O376" s="4"/>
      <c r="P376" s="4"/>
      <c r="S376" s="4"/>
      <c r="T376" s="4"/>
      <c r="W376" s="4"/>
    </row>
    <row r="377" spans="1:23" ht="15.75" customHeight="1" x14ac:dyDescent="0.35">
      <c r="A377" s="4"/>
      <c r="B377" s="4"/>
      <c r="F377" s="4"/>
      <c r="O377" s="4"/>
      <c r="P377" s="4"/>
      <c r="S377" s="4"/>
      <c r="T377" s="4"/>
      <c r="W377" s="4"/>
    </row>
    <row r="378" spans="1:23" ht="15.75" customHeight="1" x14ac:dyDescent="0.35">
      <c r="A378" s="4"/>
      <c r="B378" s="4"/>
      <c r="F378" s="4"/>
      <c r="O378" s="4"/>
      <c r="P378" s="4"/>
      <c r="S378" s="4"/>
      <c r="T378" s="4"/>
      <c r="W378" s="4"/>
    </row>
    <row r="379" spans="1:23" ht="15.75" customHeight="1" x14ac:dyDescent="0.35">
      <c r="A379" s="4"/>
      <c r="B379" s="4"/>
      <c r="F379" s="4"/>
      <c r="O379" s="4"/>
      <c r="P379" s="4"/>
      <c r="S379" s="4"/>
      <c r="T379" s="4"/>
      <c r="W379" s="4"/>
    </row>
    <row r="380" spans="1:23" ht="15.75" customHeight="1" x14ac:dyDescent="0.35">
      <c r="A380" s="4"/>
      <c r="B380" s="4"/>
      <c r="F380" s="4"/>
      <c r="O380" s="4"/>
      <c r="P380" s="4"/>
      <c r="S380" s="4"/>
      <c r="T380" s="4"/>
      <c r="W380" s="4"/>
    </row>
    <row r="381" spans="1:23" ht="15.75" customHeight="1" x14ac:dyDescent="0.35">
      <c r="A381" s="4"/>
      <c r="B381" s="4"/>
      <c r="F381" s="4"/>
      <c r="O381" s="4"/>
      <c r="P381" s="4"/>
      <c r="S381" s="4"/>
      <c r="T381" s="4"/>
      <c r="W381" s="4"/>
    </row>
    <row r="382" spans="1:23" ht="15.75" customHeight="1" x14ac:dyDescent="0.35">
      <c r="A382" s="4"/>
      <c r="B382" s="4"/>
      <c r="F382" s="4"/>
      <c r="O382" s="4"/>
      <c r="P382" s="4"/>
      <c r="S382" s="4"/>
      <c r="T382" s="4"/>
      <c r="W382" s="4"/>
    </row>
    <row r="383" spans="1:23" ht="15.75" customHeight="1" x14ac:dyDescent="0.35">
      <c r="A383" s="4"/>
      <c r="B383" s="4"/>
      <c r="F383" s="4"/>
      <c r="O383" s="4"/>
      <c r="P383" s="4"/>
      <c r="S383" s="4"/>
      <c r="T383" s="4"/>
      <c r="W383" s="4"/>
    </row>
    <row r="384" spans="1:23" ht="15.75" customHeight="1" x14ac:dyDescent="0.35">
      <c r="A384" s="4"/>
      <c r="B384" s="4"/>
      <c r="F384" s="4"/>
      <c r="O384" s="4"/>
      <c r="P384" s="4"/>
      <c r="S384" s="4"/>
      <c r="T384" s="4"/>
      <c r="W384" s="4"/>
    </row>
    <row r="385" spans="1:23" ht="15.75" customHeight="1" x14ac:dyDescent="0.35">
      <c r="A385" s="4"/>
      <c r="B385" s="4"/>
      <c r="F385" s="4"/>
      <c r="O385" s="4"/>
      <c r="P385" s="4"/>
      <c r="S385" s="4"/>
      <c r="T385" s="4"/>
      <c r="W385" s="4"/>
    </row>
    <row r="386" spans="1:23" ht="15.75" customHeight="1" x14ac:dyDescent="0.35">
      <c r="A386" s="4"/>
      <c r="B386" s="4"/>
      <c r="F386" s="4"/>
      <c r="O386" s="4"/>
      <c r="P386" s="4"/>
      <c r="S386" s="4"/>
      <c r="T386" s="4"/>
      <c r="W386" s="4"/>
    </row>
    <row r="387" spans="1:23" ht="15.75" customHeight="1" x14ac:dyDescent="0.35">
      <c r="A387" s="4"/>
      <c r="B387" s="4"/>
      <c r="F387" s="4"/>
      <c r="O387" s="4"/>
      <c r="P387" s="4"/>
      <c r="S387" s="4"/>
      <c r="T387" s="4"/>
      <c r="W387" s="4"/>
    </row>
    <row r="388" spans="1:23" ht="15.75" customHeight="1" x14ac:dyDescent="0.35">
      <c r="A388" s="4"/>
      <c r="B388" s="4"/>
      <c r="F388" s="4"/>
      <c r="O388" s="4"/>
      <c r="P388" s="4"/>
      <c r="S388" s="4"/>
      <c r="T388" s="4"/>
      <c r="W388" s="4"/>
    </row>
    <row r="389" spans="1:23" ht="15.75" customHeight="1" x14ac:dyDescent="0.35">
      <c r="A389" s="4"/>
      <c r="B389" s="4"/>
      <c r="F389" s="4"/>
      <c r="O389" s="4"/>
      <c r="P389" s="4"/>
      <c r="S389" s="4"/>
      <c r="T389" s="4"/>
      <c r="W389" s="4"/>
    </row>
    <row r="390" spans="1:23" ht="15.75" customHeight="1" x14ac:dyDescent="0.35">
      <c r="A390" s="4"/>
      <c r="B390" s="4"/>
      <c r="F390" s="4"/>
      <c r="O390" s="4"/>
      <c r="P390" s="4"/>
      <c r="S390" s="4"/>
      <c r="T390" s="4"/>
      <c r="W390" s="4"/>
    </row>
    <row r="391" spans="1:23" ht="15.75" customHeight="1" x14ac:dyDescent="0.35">
      <c r="A391" s="4"/>
      <c r="B391" s="4"/>
      <c r="F391" s="4"/>
      <c r="O391" s="4"/>
      <c r="P391" s="4"/>
      <c r="S391" s="4"/>
      <c r="T391" s="4"/>
      <c r="W391" s="4"/>
    </row>
    <row r="392" spans="1:23" ht="15.75" customHeight="1" x14ac:dyDescent="0.35">
      <c r="A392" s="4"/>
      <c r="B392" s="4"/>
      <c r="F392" s="4"/>
      <c r="O392" s="4"/>
      <c r="P392" s="4"/>
      <c r="S392" s="4"/>
      <c r="T392" s="4"/>
      <c r="W392" s="4"/>
    </row>
    <row r="393" spans="1:23" ht="15.75" customHeight="1" x14ac:dyDescent="0.35">
      <c r="A393" s="4"/>
      <c r="B393" s="4"/>
      <c r="F393" s="4"/>
      <c r="O393" s="4"/>
      <c r="P393" s="4"/>
      <c r="S393" s="4"/>
      <c r="T393" s="4"/>
      <c r="W393" s="4"/>
    </row>
    <row r="394" spans="1:23" ht="15.75" customHeight="1" x14ac:dyDescent="0.35">
      <c r="A394" s="4"/>
      <c r="B394" s="4"/>
      <c r="F394" s="4"/>
      <c r="O394" s="4"/>
      <c r="P394" s="4"/>
      <c r="S394" s="4"/>
      <c r="T394" s="4"/>
      <c r="W394" s="4"/>
    </row>
    <row r="395" spans="1:23" ht="15.75" customHeight="1" x14ac:dyDescent="0.35">
      <c r="A395" s="4"/>
      <c r="B395" s="4"/>
      <c r="F395" s="4"/>
      <c r="O395" s="4"/>
      <c r="P395" s="4"/>
      <c r="S395" s="4"/>
      <c r="T395" s="4"/>
      <c r="W395" s="4"/>
    </row>
    <row r="396" spans="1:23" ht="15.75" customHeight="1" x14ac:dyDescent="0.35">
      <c r="A396" s="4"/>
      <c r="B396" s="4"/>
      <c r="F396" s="4"/>
      <c r="O396" s="4"/>
      <c r="P396" s="4"/>
      <c r="S396" s="4"/>
      <c r="T396" s="4"/>
      <c r="W396" s="4"/>
    </row>
    <row r="397" spans="1:23" ht="15.75" customHeight="1" x14ac:dyDescent="0.35">
      <c r="A397" s="4"/>
      <c r="B397" s="4"/>
      <c r="F397" s="4"/>
      <c r="O397" s="4"/>
      <c r="P397" s="4"/>
      <c r="S397" s="4"/>
      <c r="T397" s="4"/>
      <c r="W397" s="4"/>
    </row>
    <row r="398" spans="1:23" ht="15.75" customHeight="1" x14ac:dyDescent="0.35">
      <c r="A398" s="4"/>
      <c r="B398" s="4"/>
      <c r="F398" s="4"/>
      <c r="O398" s="4"/>
      <c r="P398" s="4"/>
      <c r="S398" s="4"/>
      <c r="T398" s="4"/>
      <c r="W398" s="4"/>
    </row>
    <row r="399" spans="1:23" ht="15.75" customHeight="1" x14ac:dyDescent="0.35">
      <c r="A399" s="4"/>
      <c r="B399" s="4"/>
      <c r="F399" s="4"/>
      <c r="O399" s="4"/>
      <c r="P399" s="4"/>
      <c r="S399" s="4"/>
      <c r="T399" s="4"/>
      <c r="W399" s="4"/>
    </row>
    <row r="400" spans="1:23" ht="15.75" customHeight="1" x14ac:dyDescent="0.35">
      <c r="A400" s="4"/>
      <c r="B400" s="4"/>
      <c r="F400" s="4"/>
      <c r="O400" s="4"/>
      <c r="P400" s="4"/>
      <c r="S400" s="4"/>
      <c r="T400" s="4"/>
      <c r="W400" s="4"/>
    </row>
    <row r="401" spans="1:23" ht="15.75" customHeight="1" x14ac:dyDescent="0.35">
      <c r="A401" s="4"/>
      <c r="B401" s="4"/>
      <c r="F401" s="4"/>
      <c r="O401" s="4"/>
      <c r="P401" s="4"/>
      <c r="S401" s="4"/>
      <c r="T401" s="4"/>
      <c r="W401" s="4"/>
    </row>
    <row r="402" spans="1:23" ht="15.75" customHeight="1" x14ac:dyDescent="0.35">
      <c r="A402" s="4"/>
      <c r="B402" s="4"/>
      <c r="F402" s="4"/>
      <c r="O402" s="4"/>
      <c r="P402" s="4"/>
      <c r="S402" s="4"/>
      <c r="T402" s="4"/>
      <c r="W402" s="4"/>
    </row>
    <row r="403" spans="1:23" ht="15.75" customHeight="1" x14ac:dyDescent="0.35">
      <c r="A403" s="4"/>
      <c r="B403" s="4"/>
      <c r="F403" s="4"/>
      <c r="O403" s="4"/>
      <c r="P403" s="4"/>
      <c r="S403" s="4"/>
      <c r="T403" s="4"/>
      <c r="W403" s="4"/>
    </row>
    <row r="404" spans="1:23" ht="15.75" customHeight="1" x14ac:dyDescent="0.35">
      <c r="A404" s="4"/>
      <c r="B404" s="4"/>
      <c r="F404" s="4"/>
      <c r="O404" s="4"/>
      <c r="P404" s="4"/>
      <c r="S404" s="4"/>
      <c r="T404" s="4"/>
      <c r="W404" s="4"/>
    </row>
    <row r="405" spans="1:23" ht="15.75" customHeight="1" x14ac:dyDescent="0.35">
      <c r="A405" s="4"/>
      <c r="B405" s="4"/>
      <c r="F405" s="4"/>
      <c r="O405" s="4"/>
      <c r="P405" s="4"/>
      <c r="S405" s="4"/>
      <c r="T405" s="4"/>
      <c r="W405" s="4"/>
    </row>
    <row r="406" spans="1:23" ht="15.75" customHeight="1" x14ac:dyDescent="0.35">
      <c r="A406" s="4"/>
      <c r="B406" s="4"/>
      <c r="F406" s="4"/>
      <c r="O406" s="4"/>
      <c r="P406" s="4"/>
      <c r="S406" s="4"/>
      <c r="T406" s="4"/>
      <c r="W406" s="4"/>
    </row>
    <row r="407" spans="1:23" ht="15.75" customHeight="1" x14ac:dyDescent="0.35">
      <c r="A407" s="4"/>
      <c r="B407" s="4"/>
      <c r="F407" s="4"/>
      <c r="O407" s="4"/>
      <c r="P407" s="4"/>
      <c r="S407" s="4"/>
      <c r="T407" s="4"/>
      <c r="W407" s="4"/>
    </row>
    <row r="408" spans="1:23" ht="15.75" customHeight="1" x14ac:dyDescent="0.35">
      <c r="A408" s="4"/>
      <c r="B408" s="4"/>
      <c r="F408" s="4"/>
      <c r="O408" s="4"/>
      <c r="P408" s="4"/>
      <c r="S408" s="4"/>
      <c r="T408" s="4"/>
      <c r="W408" s="4"/>
    </row>
    <row r="409" spans="1:23" ht="15.75" customHeight="1" x14ac:dyDescent="0.35">
      <c r="A409" s="4"/>
      <c r="B409" s="4"/>
      <c r="F409" s="4"/>
      <c r="O409" s="4"/>
      <c r="P409" s="4"/>
      <c r="S409" s="4"/>
      <c r="T409" s="4"/>
      <c r="W409" s="4"/>
    </row>
    <row r="410" spans="1:23" ht="15.75" customHeight="1" x14ac:dyDescent="0.35">
      <c r="A410" s="4"/>
      <c r="B410" s="4"/>
      <c r="F410" s="4"/>
      <c r="O410" s="4"/>
      <c r="P410" s="4"/>
      <c r="S410" s="4"/>
      <c r="T410" s="4"/>
      <c r="W410" s="4"/>
    </row>
    <row r="411" spans="1:23" ht="15.75" customHeight="1" x14ac:dyDescent="0.35">
      <c r="A411" s="4"/>
      <c r="B411" s="4"/>
      <c r="F411" s="4"/>
      <c r="O411" s="4"/>
      <c r="P411" s="4"/>
      <c r="S411" s="4"/>
      <c r="T411" s="4"/>
      <c r="W411" s="4"/>
    </row>
    <row r="412" spans="1:23" ht="15.75" customHeight="1" x14ac:dyDescent="0.35">
      <c r="A412" s="4"/>
      <c r="B412" s="4"/>
      <c r="F412" s="4"/>
      <c r="O412" s="4"/>
      <c r="P412" s="4"/>
      <c r="S412" s="4"/>
      <c r="T412" s="4"/>
      <c r="W412" s="4"/>
    </row>
    <row r="413" spans="1:23" ht="15.75" customHeight="1" x14ac:dyDescent="0.35">
      <c r="A413" s="4"/>
      <c r="B413" s="4"/>
      <c r="F413" s="4"/>
      <c r="O413" s="4"/>
      <c r="P413" s="4"/>
      <c r="S413" s="4"/>
      <c r="T413" s="4"/>
      <c r="W413" s="4"/>
    </row>
    <row r="414" spans="1:23" ht="15.75" customHeight="1" x14ac:dyDescent="0.35">
      <c r="A414" s="4"/>
      <c r="B414" s="4"/>
      <c r="F414" s="4"/>
      <c r="O414" s="4"/>
      <c r="P414" s="4"/>
      <c r="S414" s="4"/>
      <c r="T414" s="4"/>
      <c r="W414" s="4"/>
    </row>
    <row r="415" spans="1:23" ht="15.75" customHeight="1" x14ac:dyDescent="0.35">
      <c r="A415" s="4"/>
      <c r="B415" s="4"/>
      <c r="F415" s="4"/>
      <c r="O415" s="4"/>
      <c r="P415" s="4"/>
      <c r="S415" s="4"/>
      <c r="T415" s="4"/>
      <c r="W415" s="4"/>
    </row>
    <row r="416" spans="1:23" ht="15.75" customHeight="1" x14ac:dyDescent="0.35">
      <c r="A416" s="4"/>
      <c r="B416" s="4"/>
      <c r="F416" s="4"/>
      <c r="O416" s="4"/>
      <c r="P416" s="4"/>
      <c r="S416" s="4"/>
      <c r="T416" s="4"/>
      <c r="W416" s="4"/>
    </row>
    <row r="417" spans="1:23" ht="15.75" customHeight="1" x14ac:dyDescent="0.35">
      <c r="A417" s="4"/>
      <c r="B417" s="4"/>
      <c r="F417" s="4"/>
      <c r="O417" s="4"/>
      <c r="P417" s="4"/>
      <c r="S417" s="4"/>
      <c r="T417" s="4"/>
      <c r="W417" s="4"/>
    </row>
    <row r="418" spans="1:23" ht="15.75" customHeight="1" x14ac:dyDescent="0.35">
      <c r="A418" s="4"/>
      <c r="B418" s="4"/>
      <c r="F418" s="4"/>
      <c r="O418" s="4"/>
      <c r="P418" s="4"/>
      <c r="S418" s="4"/>
      <c r="T418" s="4"/>
      <c r="W418" s="4"/>
    </row>
    <row r="419" spans="1:23" ht="15.75" customHeight="1" x14ac:dyDescent="0.35">
      <c r="A419" s="4"/>
      <c r="B419" s="4"/>
      <c r="F419" s="4"/>
      <c r="O419" s="4"/>
      <c r="P419" s="4"/>
      <c r="S419" s="4"/>
      <c r="T419" s="4"/>
      <c r="W419" s="4"/>
    </row>
    <row r="420" spans="1:23" ht="15.75" customHeight="1" x14ac:dyDescent="0.35">
      <c r="A420" s="4"/>
      <c r="B420" s="4"/>
      <c r="F420" s="4"/>
      <c r="O420" s="4"/>
      <c r="P420" s="4"/>
      <c r="S420" s="4"/>
      <c r="T420" s="4"/>
      <c r="W420" s="4"/>
    </row>
    <row r="421" spans="1:23" ht="15.75" customHeight="1" x14ac:dyDescent="0.35">
      <c r="A421" s="4"/>
      <c r="B421" s="4"/>
      <c r="F421" s="4"/>
      <c r="O421" s="4"/>
      <c r="P421" s="4"/>
      <c r="S421" s="4"/>
      <c r="T421" s="4"/>
      <c r="W421" s="4"/>
    </row>
    <row r="422" spans="1:23" ht="15.75" customHeight="1" x14ac:dyDescent="0.35">
      <c r="A422" s="4"/>
      <c r="B422" s="4"/>
      <c r="F422" s="4"/>
      <c r="O422" s="4"/>
      <c r="P422" s="4"/>
      <c r="S422" s="4"/>
      <c r="T422" s="4"/>
      <c r="W422" s="4"/>
    </row>
    <row r="423" spans="1:23" ht="15.75" customHeight="1" x14ac:dyDescent="0.35">
      <c r="A423" s="4"/>
      <c r="B423" s="4"/>
      <c r="F423" s="4"/>
      <c r="O423" s="4"/>
      <c r="P423" s="4"/>
      <c r="S423" s="4"/>
      <c r="T423" s="4"/>
      <c r="W423" s="4"/>
    </row>
    <row r="424" spans="1:23" ht="15.75" customHeight="1" x14ac:dyDescent="0.35">
      <c r="A424" s="4"/>
      <c r="B424" s="4"/>
      <c r="F424" s="4"/>
      <c r="O424" s="4"/>
      <c r="P424" s="4"/>
      <c r="S424" s="4"/>
      <c r="T424" s="4"/>
      <c r="W424" s="4"/>
    </row>
    <row r="425" spans="1:23" ht="15.75" customHeight="1" x14ac:dyDescent="0.35">
      <c r="A425" s="4"/>
      <c r="B425" s="4"/>
      <c r="F425" s="4"/>
      <c r="O425" s="4"/>
      <c r="P425" s="4"/>
      <c r="S425" s="4"/>
      <c r="T425" s="4"/>
      <c r="W425" s="4"/>
    </row>
    <row r="426" spans="1:23" ht="15.75" customHeight="1" x14ac:dyDescent="0.35">
      <c r="A426" s="4"/>
      <c r="B426" s="4"/>
      <c r="F426" s="4"/>
      <c r="O426" s="4"/>
      <c r="P426" s="4"/>
      <c r="S426" s="4"/>
      <c r="T426" s="4"/>
      <c r="W426" s="4"/>
    </row>
    <row r="427" spans="1:23" ht="15.75" customHeight="1" x14ac:dyDescent="0.35">
      <c r="A427" s="4"/>
      <c r="B427" s="4"/>
      <c r="F427" s="4"/>
      <c r="O427" s="4"/>
      <c r="P427" s="4"/>
      <c r="S427" s="4"/>
      <c r="T427" s="4"/>
      <c r="W427" s="4"/>
    </row>
    <row r="428" spans="1:23" ht="15.75" customHeight="1" x14ac:dyDescent="0.35">
      <c r="A428" s="4"/>
      <c r="B428" s="4"/>
      <c r="F428" s="4"/>
      <c r="O428" s="4"/>
      <c r="P428" s="4"/>
      <c r="S428" s="4"/>
      <c r="T428" s="4"/>
      <c r="W428" s="4"/>
    </row>
    <row r="429" spans="1:23" ht="15.75" customHeight="1" x14ac:dyDescent="0.35">
      <c r="A429" s="4"/>
      <c r="B429" s="4"/>
      <c r="F429" s="4"/>
      <c r="O429" s="4"/>
      <c r="P429" s="4"/>
      <c r="S429" s="4"/>
      <c r="T429" s="4"/>
      <c r="W429" s="4"/>
    </row>
    <row r="430" spans="1:23" ht="15.75" customHeight="1" x14ac:dyDescent="0.35">
      <c r="A430" s="4"/>
      <c r="B430" s="4"/>
      <c r="F430" s="4"/>
      <c r="O430" s="4"/>
      <c r="P430" s="4"/>
      <c r="S430" s="4"/>
      <c r="T430" s="4"/>
      <c r="W430" s="4"/>
    </row>
    <row r="431" spans="1:23" ht="15.75" customHeight="1" x14ac:dyDescent="0.35">
      <c r="A431" s="4"/>
      <c r="B431" s="4"/>
      <c r="F431" s="4"/>
      <c r="O431" s="4"/>
      <c r="P431" s="4"/>
      <c r="S431" s="4"/>
      <c r="T431" s="4"/>
      <c r="W431" s="4"/>
    </row>
    <row r="432" spans="1:23" ht="15.75" customHeight="1" x14ac:dyDescent="0.35">
      <c r="A432" s="4"/>
      <c r="B432" s="4"/>
      <c r="F432" s="4"/>
      <c r="O432" s="4"/>
      <c r="P432" s="4"/>
      <c r="S432" s="4"/>
      <c r="T432" s="4"/>
      <c r="W432" s="4"/>
    </row>
    <row r="433" spans="1:23" ht="15.75" customHeight="1" x14ac:dyDescent="0.35">
      <c r="A433" s="4"/>
      <c r="B433" s="4"/>
      <c r="F433" s="4"/>
      <c r="O433" s="4"/>
      <c r="P433" s="4"/>
      <c r="S433" s="4"/>
      <c r="T433" s="4"/>
      <c r="W433" s="4"/>
    </row>
    <row r="434" spans="1:23" ht="15.75" customHeight="1" x14ac:dyDescent="0.35">
      <c r="A434" s="4"/>
      <c r="B434" s="4"/>
      <c r="F434" s="4"/>
      <c r="O434" s="4"/>
      <c r="P434" s="4"/>
      <c r="S434" s="4"/>
      <c r="T434" s="4"/>
      <c r="W434" s="4"/>
    </row>
    <row r="435" spans="1:23" ht="15.75" customHeight="1" x14ac:dyDescent="0.35">
      <c r="A435" s="4"/>
      <c r="B435" s="4"/>
      <c r="F435" s="4"/>
      <c r="O435" s="4"/>
      <c r="P435" s="4"/>
      <c r="S435" s="4"/>
      <c r="T435" s="4"/>
      <c r="W435" s="4"/>
    </row>
    <row r="436" spans="1:23" ht="15.75" customHeight="1" x14ac:dyDescent="0.35">
      <c r="A436" s="4"/>
      <c r="B436" s="4"/>
      <c r="F436" s="4"/>
      <c r="O436" s="4"/>
      <c r="P436" s="4"/>
      <c r="S436" s="4"/>
      <c r="T436" s="4"/>
      <c r="W436" s="4"/>
    </row>
    <row r="437" spans="1:23" ht="15.75" customHeight="1" x14ac:dyDescent="0.35">
      <c r="A437" s="4"/>
      <c r="B437" s="4"/>
      <c r="F437" s="4"/>
      <c r="O437" s="4"/>
      <c r="P437" s="4"/>
      <c r="S437" s="4"/>
      <c r="T437" s="4"/>
      <c r="W437" s="4"/>
    </row>
    <row r="438" spans="1:23" ht="15.75" customHeight="1" x14ac:dyDescent="0.35">
      <c r="A438" s="4"/>
      <c r="B438" s="4"/>
      <c r="F438" s="4"/>
      <c r="O438" s="4"/>
      <c r="P438" s="4"/>
      <c r="S438" s="4"/>
      <c r="T438" s="4"/>
      <c r="W438" s="4"/>
    </row>
    <row r="439" spans="1:23" ht="15.75" customHeight="1" x14ac:dyDescent="0.35">
      <c r="A439" s="4"/>
      <c r="B439" s="4"/>
      <c r="F439" s="4"/>
      <c r="O439" s="4"/>
      <c r="P439" s="4"/>
      <c r="S439" s="4"/>
      <c r="T439" s="4"/>
      <c r="W439" s="4"/>
    </row>
    <row r="440" spans="1:23" ht="15.75" customHeight="1" x14ac:dyDescent="0.35">
      <c r="A440" s="4"/>
      <c r="B440" s="4"/>
      <c r="F440" s="4"/>
      <c r="O440" s="4"/>
      <c r="P440" s="4"/>
      <c r="S440" s="4"/>
      <c r="T440" s="4"/>
      <c r="W440" s="4"/>
    </row>
    <row r="441" spans="1:23" ht="15.75" customHeight="1" x14ac:dyDescent="0.35">
      <c r="A441" s="4"/>
      <c r="B441" s="4"/>
      <c r="F441" s="4"/>
      <c r="O441" s="4"/>
      <c r="P441" s="4"/>
      <c r="S441" s="4"/>
      <c r="T441" s="4"/>
      <c r="W441" s="4"/>
    </row>
    <row r="442" spans="1:23" ht="15.75" customHeight="1" x14ac:dyDescent="0.35">
      <c r="A442" s="4"/>
      <c r="B442" s="4"/>
      <c r="F442" s="4"/>
      <c r="O442" s="4"/>
      <c r="P442" s="4"/>
      <c r="S442" s="4"/>
      <c r="T442" s="4"/>
      <c r="W442" s="4"/>
    </row>
    <row r="443" spans="1:23" ht="15.75" customHeight="1" x14ac:dyDescent="0.35">
      <c r="A443" s="4"/>
      <c r="B443" s="4"/>
      <c r="F443" s="4"/>
      <c r="O443" s="4"/>
      <c r="P443" s="4"/>
      <c r="S443" s="4"/>
      <c r="T443" s="4"/>
      <c r="W443" s="4"/>
    </row>
    <row r="444" spans="1:23" ht="15.75" customHeight="1" x14ac:dyDescent="0.35">
      <c r="A444" s="4"/>
      <c r="B444" s="4"/>
      <c r="F444" s="4"/>
      <c r="O444" s="4"/>
      <c r="P444" s="4"/>
      <c r="S444" s="4"/>
      <c r="T444" s="4"/>
      <c r="W444" s="4"/>
    </row>
    <row r="445" spans="1:23" ht="15.75" customHeight="1" x14ac:dyDescent="0.35">
      <c r="A445" s="4"/>
      <c r="B445" s="4"/>
      <c r="F445" s="4"/>
      <c r="O445" s="4"/>
      <c r="P445" s="4"/>
      <c r="S445" s="4"/>
      <c r="T445" s="4"/>
      <c r="W445" s="4"/>
    </row>
    <row r="446" spans="1:23" ht="15.75" customHeight="1" x14ac:dyDescent="0.35">
      <c r="A446" s="4"/>
      <c r="B446" s="4"/>
      <c r="F446" s="4"/>
      <c r="O446" s="4"/>
      <c r="P446" s="4"/>
      <c r="S446" s="4"/>
      <c r="T446" s="4"/>
      <c r="W446" s="4"/>
    </row>
    <row r="447" spans="1:23" ht="15.75" customHeight="1" x14ac:dyDescent="0.35">
      <c r="A447" s="4"/>
      <c r="B447" s="4"/>
      <c r="F447" s="4"/>
      <c r="O447" s="4"/>
      <c r="P447" s="4"/>
      <c r="S447" s="4"/>
      <c r="T447" s="4"/>
      <c r="W447" s="4"/>
    </row>
    <row r="448" spans="1:23" ht="15.75" customHeight="1" x14ac:dyDescent="0.35">
      <c r="A448" s="4"/>
      <c r="B448" s="4"/>
      <c r="F448" s="4"/>
      <c r="O448" s="4"/>
      <c r="P448" s="4"/>
      <c r="S448" s="4"/>
      <c r="T448" s="4"/>
      <c r="W448" s="4"/>
    </row>
    <row r="449" spans="1:23" ht="15.75" customHeight="1" x14ac:dyDescent="0.35">
      <c r="A449" s="4"/>
      <c r="B449" s="4"/>
      <c r="F449" s="4"/>
      <c r="O449" s="4"/>
      <c r="P449" s="4"/>
      <c r="S449" s="4"/>
      <c r="T449" s="4"/>
      <c r="W449" s="4"/>
    </row>
    <row r="450" spans="1:23" ht="15.75" customHeight="1" x14ac:dyDescent="0.35">
      <c r="A450" s="4"/>
      <c r="B450" s="4"/>
      <c r="F450" s="4"/>
      <c r="O450" s="4"/>
      <c r="P450" s="4"/>
      <c r="S450" s="4"/>
      <c r="T450" s="4"/>
      <c r="W450" s="4"/>
    </row>
    <row r="451" spans="1:23" ht="15.75" customHeight="1" x14ac:dyDescent="0.35">
      <c r="A451" s="4"/>
      <c r="B451" s="4"/>
      <c r="F451" s="4"/>
      <c r="O451" s="4"/>
      <c r="P451" s="4"/>
      <c r="S451" s="4"/>
      <c r="T451" s="4"/>
      <c r="W451" s="4"/>
    </row>
    <row r="452" spans="1:23" ht="15.75" customHeight="1" x14ac:dyDescent="0.35">
      <c r="A452" s="4"/>
      <c r="B452" s="4"/>
      <c r="F452" s="4"/>
      <c r="O452" s="4"/>
      <c r="P452" s="4"/>
      <c r="S452" s="4"/>
      <c r="T452" s="4"/>
      <c r="W452" s="4"/>
    </row>
    <row r="453" spans="1:23" ht="15.75" customHeight="1" x14ac:dyDescent="0.35">
      <c r="A453" s="4"/>
      <c r="B453" s="4"/>
      <c r="F453" s="4"/>
      <c r="O453" s="4"/>
      <c r="P453" s="4"/>
      <c r="S453" s="4"/>
      <c r="T453" s="4"/>
      <c r="W453" s="4"/>
    </row>
    <row r="454" spans="1:23" ht="15.75" customHeight="1" x14ac:dyDescent="0.35">
      <c r="A454" s="4"/>
      <c r="B454" s="4"/>
      <c r="F454" s="4"/>
      <c r="O454" s="4"/>
      <c r="P454" s="4"/>
      <c r="S454" s="4"/>
      <c r="T454" s="4"/>
      <c r="W454" s="4"/>
    </row>
    <row r="455" spans="1:23" ht="15.75" customHeight="1" x14ac:dyDescent="0.35">
      <c r="A455" s="4"/>
      <c r="B455" s="4"/>
      <c r="F455" s="4"/>
      <c r="O455" s="4"/>
      <c r="P455" s="4"/>
      <c r="S455" s="4"/>
      <c r="T455" s="4"/>
      <c r="W455" s="4"/>
    </row>
    <row r="456" spans="1:23" ht="15.75" customHeight="1" x14ac:dyDescent="0.35">
      <c r="A456" s="4"/>
      <c r="B456" s="4"/>
      <c r="F456" s="4"/>
      <c r="O456" s="4"/>
      <c r="P456" s="4"/>
      <c r="S456" s="4"/>
      <c r="T456" s="4"/>
      <c r="W456" s="4"/>
    </row>
    <row r="457" spans="1:23" ht="15.75" customHeight="1" x14ac:dyDescent="0.35">
      <c r="A457" s="4"/>
      <c r="B457" s="4"/>
      <c r="F457" s="4"/>
      <c r="O457" s="4"/>
      <c r="P457" s="4"/>
      <c r="S457" s="4"/>
      <c r="T457" s="4"/>
      <c r="W457" s="4"/>
    </row>
    <row r="458" spans="1:23" ht="15.75" customHeight="1" x14ac:dyDescent="0.35">
      <c r="A458" s="4"/>
      <c r="B458" s="4"/>
      <c r="F458" s="4"/>
      <c r="O458" s="4"/>
      <c r="P458" s="4"/>
      <c r="S458" s="4"/>
      <c r="T458" s="4"/>
      <c r="W458" s="4"/>
    </row>
    <row r="459" spans="1:23" ht="15.75" customHeight="1" x14ac:dyDescent="0.35">
      <c r="A459" s="4"/>
      <c r="B459" s="4"/>
      <c r="F459" s="4"/>
      <c r="O459" s="4"/>
      <c r="P459" s="4"/>
      <c r="S459" s="4"/>
      <c r="T459" s="4"/>
      <c r="W459" s="4"/>
    </row>
    <row r="460" spans="1:23" ht="15.75" customHeight="1" x14ac:dyDescent="0.35">
      <c r="A460" s="4"/>
      <c r="B460" s="4"/>
      <c r="F460" s="4"/>
      <c r="O460" s="4"/>
      <c r="P460" s="4"/>
      <c r="S460" s="4"/>
      <c r="T460" s="4"/>
      <c r="W460" s="4"/>
    </row>
    <row r="461" spans="1:23" ht="15.75" customHeight="1" x14ac:dyDescent="0.35">
      <c r="A461" s="4"/>
      <c r="B461" s="4"/>
      <c r="F461" s="4"/>
      <c r="O461" s="4"/>
      <c r="P461" s="4"/>
      <c r="S461" s="4"/>
      <c r="T461" s="4"/>
      <c r="W461" s="4"/>
    </row>
    <row r="462" spans="1:23" ht="15.75" customHeight="1" x14ac:dyDescent="0.35">
      <c r="A462" s="4"/>
      <c r="B462" s="4"/>
      <c r="F462" s="4"/>
      <c r="O462" s="4"/>
      <c r="P462" s="4"/>
      <c r="S462" s="4"/>
      <c r="T462" s="4"/>
      <c r="W462" s="4"/>
    </row>
    <row r="463" spans="1:23" ht="15.75" customHeight="1" x14ac:dyDescent="0.35">
      <c r="A463" s="4"/>
      <c r="B463" s="4"/>
      <c r="F463" s="4"/>
      <c r="O463" s="4"/>
      <c r="P463" s="4"/>
      <c r="S463" s="4"/>
      <c r="T463" s="4"/>
      <c r="W463" s="4"/>
    </row>
    <row r="464" spans="1:23" ht="15.75" customHeight="1" x14ac:dyDescent="0.35">
      <c r="A464" s="4"/>
      <c r="B464" s="4"/>
      <c r="F464" s="4"/>
      <c r="O464" s="4"/>
      <c r="P464" s="4"/>
      <c r="S464" s="4"/>
      <c r="T464" s="4"/>
      <c r="W464" s="4"/>
    </row>
    <row r="465" spans="1:23" ht="15.75" customHeight="1" x14ac:dyDescent="0.35">
      <c r="A465" s="4"/>
      <c r="B465" s="4"/>
      <c r="F465" s="4"/>
      <c r="O465" s="4"/>
      <c r="P465" s="4"/>
      <c r="S465" s="4"/>
      <c r="T465" s="4"/>
      <c r="W465" s="4"/>
    </row>
    <row r="466" spans="1:23" ht="15.75" customHeight="1" x14ac:dyDescent="0.35">
      <c r="A466" s="4"/>
      <c r="B466" s="4"/>
      <c r="F466" s="4"/>
      <c r="O466" s="4"/>
      <c r="P466" s="4"/>
      <c r="S466" s="4"/>
      <c r="T466" s="4"/>
      <c r="W466" s="4"/>
    </row>
    <row r="467" spans="1:23" ht="15.75" customHeight="1" x14ac:dyDescent="0.35">
      <c r="A467" s="4"/>
      <c r="B467" s="4"/>
      <c r="F467" s="4"/>
      <c r="O467" s="4"/>
      <c r="P467" s="4"/>
      <c r="S467" s="4"/>
      <c r="T467" s="4"/>
      <c r="W467" s="4"/>
    </row>
    <row r="468" spans="1:23" ht="15.75" customHeight="1" x14ac:dyDescent="0.35">
      <c r="A468" s="4"/>
      <c r="B468" s="4"/>
      <c r="F468" s="4"/>
      <c r="O468" s="4"/>
      <c r="P468" s="4"/>
      <c r="S468" s="4"/>
      <c r="T468" s="4"/>
      <c r="W468" s="4"/>
    </row>
    <row r="469" spans="1:23" ht="15.75" customHeight="1" x14ac:dyDescent="0.35">
      <c r="A469" s="4"/>
      <c r="B469" s="4"/>
      <c r="F469" s="4"/>
      <c r="O469" s="4"/>
      <c r="P469" s="4"/>
      <c r="S469" s="4"/>
      <c r="T469" s="4"/>
      <c r="W469" s="4"/>
    </row>
    <row r="470" spans="1:23" ht="15.75" customHeight="1" x14ac:dyDescent="0.35">
      <c r="A470" s="4"/>
      <c r="B470" s="4"/>
      <c r="F470" s="4"/>
      <c r="O470" s="4"/>
      <c r="P470" s="4"/>
      <c r="S470" s="4"/>
      <c r="T470" s="4"/>
      <c r="W470" s="4"/>
    </row>
    <row r="471" spans="1:23" ht="15.75" customHeight="1" x14ac:dyDescent="0.35">
      <c r="A471" s="4"/>
      <c r="B471" s="4"/>
      <c r="F471" s="4"/>
      <c r="O471" s="4"/>
      <c r="P471" s="4"/>
      <c r="S471" s="4"/>
      <c r="T471" s="4"/>
      <c r="W471" s="4"/>
    </row>
    <row r="472" spans="1:23" ht="15.75" customHeight="1" x14ac:dyDescent="0.35">
      <c r="A472" s="4"/>
      <c r="B472" s="4"/>
      <c r="F472" s="4"/>
      <c r="O472" s="4"/>
      <c r="P472" s="4"/>
      <c r="S472" s="4"/>
      <c r="T472" s="4"/>
      <c r="W472" s="4"/>
    </row>
    <row r="473" spans="1:23" ht="15.75" customHeight="1" x14ac:dyDescent="0.35">
      <c r="A473" s="4"/>
      <c r="B473" s="4"/>
      <c r="F473" s="4"/>
      <c r="O473" s="4"/>
      <c r="P473" s="4"/>
      <c r="S473" s="4"/>
      <c r="T473" s="4"/>
      <c r="W473" s="4"/>
    </row>
    <row r="474" spans="1:23" ht="15.75" customHeight="1" x14ac:dyDescent="0.35">
      <c r="A474" s="4"/>
      <c r="B474" s="4"/>
      <c r="F474" s="4"/>
      <c r="O474" s="4"/>
      <c r="P474" s="4"/>
      <c r="S474" s="4"/>
      <c r="T474" s="4"/>
      <c r="W474" s="4"/>
    </row>
    <row r="475" spans="1:23" ht="15.75" customHeight="1" x14ac:dyDescent="0.35">
      <c r="A475" s="4"/>
      <c r="B475" s="4"/>
      <c r="F475" s="4"/>
      <c r="O475" s="4"/>
      <c r="P475" s="4"/>
      <c r="S475" s="4"/>
      <c r="T475" s="4"/>
      <c r="W475" s="4"/>
    </row>
    <row r="476" spans="1:23" ht="15.75" customHeight="1" x14ac:dyDescent="0.35">
      <c r="A476" s="4"/>
      <c r="B476" s="4"/>
      <c r="F476" s="4"/>
      <c r="O476" s="4"/>
      <c r="P476" s="4"/>
      <c r="S476" s="4"/>
      <c r="T476" s="4"/>
      <c r="W476" s="4"/>
    </row>
    <row r="477" spans="1:23" ht="15.75" customHeight="1" x14ac:dyDescent="0.35">
      <c r="A477" s="4"/>
      <c r="B477" s="4"/>
      <c r="F477" s="4"/>
      <c r="O477" s="4"/>
      <c r="P477" s="4"/>
      <c r="S477" s="4"/>
      <c r="T477" s="4"/>
      <c r="W477" s="4"/>
    </row>
    <row r="478" spans="1:23" ht="15.75" customHeight="1" x14ac:dyDescent="0.35">
      <c r="A478" s="4"/>
      <c r="B478" s="4"/>
      <c r="F478" s="4"/>
      <c r="O478" s="4"/>
      <c r="P478" s="4"/>
      <c r="S478" s="4"/>
      <c r="T478" s="4"/>
      <c r="W478" s="4"/>
    </row>
    <row r="479" spans="1:23" ht="15.75" customHeight="1" x14ac:dyDescent="0.35">
      <c r="A479" s="4"/>
      <c r="B479" s="4"/>
      <c r="F479" s="4"/>
      <c r="O479" s="4"/>
      <c r="P479" s="4"/>
      <c r="S479" s="4"/>
      <c r="T479" s="4"/>
      <c r="W479" s="4"/>
    </row>
    <row r="480" spans="1:23" ht="15.75" customHeight="1" x14ac:dyDescent="0.35">
      <c r="A480" s="4"/>
      <c r="B480" s="4"/>
      <c r="F480" s="4"/>
      <c r="O480" s="4"/>
      <c r="P480" s="4"/>
      <c r="S480" s="4"/>
      <c r="T480" s="4"/>
      <c r="W480" s="4"/>
    </row>
    <row r="481" spans="1:23" ht="15.75" customHeight="1" x14ac:dyDescent="0.35">
      <c r="A481" s="4"/>
      <c r="B481" s="4"/>
      <c r="F481" s="4"/>
      <c r="O481" s="4"/>
      <c r="P481" s="4"/>
      <c r="S481" s="4"/>
      <c r="T481" s="4"/>
      <c r="W481" s="4"/>
    </row>
    <row r="482" spans="1:23" ht="15.75" customHeight="1" x14ac:dyDescent="0.35">
      <c r="A482" s="4"/>
      <c r="B482" s="4"/>
      <c r="F482" s="4"/>
      <c r="O482" s="4"/>
      <c r="P482" s="4"/>
      <c r="S482" s="4"/>
      <c r="T482" s="4"/>
      <c r="W482" s="4"/>
    </row>
    <row r="483" spans="1:23" ht="15.75" customHeight="1" x14ac:dyDescent="0.35">
      <c r="A483" s="4"/>
      <c r="B483" s="4"/>
      <c r="F483" s="4"/>
      <c r="O483" s="4"/>
      <c r="P483" s="4"/>
      <c r="S483" s="4"/>
      <c r="T483" s="4"/>
      <c r="W483" s="4"/>
    </row>
    <row r="484" spans="1:23" ht="15.75" customHeight="1" x14ac:dyDescent="0.35">
      <c r="A484" s="4"/>
      <c r="B484" s="4"/>
      <c r="F484" s="4"/>
      <c r="O484" s="4"/>
      <c r="P484" s="4"/>
      <c r="S484" s="4"/>
      <c r="T484" s="4"/>
      <c r="W484" s="4"/>
    </row>
    <row r="485" spans="1:23" ht="15.75" customHeight="1" x14ac:dyDescent="0.35">
      <c r="A485" s="4"/>
      <c r="B485" s="4"/>
      <c r="F485" s="4"/>
      <c r="O485" s="4"/>
      <c r="P485" s="4"/>
      <c r="S485" s="4"/>
      <c r="T485" s="4"/>
      <c r="W485" s="4"/>
    </row>
    <row r="486" spans="1:23" ht="15.75" customHeight="1" x14ac:dyDescent="0.35">
      <c r="A486" s="4"/>
      <c r="B486" s="4"/>
      <c r="F486" s="4"/>
      <c r="O486" s="4"/>
      <c r="P486" s="4"/>
      <c r="S486" s="4"/>
      <c r="T486" s="4"/>
      <c r="W486" s="4"/>
    </row>
    <row r="487" spans="1:23" ht="15.75" customHeight="1" x14ac:dyDescent="0.35">
      <c r="A487" s="4"/>
      <c r="B487" s="4"/>
      <c r="F487" s="4"/>
      <c r="O487" s="4"/>
      <c r="P487" s="4"/>
      <c r="S487" s="4"/>
      <c r="T487" s="4"/>
      <c r="W487" s="4"/>
    </row>
    <row r="488" spans="1:23" ht="15.75" customHeight="1" x14ac:dyDescent="0.35">
      <c r="A488" s="4"/>
      <c r="B488" s="4"/>
      <c r="F488" s="4"/>
      <c r="O488" s="4"/>
      <c r="P488" s="4"/>
      <c r="S488" s="4"/>
      <c r="T488" s="4"/>
      <c r="W488" s="4"/>
    </row>
    <row r="489" spans="1:23" ht="15.75" customHeight="1" x14ac:dyDescent="0.35">
      <c r="A489" s="4"/>
      <c r="B489" s="4"/>
      <c r="F489" s="4"/>
      <c r="O489" s="4"/>
      <c r="P489" s="4"/>
      <c r="S489" s="4"/>
      <c r="T489" s="4"/>
      <c r="W489" s="4"/>
    </row>
    <row r="490" spans="1:23" ht="15.75" customHeight="1" x14ac:dyDescent="0.35">
      <c r="A490" s="4"/>
      <c r="B490" s="4"/>
      <c r="F490" s="4"/>
      <c r="O490" s="4"/>
      <c r="P490" s="4"/>
      <c r="S490" s="4"/>
      <c r="T490" s="4"/>
      <c r="W490" s="4"/>
    </row>
    <row r="491" spans="1:23" ht="15.75" customHeight="1" x14ac:dyDescent="0.35">
      <c r="A491" s="4"/>
      <c r="B491" s="4"/>
      <c r="F491" s="4"/>
      <c r="O491" s="4"/>
      <c r="P491" s="4"/>
      <c r="S491" s="4"/>
      <c r="T491" s="4"/>
      <c r="W491" s="4"/>
    </row>
    <row r="492" spans="1:23" ht="15.75" customHeight="1" x14ac:dyDescent="0.35">
      <c r="A492" s="4"/>
      <c r="B492" s="4"/>
      <c r="F492" s="4"/>
      <c r="O492" s="4"/>
      <c r="P492" s="4"/>
      <c r="S492" s="4"/>
      <c r="T492" s="4"/>
      <c r="W492" s="4"/>
    </row>
    <row r="493" spans="1:23" ht="15.75" customHeight="1" x14ac:dyDescent="0.35">
      <c r="A493" s="4"/>
      <c r="B493" s="4"/>
      <c r="F493" s="4"/>
      <c r="O493" s="4"/>
      <c r="P493" s="4"/>
      <c r="S493" s="4"/>
      <c r="T493" s="4"/>
      <c r="W493" s="4"/>
    </row>
    <row r="494" spans="1:23" ht="15.75" customHeight="1" x14ac:dyDescent="0.35">
      <c r="A494" s="4"/>
      <c r="B494" s="4"/>
      <c r="F494" s="4"/>
      <c r="O494" s="4"/>
      <c r="P494" s="4"/>
      <c r="S494" s="4"/>
      <c r="T494" s="4"/>
      <c r="W494" s="4"/>
    </row>
    <row r="495" spans="1:23" ht="15.75" customHeight="1" x14ac:dyDescent="0.35">
      <c r="A495" s="4"/>
      <c r="B495" s="4"/>
      <c r="F495" s="4"/>
      <c r="O495" s="4"/>
      <c r="P495" s="4"/>
      <c r="S495" s="4"/>
      <c r="T495" s="4"/>
      <c r="W495" s="4"/>
    </row>
    <row r="496" spans="1:23" ht="15.75" customHeight="1" x14ac:dyDescent="0.35">
      <c r="A496" s="4"/>
      <c r="B496" s="4"/>
      <c r="F496" s="4"/>
      <c r="O496" s="4"/>
      <c r="P496" s="4"/>
      <c r="S496" s="4"/>
      <c r="T496" s="4"/>
      <c r="W496" s="4"/>
    </row>
    <row r="497" spans="1:23" ht="15.75" customHeight="1" x14ac:dyDescent="0.35">
      <c r="A497" s="4"/>
      <c r="B497" s="4"/>
      <c r="F497" s="4"/>
      <c r="O497" s="4"/>
      <c r="P497" s="4"/>
      <c r="S497" s="4"/>
      <c r="T497" s="4"/>
      <c r="W497" s="4"/>
    </row>
    <row r="498" spans="1:23" ht="15.75" customHeight="1" x14ac:dyDescent="0.35">
      <c r="A498" s="4"/>
      <c r="B498" s="4"/>
      <c r="F498" s="4"/>
      <c r="O498" s="4"/>
      <c r="P498" s="4"/>
      <c r="S498" s="4"/>
      <c r="T498" s="4"/>
      <c r="W498" s="4"/>
    </row>
    <row r="499" spans="1:23" ht="15.75" customHeight="1" x14ac:dyDescent="0.35">
      <c r="A499" s="4"/>
      <c r="B499" s="4"/>
      <c r="F499" s="4"/>
      <c r="O499" s="4"/>
      <c r="P499" s="4"/>
      <c r="S499" s="4"/>
      <c r="T499" s="4"/>
      <c r="W499" s="4"/>
    </row>
    <row r="500" spans="1:23" ht="15.75" customHeight="1" x14ac:dyDescent="0.35">
      <c r="A500" s="4"/>
      <c r="B500" s="4"/>
      <c r="F500" s="4"/>
      <c r="O500" s="4"/>
      <c r="P500" s="4"/>
      <c r="S500" s="4"/>
      <c r="T500" s="4"/>
      <c r="W500" s="4"/>
    </row>
    <row r="501" spans="1:23" ht="15.75" customHeight="1" x14ac:dyDescent="0.35">
      <c r="A501" s="4"/>
      <c r="B501" s="4"/>
      <c r="F501" s="4"/>
      <c r="O501" s="4"/>
      <c r="P501" s="4"/>
      <c r="S501" s="4"/>
      <c r="T501" s="4"/>
      <c r="W501" s="4"/>
    </row>
    <row r="502" spans="1:23" ht="15.75" customHeight="1" x14ac:dyDescent="0.35">
      <c r="A502" s="4"/>
      <c r="B502" s="4"/>
      <c r="F502" s="4"/>
      <c r="O502" s="4"/>
      <c r="P502" s="4"/>
      <c r="S502" s="4"/>
      <c r="T502" s="4"/>
      <c r="W502" s="4"/>
    </row>
    <row r="503" spans="1:23" ht="15.75" customHeight="1" x14ac:dyDescent="0.35">
      <c r="A503" s="4"/>
      <c r="B503" s="4"/>
      <c r="F503" s="4"/>
      <c r="O503" s="4"/>
      <c r="P503" s="4"/>
      <c r="S503" s="4"/>
      <c r="T503" s="4"/>
      <c r="W503" s="4"/>
    </row>
    <row r="504" spans="1:23" ht="15.75" customHeight="1" x14ac:dyDescent="0.35">
      <c r="A504" s="4"/>
      <c r="B504" s="4"/>
      <c r="F504" s="4"/>
      <c r="O504" s="4"/>
      <c r="P504" s="4"/>
      <c r="S504" s="4"/>
      <c r="T504" s="4"/>
      <c r="W504" s="4"/>
    </row>
    <row r="505" spans="1:23" ht="15.75" customHeight="1" x14ac:dyDescent="0.35">
      <c r="A505" s="4"/>
      <c r="B505" s="4"/>
      <c r="F505" s="4"/>
      <c r="O505" s="4"/>
      <c r="P505" s="4"/>
      <c r="S505" s="4"/>
      <c r="T505" s="4"/>
      <c r="W505" s="4"/>
    </row>
    <row r="506" spans="1:23" ht="15.75" customHeight="1" x14ac:dyDescent="0.35">
      <c r="A506" s="4"/>
      <c r="B506" s="4"/>
      <c r="F506" s="4"/>
      <c r="O506" s="4"/>
      <c r="P506" s="4"/>
      <c r="S506" s="4"/>
      <c r="T506" s="4"/>
      <c r="W506" s="4"/>
    </row>
    <row r="507" spans="1:23" ht="15.75" customHeight="1" x14ac:dyDescent="0.35">
      <c r="A507" s="4"/>
      <c r="B507" s="4"/>
      <c r="F507" s="4"/>
      <c r="O507" s="4"/>
      <c r="P507" s="4"/>
      <c r="S507" s="4"/>
      <c r="T507" s="4"/>
      <c r="W507" s="4"/>
    </row>
    <row r="508" spans="1:23" ht="15.75" customHeight="1" x14ac:dyDescent="0.35">
      <c r="A508" s="4"/>
      <c r="B508" s="4"/>
      <c r="F508" s="4"/>
      <c r="O508" s="4"/>
      <c r="P508" s="4"/>
      <c r="S508" s="4"/>
      <c r="T508" s="4"/>
      <c r="W508" s="4"/>
    </row>
    <row r="509" spans="1:23" ht="15.75" customHeight="1" x14ac:dyDescent="0.35">
      <c r="A509" s="4"/>
      <c r="B509" s="4"/>
      <c r="F509" s="4"/>
      <c r="O509" s="4"/>
      <c r="P509" s="4"/>
      <c r="S509" s="4"/>
      <c r="T509" s="4"/>
      <c r="W509" s="4"/>
    </row>
    <row r="510" spans="1:23" ht="15.75" customHeight="1" x14ac:dyDescent="0.35">
      <c r="A510" s="4"/>
      <c r="B510" s="4"/>
      <c r="F510" s="4"/>
      <c r="O510" s="4"/>
      <c r="P510" s="4"/>
      <c r="S510" s="4"/>
      <c r="T510" s="4"/>
      <c r="W510" s="4"/>
    </row>
    <row r="511" spans="1:23" ht="15.75" customHeight="1" x14ac:dyDescent="0.35">
      <c r="A511" s="4"/>
      <c r="B511" s="4"/>
      <c r="F511" s="4"/>
      <c r="O511" s="4"/>
      <c r="P511" s="4"/>
      <c r="S511" s="4"/>
      <c r="T511" s="4"/>
      <c r="W511" s="4"/>
    </row>
    <row r="512" spans="1:23" ht="15.75" customHeight="1" x14ac:dyDescent="0.35">
      <c r="A512" s="4"/>
      <c r="B512" s="4"/>
      <c r="F512" s="4"/>
      <c r="O512" s="4"/>
      <c r="P512" s="4"/>
      <c r="S512" s="4"/>
      <c r="T512" s="4"/>
      <c r="W512" s="4"/>
    </row>
    <row r="513" spans="1:23" ht="15.75" customHeight="1" x14ac:dyDescent="0.35">
      <c r="A513" s="4"/>
      <c r="B513" s="4"/>
      <c r="F513" s="4"/>
      <c r="O513" s="4"/>
      <c r="P513" s="4"/>
      <c r="S513" s="4"/>
      <c r="T513" s="4"/>
      <c r="W513" s="4"/>
    </row>
    <row r="514" spans="1:23" ht="15.75" customHeight="1" x14ac:dyDescent="0.35">
      <c r="A514" s="4"/>
      <c r="B514" s="4"/>
      <c r="F514" s="4"/>
      <c r="O514" s="4"/>
      <c r="P514" s="4"/>
      <c r="S514" s="4"/>
      <c r="T514" s="4"/>
      <c r="W514" s="4"/>
    </row>
    <row r="515" spans="1:23" ht="15.75" customHeight="1" x14ac:dyDescent="0.35">
      <c r="A515" s="4"/>
      <c r="B515" s="4"/>
      <c r="F515" s="4"/>
      <c r="O515" s="4"/>
      <c r="P515" s="4"/>
      <c r="S515" s="4"/>
      <c r="T515" s="4"/>
      <c r="W515" s="4"/>
    </row>
    <row r="516" spans="1:23" ht="15.75" customHeight="1" x14ac:dyDescent="0.35">
      <c r="A516" s="4"/>
      <c r="B516" s="4"/>
      <c r="F516" s="4"/>
      <c r="O516" s="4"/>
      <c r="P516" s="4"/>
      <c r="S516" s="4"/>
      <c r="T516" s="4"/>
      <c r="W516" s="4"/>
    </row>
    <row r="517" spans="1:23" ht="15.75" customHeight="1" x14ac:dyDescent="0.35">
      <c r="A517" s="4"/>
      <c r="B517" s="4"/>
      <c r="F517" s="4"/>
      <c r="O517" s="4"/>
      <c r="P517" s="4"/>
      <c r="S517" s="4"/>
      <c r="T517" s="4"/>
      <c r="W517" s="4"/>
    </row>
    <row r="518" spans="1:23" ht="15.75" customHeight="1" x14ac:dyDescent="0.35">
      <c r="A518" s="4"/>
      <c r="B518" s="4"/>
      <c r="F518" s="4"/>
      <c r="O518" s="4"/>
      <c r="P518" s="4"/>
      <c r="S518" s="4"/>
      <c r="T518" s="4"/>
      <c r="W518" s="4"/>
    </row>
    <row r="519" spans="1:23" ht="15.75" customHeight="1" x14ac:dyDescent="0.35">
      <c r="A519" s="4"/>
      <c r="B519" s="4"/>
      <c r="F519" s="4"/>
      <c r="O519" s="4"/>
      <c r="P519" s="4"/>
      <c r="S519" s="4"/>
      <c r="T519" s="4"/>
      <c r="W519" s="4"/>
    </row>
    <row r="520" spans="1:23" ht="15.75" customHeight="1" x14ac:dyDescent="0.35">
      <c r="A520" s="4"/>
      <c r="B520" s="4"/>
      <c r="F520" s="4"/>
      <c r="O520" s="4"/>
      <c r="P520" s="4"/>
      <c r="S520" s="4"/>
      <c r="T520" s="4"/>
      <c r="W520" s="4"/>
    </row>
    <row r="521" spans="1:23" ht="15.75" customHeight="1" x14ac:dyDescent="0.35">
      <c r="A521" s="4"/>
      <c r="B521" s="4"/>
      <c r="F521" s="4"/>
      <c r="O521" s="4"/>
      <c r="P521" s="4"/>
      <c r="S521" s="4"/>
      <c r="T521" s="4"/>
      <c r="W521" s="4"/>
    </row>
    <row r="522" spans="1:23" ht="15.75" customHeight="1" x14ac:dyDescent="0.35">
      <c r="A522" s="4"/>
      <c r="B522" s="4"/>
      <c r="F522" s="4"/>
      <c r="O522" s="4"/>
      <c r="P522" s="4"/>
      <c r="S522" s="4"/>
      <c r="T522" s="4"/>
      <c r="W522" s="4"/>
    </row>
    <row r="523" spans="1:23" ht="15.75" customHeight="1" x14ac:dyDescent="0.35">
      <c r="A523" s="4"/>
      <c r="B523" s="4"/>
      <c r="F523" s="4"/>
      <c r="O523" s="4"/>
      <c r="P523" s="4"/>
      <c r="S523" s="4"/>
      <c r="T523" s="4"/>
      <c r="W523" s="4"/>
    </row>
    <row r="524" spans="1:23" ht="15.75" customHeight="1" x14ac:dyDescent="0.35">
      <c r="A524" s="4"/>
      <c r="B524" s="4"/>
      <c r="F524" s="4"/>
      <c r="O524" s="4"/>
      <c r="P524" s="4"/>
      <c r="S524" s="4"/>
      <c r="T524" s="4"/>
      <c r="W524" s="4"/>
    </row>
    <row r="525" spans="1:23" ht="15.75" customHeight="1" x14ac:dyDescent="0.35">
      <c r="A525" s="4"/>
      <c r="B525" s="4"/>
      <c r="F525" s="4"/>
      <c r="O525" s="4"/>
      <c r="P525" s="4"/>
      <c r="S525" s="4"/>
      <c r="T525" s="4"/>
      <c r="W525" s="4"/>
    </row>
    <row r="526" spans="1:23" ht="15.75" customHeight="1" x14ac:dyDescent="0.35">
      <c r="A526" s="4"/>
      <c r="B526" s="4"/>
      <c r="F526" s="4"/>
      <c r="O526" s="4"/>
      <c r="P526" s="4"/>
      <c r="S526" s="4"/>
      <c r="T526" s="4"/>
      <c r="W526" s="4"/>
    </row>
    <row r="527" spans="1:23" ht="15.75" customHeight="1" x14ac:dyDescent="0.35">
      <c r="A527" s="4"/>
      <c r="B527" s="4"/>
      <c r="F527" s="4"/>
      <c r="O527" s="4"/>
      <c r="P527" s="4"/>
      <c r="S527" s="4"/>
      <c r="T527" s="4"/>
      <c r="W527" s="4"/>
    </row>
    <row r="528" spans="1:23" ht="15.75" customHeight="1" x14ac:dyDescent="0.35">
      <c r="A528" s="4"/>
      <c r="B528" s="4"/>
      <c r="F528" s="4"/>
      <c r="O528" s="4"/>
      <c r="P528" s="4"/>
      <c r="S528" s="4"/>
      <c r="T528" s="4"/>
      <c r="W528" s="4"/>
    </row>
    <row r="529" spans="1:23" ht="15.75" customHeight="1" x14ac:dyDescent="0.35">
      <c r="A529" s="4"/>
      <c r="B529" s="4"/>
      <c r="F529" s="4"/>
      <c r="O529" s="4"/>
      <c r="P529" s="4"/>
      <c r="S529" s="4"/>
      <c r="T529" s="4"/>
      <c r="W529" s="4"/>
    </row>
    <row r="530" spans="1:23" ht="15.75" customHeight="1" x14ac:dyDescent="0.35">
      <c r="A530" s="4"/>
      <c r="B530" s="4"/>
      <c r="F530" s="4"/>
      <c r="O530" s="4"/>
      <c r="P530" s="4"/>
      <c r="S530" s="4"/>
      <c r="T530" s="4"/>
      <c r="W530" s="4"/>
    </row>
    <row r="531" spans="1:23" ht="15.75" customHeight="1" x14ac:dyDescent="0.35">
      <c r="A531" s="4"/>
      <c r="B531" s="4"/>
      <c r="F531" s="4"/>
      <c r="O531" s="4"/>
      <c r="P531" s="4"/>
      <c r="S531" s="4"/>
      <c r="T531" s="4"/>
      <c r="W531" s="4"/>
    </row>
    <row r="532" spans="1:23" ht="15.75" customHeight="1" x14ac:dyDescent="0.35">
      <c r="A532" s="4"/>
      <c r="B532" s="4"/>
      <c r="F532" s="4"/>
      <c r="O532" s="4"/>
      <c r="P532" s="4"/>
      <c r="S532" s="4"/>
      <c r="T532" s="4"/>
      <c r="W532" s="4"/>
    </row>
    <row r="533" spans="1:23" ht="15.75" customHeight="1" x14ac:dyDescent="0.35">
      <c r="A533" s="4"/>
      <c r="B533" s="4"/>
      <c r="F533" s="4"/>
      <c r="O533" s="4"/>
      <c r="P533" s="4"/>
      <c r="S533" s="4"/>
      <c r="T533" s="4"/>
      <c r="W533" s="4"/>
    </row>
    <row r="534" spans="1:23" ht="15.75" customHeight="1" x14ac:dyDescent="0.35">
      <c r="A534" s="4"/>
      <c r="B534" s="4"/>
      <c r="F534" s="4"/>
      <c r="O534" s="4"/>
      <c r="P534" s="4"/>
      <c r="S534" s="4"/>
      <c r="T534" s="4"/>
      <c r="W534" s="4"/>
    </row>
    <row r="535" spans="1:23" ht="15.75" customHeight="1" x14ac:dyDescent="0.35">
      <c r="A535" s="4"/>
      <c r="B535" s="4"/>
      <c r="F535" s="4"/>
      <c r="O535" s="4"/>
      <c r="P535" s="4"/>
      <c r="S535" s="4"/>
      <c r="T535" s="4"/>
      <c r="W535" s="4"/>
    </row>
    <row r="536" spans="1:23" ht="15.75" customHeight="1" x14ac:dyDescent="0.35">
      <c r="A536" s="4"/>
      <c r="B536" s="4"/>
      <c r="F536" s="4"/>
      <c r="O536" s="4"/>
      <c r="P536" s="4"/>
      <c r="S536" s="4"/>
      <c r="T536" s="4"/>
      <c r="W536" s="4"/>
    </row>
    <row r="537" spans="1:23" ht="15.75" customHeight="1" x14ac:dyDescent="0.35">
      <c r="A537" s="4"/>
      <c r="B537" s="4"/>
      <c r="F537" s="4"/>
      <c r="O537" s="4"/>
      <c r="P537" s="4"/>
      <c r="S537" s="4"/>
      <c r="T537" s="4"/>
      <c r="W537" s="4"/>
    </row>
    <row r="538" spans="1:23" ht="15.75" customHeight="1" x14ac:dyDescent="0.35">
      <c r="A538" s="4"/>
      <c r="B538" s="4"/>
      <c r="F538" s="4"/>
      <c r="O538" s="4"/>
      <c r="P538" s="4"/>
      <c r="S538" s="4"/>
      <c r="T538" s="4"/>
      <c r="W538" s="4"/>
    </row>
    <row r="539" spans="1:23" ht="15.75" customHeight="1" x14ac:dyDescent="0.35">
      <c r="A539" s="4"/>
      <c r="B539" s="4"/>
      <c r="F539" s="4"/>
      <c r="O539" s="4"/>
      <c r="P539" s="4"/>
      <c r="S539" s="4"/>
      <c r="T539" s="4"/>
      <c r="W539" s="4"/>
    </row>
    <row r="540" spans="1:23" ht="15.75" customHeight="1" x14ac:dyDescent="0.35">
      <c r="A540" s="4"/>
      <c r="B540" s="4"/>
      <c r="F540" s="4"/>
      <c r="O540" s="4"/>
      <c r="P540" s="4"/>
      <c r="S540" s="4"/>
      <c r="T540" s="4"/>
      <c r="W540" s="4"/>
    </row>
    <row r="541" spans="1:23" ht="15.75" customHeight="1" x14ac:dyDescent="0.35">
      <c r="A541" s="4"/>
      <c r="B541" s="4"/>
      <c r="F541" s="4"/>
      <c r="O541" s="4"/>
      <c r="P541" s="4"/>
      <c r="S541" s="4"/>
      <c r="T541" s="4"/>
      <c r="W541" s="4"/>
    </row>
    <row r="542" spans="1:23" ht="15.75" customHeight="1" x14ac:dyDescent="0.35">
      <c r="A542" s="4"/>
      <c r="B542" s="4"/>
      <c r="F542" s="4"/>
      <c r="O542" s="4"/>
      <c r="P542" s="4"/>
      <c r="S542" s="4"/>
      <c r="T542" s="4"/>
      <c r="W542" s="4"/>
    </row>
    <row r="543" spans="1:23" ht="15.75" customHeight="1" x14ac:dyDescent="0.35">
      <c r="A543" s="4"/>
      <c r="B543" s="4"/>
      <c r="F543" s="4"/>
      <c r="O543" s="4"/>
      <c r="P543" s="4"/>
      <c r="S543" s="4"/>
      <c r="T543" s="4"/>
      <c r="W543" s="4"/>
    </row>
    <row r="544" spans="1:23" ht="15.75" customHeight="1" x14ac:dyDescent="0.35">
      <c r="A544" s="4"/>
      <c r="B544" s="4"/>
      <c r="F544" s="4"/>
      <c r="O544" s="4"/>
      <c r="P544" s="4"/>
      <c r="S544" s="4"/>
      <c r="T544" s="4"/>
      <c r="W544" s="4"/>
    </row>
    <row r="545" spans="1:23" ht="15.75" customHeight="1" x14ac:dyDescent="0.35">
      <c r="A545" s="4"/>
      <c r="B545" s="4"/>
      <c r="F545" s="4"/>
      <c r="O545" s="4"/>
      <c r="P545" s="4"/>
      <c r="S545" s="4"/>
      <c r="T545" s="4"/>
      <c r="W545" s="4"/>
    </row>
    <row r="546" spans="1:23" ht="15.75" customHeight="1" x14ac:dyDescent="0.35">
      <c r="A546" s="4"/>
      <c r="B546" s="4"/>
      <c r="F546" s="4"/>
      <c r="O546" s="4"/>
      <c r="P546" s="4"/>
      <c r="S546" s="4"/>
      <c r="T546" s="4"/>
      <c r="W546" s="4"/>
    </row>
    <row r="547" spans="1:23" ht="15.75" customHeight="1" x14ac:dyDescent="0.35">
      <c r="A547" s="4"/>
      <c r="B547" s="4"/>
      <c r="F547" s="4"/>
      <c r="O547" s="4"/>
      <c r="P547" s="4"/>
      <c r="S547" s="4"/>
      <c r="T547" s="4"/>
      <c r="W547" s="4"/>
    </row>
    <row r="548" spans="1:23" ht="15.75" customHeight="1" x14ac:dyDescent="0.35">
      <c r="A548" s="4"/>
      <c r="B548" s="4"/>
      <c r="F548" s="4"/>
      <c r="O548" s="4"/>
      <c r="P548" s="4"/>
      <c r="S548" s="4"/>
      <c r="T548" s="4"/>
      <c r="W548" s="4"/>
    </row>
    <row r="549" spans="1:23" ht="15.75" customHeight="1" x14ac:dyDescent="0.35">
      <c r="A549" s="4"/>
      <c r="B549" s="4"/>
      <c r="F549" s="4"/>
      <c r="O549" s="4"/>
      <c r="P549" s="4"/>
      <c r="S549" s="4"/>
      <c r="T549" s="4"/>
      <c r="W549" s="4"/>
    </row>
    <row r="550" spans="1:23" ht="15.75" customHeight="1" x14ac:dyDescent="0.35">
      <c r="A550" s="4"/>
      <c r="B550" s="4"/>
      <c r="F550" s="4"/>
      <c r="O550" s="4"/>
      <c r="P550" s="4"/>
      <c r="S550" s="4"/>
      <c r="T550" s="4"/>
      <c r="W550" s="4"/>
    </row>
    <row r="551" spans="1:23" ht="15.75" customHeight="1" x14ac:dyDescent="0.35">
      <c r="A551" s="4"/>
      <c r="B551" s="4"/>
      <c r="F551" s="4"/>
      <c r="O551" s="4"/>
      <c r="P551" s="4"/>
      <c r="S551" s="4"/>
      <c r="T551" s="4"/>
      <c r="W551" s="4"/>
    </row>
    <row r="552" spans="1:23" ht="15.75" customHeight="1" x14ac:dyDescent="0.35">
      <c r="A552" s="4"/>
      <c r="B552" s="4"/>
      <c r="F552" s="4"/>
      <c r="O552" s="4"/>
      <c r="P552" s="4"/>
      <c r="S552" s="4"/>
      <c r="T552" s="4"/>
      <c r="W552" s="4"/>
    </row>
    <row r="553" spans="1:23" ht="15.75" customHeight="1" x14ac:dyDescent="0.35">
      <c r="A553" s="4"/>
      <c r="B553" s="4"/>
      <c r="F553" s="4"/>
      <c r="O553" s="4"/>
      <c r="P553" s="4"/>
      <c r="S553" s="4"/>
      <c r="T553" s="4"/>
      <c r="W553" s="4"/>
    </row>
    <row r="554" spans="1:23" ht="15.75" customHeight="1" x14ac:dyDescent="0.35">
      <c r="A554" s="4"/>
      <c r="B554" s="4"/>
      <c r="F554" s="4"/>
      <c r="O554" s="4"/>
      <c r="P554" s="4"/>
      <c r="S554" s="4"/>
      <c r="T554" s="4"/>
      <c r="W554" s="4"/>
    </row>
    <row r="555" spans="1:23" ht="15.75" customHeight="1" x14ac:dyDescent="0.35">
      <c r="A555" s="4"/>
      <c r="B555" s="4"/>
      <c r="F555" s="4"/>
      <c r="O555" s="4"/>
      <c r="P555" s="4"/>
      <c r="S555" s="4"/>
      <c r="T555" s="4"/>
      <c r="W555" s="4"/>
    </row>
    <row r="556" spans="1:23" ht="15.75" customHeight="1" x14ac:dyDescent="0.35">
      <c r="A556" s="4"/>
      <c r="B556" s="4"/>
      <c r="F556" s="4"/>
      <c r="O556" s="4"/>
      <c r="P556" s="4"/>
      <c r="S556" s="4"/>
      <c r="T556" s="4"/>
      <c r="W556" s="4"/>
    </row>
    <row r="557" spans="1:23" ht="15.75" customHeight="1" x14ac:dyDescent="0.35">
      <c r="A557" s="4"/>
      <c r="B557" s="4"/>
      <c r="F557" s="4"/>
      <c r="O557" s="4"/>
      <c r="P557" s="4"/>
      <c r="S557" s="4"/>
      <c r="T557" s="4"/>
      <c r="W557" s="4"/>
    </row>
    <row r="558" spans="1:23" ht="15.75" customHeight="1" x14ac:dyDescent="0.35">
      <c r="A558" s="4"/>
      <c r="B558" s="4"/>
      <c r="F558" s="4"/>
      <c r="O558" s="4"/>
      <c r="P558" s="4"/>
      <c r="S558" s="4"/>
      <c r="T558" s="4"/>
      <c r="W558" s="4"/>
    </row>
    <row r="559" spans="1:23" ht="15.75" customHeight="1" x14ac:dyDescent="0.35">
      <c r="A559" s="4"/>
      <c r="B559" s="4"/>
      <c r="F559" s="4"/>
      <c r="O559" s="4"/>
      <c r="P559" s="4"/>
      <c r="S559" s="4"/>
      <c r="T559" s="4"/>
      <c r="W559" s="4"/>
    </row>
    <row r="560" spans="1:23" ht="15.75" customHeight="1" x14ac:dyDescent="0.35">
      <c r="A560" s="4"/>
      <c r="B560" s="4"/>
      <c r="F560" s="4"/>
      <c r="O560" s="4"/>
      <c r="P560" s="4"/>
      <c r="S560" s="4"/>
      <c r="T560" s="4"/>
      <c r="W560" s="4"/>
    </row>
    <row r="561" spans="1:23" ht="15.75" customHeight="1" x14ac:dyDescent="0.35">
      <c r="A561" s="4"/>
      <c r="B561" s="4"/>
      <c r="F561" s="4"/>
      <c r="O561" s="4"/>
      <c r="P561" s="4"/>
      <c r="S561" s="4"/>
      <c r="T561" s="4"/>
      <c r="W561" s="4"/>
    </row>
    <row r="562" spans="1:23" ht="15.75" customHeight="1" x14ac:dyDescent="0.35">
      <c r="A562" s="4"/>
      <c r="B562" s="4"/>
      <c r="F562" s="4"/>
      <c r="O562" s="4"/>
      <c r="P562" s="4"/>
      <c r="S562" s="4"/>
      <c r="T562" s="4"/>
      <c r="W562" s="4"/>
    </row>
    <row r="563" spans="1:23" ht="15.75" customHeight="1" x14ac:dyDescent="0.35">
      <c r="A563" s="4"/>
      <c r="B563" s="4"/>
      <c r="F563" s="4"/>
      <c r="O563" s="4"/>
      <c r="P563" s="4"/>
      <c r="S563" s="4"/>
      <c r="T563" s="4"/>
      <c r="W563" s="4"/>
    </row>
    <row r="564" spans="1:23" ht="15.75" customHeight="1" x14ac:dyDescent="0.35">
      <c r="A564" s="4"/>
      <c r="B564" s="4"/>
      <c r="F564" s="4"/>
      <c r="O564" s="4"/>
      <c r="P564" s="4"/>
      <c r="S564" s="4"/>
      <c r="T564" s="4"/>
      <c r="W564" s="4"/>
    </row>
    <row r="565" spans="1:23" ht="15.75" customHeight="1" x14ac:dyDescent="0.35">
      <c r="A565" s="4"/>
      <c r="B565" s="4"/>
      <c r="F565" s="4"/>
      <c r="O565" s="4"/>
      <c r="P565" s="4"/>
      <c r="S565" s="4"/>
      <c r="T565" s="4"/>
      <c r="W565" s="4"/>
    </row>
    <row r="566" spans="1:23" ht="15.75" customHeight="1" x14ac:dyDescent="0.35">
      <c r="A566" s="4"/>
      <c r="B566" s="4"/>
      <c r="F566" s="4"/>
      <c r="O566" s="4"/>
      <c r="P566" s="4"/>
      <c r="S566" s="4"/>
      <c r="T566" s="4"/>
      <c r="W566" s="4"/>
    </row>
    <row r="567" spans="1:23" ht="15.75" customHeight="1" x14ac:dyDescent="0.35">
      <c r="A567" s="4"/>
      <c r="B567" s="4"/>
      <c r="F567" s="4"/>
      <c r="O567" s="4"/>
      <c r="P567" s="4"/>
      <c r="S567" s="4"/>
      <c r="T567" s="4"/>
      <c r="W567" s="4"/>
    </row>
    <row r="568" spans="1:23" ht="15.75" customHeight="1" x14ac:dyDescent="0.35">
      <c r="A568" s="4"/>
      <c r="B568" s="4"/>
      <c r="F568" s="4"/>
      <c r="O568" s="4"/>
      <c r="P568" s="4"/>
      <c r="S568" s="4"/>
      <c r="T568" s="4"/>
      <c r="W568" s="4"/>
    </row>
    <row r="569" spans="1:23" ht="15.75" customHeight="1" x14ac:dyDescent="0.35">
      <c r="A569" s="4"/>
      <c r="B569" s="4"/>
      <c r="F569" s="4"/>
      <c r="O569" s="4"/>
      <c r="P569" s="4"/>
      <c r="S569" s="4"/>
      <c r="T569" s="4"/>
      <c r="W569" s="4"/>
    </row>
    <row r="570" spans="1:23" ht="15.75" customHeight="1" x14ac:dyDescent="0.35">
      <c r="A570" s="4"/>
      <c r="B570" s="4"/>
      <c r="F570" s="4"/>
      <c r="O570" s="4"/>
      <c r="P570" s="4"/>
      <c r="S570" s="4"/>
      <c r="T570" s="4"/>
      <c r="W570" s="4"/>
    </row>
    <row r="571" spans="1:23" ht="15.75" customHeight="1" x14ac:dyDescent="0.35">
      <c r="A571" s="4"/>
      <c r="B571" s="4"/>
      <c r="F571" s="4"/>
      <c r="O571" s="4"/>
      <c r="P571" s="4"/>
      <c r="S571" s="4"/>
      <c r="T571" s="4"/>
      <c r="W571" s="4"/>
    </row>
    <row r="572" spans="1:23" ht="15.75" customHeight="1" x14ac:dyDescent="0.35">
      <c r="A572" s="4"/>
      <c r="B572" s="4"/>
      <c r="F572" s="4"/>
      <c r="O572" s="4"/>
      <c r="P572" s="4"/>
      <c r="S572" s="4"/>
      <c r="T572" s="4"/>
      <c r="W572" s="4"/>
    </row>
    <row r="573" spans="1:23" ht="15.75" customHeight="1" x14ac:dyDescent="0.35">
      <c r="A573" s="4"/>
      <c r="B573" s="4"/>
      <c r="F573" s="4"/>
      <c r="O573" s="4"/>
      <c r="P573" s="4"/>
      <c r="S573" s="4"/>
      <c r="T573" s="4"/>
      <c r="W573" s="4"/>
    </row>
    <row r="574" spans="1:23" ht="15.75" customHeight="1" x14ac:dyDescent="0.35">
      <c r="A574" s="4"/>
      <c r="B574" s="4"/>
      <c r="F574" s="4"/>
      <c r="O574" s="4"/>
      <c r="P574" s="4"/>
      <c r="S574" s="4"/>
      <c r="T574" s="4"/>
      <c r="W574" s="4"/>
    </row>
    <row r="575" spans="1:23" ht="15.75" customHeight="1" x14ac:dyDescent="0.35">
      <c r="A575" s="4"/>
      <c r="B575" s="4"/>
      <c r="F575" s="4"/>
      <c r="O575" s="4"/>
      <c r="P575" s="4"/>
      <c r="S575" s="4"/>
      <c r="T575" s="4"/>
      <c r="W575" s="4"/>
    </row>
    <row r="576" spans="1:23" ht="15.75" customHeight="1" x14ac:dyDescent="0.35">
      <c r="A576" s="4"/>
      <c r="B576" s="4"/>
      <c r="F576" s="4"/>
      <c r="O576" s="4"/>
      <c r="P576" s="4"/>
      <c r="S576" s="4"/>
      <c r="T576" s="4"/>
      <c r="W576" s="4"/>
    </row>
    <row r="577" spans="1:23" ht="15.75" customHeight="1" x14ac:dyDescent="0.35">
      <c r="A577" s="4"/>
      <c r="B577" s="4"/>
      <c r="F577" s="4"/>
      <c r="O577" s="4"/>
      <c r="P577" s="4"/>
      <c r="S577" s="4"/>
      <c r="T577" s="4"/>
      <c r="W577" s="4"/>
    </row>
    <row r="578" spans="1:23" ht="15.75" customHeight="1" x14ac:dyDescent="0.35">
      <c r="A578" s="4"/>
      <c r="B578" s="4"/>
      <c r="F578" s="4"/>
      <c r="O578" s="4"/>
      <c r="P578" s="4"/>
      <c r="S578" s="4"/>
      <c r="T578" s="4"/>
      <c r="W578" s="4"/>
    </row>
    <row r="579" spans="1:23" ht="15.75" customHeight="1" x14ac:dyDescent="0.35">
      <c r="A579" s="4"/>
      <c r="B579" s="4"/>
      <c r="F579" s="4"/>
      <c r="O579" s="4"/>
      <c r="P579" s="4"/>
      <c r="S579" s="4"/>
      <c r="T579" s="4"/>
      <c r="W579" s="4"/>
    </row>
    <row r="580" spans="1:23" ht="15.75" customHeight="1" x14ac:dyDescent="0.35">
      <c r="A580" s="4"/>
      <c r="B580" s="4"/>
      <c r="F580" s="4"/>
      <c r="O580" s="4"/>
      <c r="P580" s="4"/>
      <c r="S580" s="4"/>
      <c r="T580" s="4"/>
      <c r="W580" s="4"/>
    </row>
    <row r="581" spans="1:23" ht="15.75" customHeight="1" x14ac:dyDescent="0.35">
      <c r="A581" s="4"/>
      <c r="B581" s="4"/>
      <c r="F581" s="4"/>
      <c r="O581" s="4"/>
      <c r="P581" s="4"/>
      <c r="S581" s="4"/>
      <c r="T581" s="4"/>
      <c r="W581" s="4"/>
    </row>
    <row r="582" spans="1:23" ht="15.75" customHeight="1" x14ac:dyDescent="0.35">
      <c r="A582" s="4"/>
      <c r="B582" s="4"/>
      <c r="F582" s="4"/>
      <c r="O582" s="4"/>
      <c r="P582" s="4"/>
      <c r="S582" s="4"/>
      <c r="T582" s="4"/>
      <c r="W582" s="4"/>
    </row>
    <row r="583" spans="1:23" ht="15.75" customHeight="1" x14ac:dyDescent="0.35">
      <c r="A583" s="4"/>
      <c r="B583" s="4"/>
      <c r="F583" s="4"/>
      <c r="O583" s="4"/>
      <c r="P583" s="4"/>
      <c r="S583" s="4"/>
      <c r="T583" s="4"/>
      <c r="W583" s="4"/>
    </row>
    <row r="584" spans="1:23" ht="15.75" customHeight="1" x14ac:dyDescent="0.35">
      <c r="A584" s="4"/>
      <c r="B584" s="4"/>
      <c r="F584" s="4"/>
      <c r="O584" s="4"/>
      <c r="P584" s="4"/>
      <c r="S584" s="4"/>
      <c r="T584" s="4"/>
      <c r="W584" s="4"/>
    </row>
    <row r="585" spans="1:23" ht="15.75" customHeight="1" x14ac:dyDescent="0.35">
      <c r="A585" s="4"/>
      <c r="B585" s="4"/>
      <c r="F585" s="4"/>
      <c r="O585" s="4"/>
      <c r="P585" s="4"/>
      <c r="S585" s="4"/>
      <c r="T585" s="4"/>
      <c r="W585" s="4"/>
    </row>
    <row r="586" spans="1:23" ht="15.75" customHeight="1" x14ac:dyDescent="0.35">
      <c r="A586" s="4"/>
      <c r="B586" s="4"/>
      <c r="F586" s="4"/>
      <c r="O586" s="4"/>
      <c r="P586" s="4"/>
      <c r="S586" s="4"/>
      <c r="T586" s="4"/>
      <c r="W586" s="4"/>
    </row>
    <row r="587" spans="1:23" ht="15.75" customHeight="1" x14ac:dyDescent="0.35">
      <c r="A587" s="4"/>
      <c r="B587" s="4"/>
      <c r="F587" s="4"/>
      <c r="O587" s="4"/>
      <c r="P587" s="4"/>
      <c r="S587" s="4"/>
      <c r="T587" s="4"/>
      <c r="W587" s="4"/>
    </row>
    <row r="588" spans="1:23" ht="15.75" customHeight="1" x14ac:dyDescent="0.35">
      <c r="A588" s="4"/>
      <c r="B588" s="4"/>
      <c r="F588" s="4"/>
      <c r="O588" s="4"/>
      <c r="P588" s="4"/>
      <c r="S588" s="4"/>
      <c r="T588" s="4"/>
      <c r="W588" s="4"/>
    </row>
    <row r="589" spans="1:23" ht="15.75" customHeight="1" x14ac:dyDescent="0.35">
      <c r="A589" s="4"/>
      <c r="B589" s="4"/>
      <c r="F589" s="4"/>
      <c r="O589" s="4"/>
      <c r="P589" s="4"/>
      <c r="S589" s="4"/>
      <c r="T589" s="4"/>
      <c r="W589" s="4"/>
    </row>
    <row r="590" spans="1:23" ht="15.75" customHeight="1" x14ac:dyDescent="0.35">
      <c r="A590" s="4"/>
      <c r="B590" s="4"/>
      <c r="F590" s="4"/>
      <c r="O590" s="4"/>
      <c r="P590" s="4"/>
      <c r="S590" s="4"/>
      <c r="T590" s="4"/>
      <c r="W590" s="4"/>
    </row>
    <row r="591" spans="1:23" ht="15.75" customHeight="1" x14ac:dyDescent="0.35">
      <c r="A591" s="4"/>
      <c r="B591" s="4"/>
      <c r="F591" s="4"/>
      <c r="O591" s="4"/>
      <c r="P591" s="4"/>
      <c r="S591" s="4"/>
      <c r="T591" s="4"/>
      <c r="W591" s="4"/>
    </row>
    <row r="592" spans="1:23" ht="15.75" customHeight="1" x14ac:dyDescent="0.35">
      <c r="A592" s="4"/>
      <c r="B592" s="4"/>
      <c r="F592" s="4"/>
      <c r="O592" s="4"/>
      <c r="P592" s="4"/>
      <c r="S592" s="4"/>
      <c r="T592" s="4"/>
      <c r="W592" s="4"/>
    </row>
    <row r="593" spans="1:23" ht="15.75" customHeight="1" x14ac:dyDescent="0.35">
      <c r="A593" s="4"/>
      <c r="B593" s="4"/>
      <c r="F593" s="4"/>
      <c r="O593" s="4"/>
      <c r="P593" s="4"/>
      <c r="S593" s="4"/>
      <c r="T593" s="4"/>
      <c r="W593" s="4"/>
    </row>
    <row r="594" spans="1:23" ht="15.75" customHeight="1" x14ac:dyDescent="0.35">
      <c r="A594" s="4"/>
      <c r="B594" s="4"/>
      <c r="F594" s="4"/>
      <c r="O594" s="4"/>
      <c r="P594" s="4"/>
      <c r="S594" s="4"/>
      <c r="T594" s="4"/>
      <c r="W594" s="4"/>
    </row>
    <row r="595" spans="1:23" ht="15.75" customHeight="1" x14ac:dyDescent="0.35">
      <c r="A595" s="4"/>
      <c r="B595" s="4"/>
      <c r="F595" s="4"/>
      <c r="O595" s="4"/>
      <c r="P595" s="4"/>
      <c r="S595" s="4"/>
      <c r="T595" s="4"/>
      <c r="W595" s="4"/>
    </row>
    <row r="596" spans="1:23" ht="15.75" customHeight="1" x14ac:dyDescent="0.35">
      <c r="A596" s="4"/>
      <c r="B596" s="4"/>
      <c r="F596" s="4"/>
      <c r="O596" s="4"/>
      <c r="P596" s="4"/>
      <c r="S596" s="4"/>
      <c r="T596" s="4"/>
      <c r="W596" s="4"/>
    </row>
    <row r="597" spans="1:23" ht="15.75" customHeight="1" x14ac:dyDescent="0.35">
      <c r="A597" s="4"/>
      <c r="B597" s="4"/>
      <c r="F597" s="4"/>
      <c r="O597" s="4"/>
      <c r="P597" s="4"/>
      <c r="S597" s="4"/>
      <c r="T597" s="4"/>
      <c r="W597" s="4"/>
    </row>
    <row r="598" spans="1:23" ht="15.75" customHeight="1" x14ac:dyDescent="0.35">
      <c r="A598" s="4"/>
      <c r="B598" s="4"/>
      <c r="F598" s="4"/>
      <c r="O598" s="4"/>
      <c r="P598" s="4"/>
      <c r="S598" s="4"/>
      <c r="T598" s="4"/>
      <c r="W598" s="4"/>
    </row>
    <row r="599" spans="1:23" ht="15.75" customHeight="1" x14ac:dyDescent="0.35">
      <c r="A599" s="4"/>
      <c r="B599" s="4"/>
      <c r="F599" s="4"/>
      <c r="O599" s="4"/>
      <c r="P599" s="4"/>
      <c r="S599" s="4"/>
      <c r="T599" s="4"/>
      <c r="W599" s="4"/>
    </row>
    <row r="600" spans="1:23" ht="15.75" customHeight="1" x14ac:dyDescent="0.35">
      <c r="A600" s="4"/>
      <c r="B600" s="4"/>
      <c r="F600" s="4"/>
      <c r="O600" s="4"/>
      <c r="P600" s="4"/>
      <c r="S600" s="4"/>
      <c r="T600" s="4"/>
      <c r="W600" s="4"/>
    </row>
    <row r="601" spans="1:23" ht="15.75" customHeight="1" x14ac:dyDescent="0.35">
      <c r="A601" s="4"/>
      <c r="B601" s="4"/>
      <c r="F601" s="4"/>
      <c r="O601" s="4"/>
      <c r="P601" s="4"/>
      <c r="S601" s="4"/>
      <c r="T601" s="4"/>
      <c r="W601" s="4"/>
    </row>
    <row r="602" spans="1:23" ht="15.75" customHeight="1" x14ac:dyDescent="0.35">
      <c r="A602" s="4"/>
      <c r="B602" s="4"/>
      <c r="F602" s="4"/>
      <c r="O602" s="4"/>
      <c r="P602" s="4"/>
      <c r="S602" s="4"/>
      <c r="T602" s="4"/>
      <c r="W602" s="4"/>
    </row>
    <row r="603" spans="1:23" ht="15.75" customHeight="1" x14ac:dyDescent="0.35">
      <c r="A603" s="4"/>
      <c r="B603" s="4"/>
      <c r="F603" s="4"/>
      <c r="O603" s="4"/>
      <c r="P603" s="4"/>
      <c r="S603" s="4"/>
      <c r="T603" s="4"/>
      <c r="W603" s="4"/>
    </row>
    <row r="604" spans="1:23" ht="15.75" customHeight="1" x14ac:dyDescent="0.35">
      <c r="A604" s="4"/>
      <c r="B604" s="4"/>
      <c r="F604" s="4"/>
      <c r="O604" s="4"/>
      <c r="P604" s="4"/>
      <c r="S604" s="4"/>
      <c r="T604" s="4"/>
      <c r="W604" s="4"/>
    </row>
    <row r="605" spans="1:23" ht="15.75" customHeight="1" x14ac:dyDescent="0.35">
      <c r="A605" s="4"/>
      <c r="B605" s="4"/>
      <c r="F605" s="4"/>
      <c r="O605" s="4"/>
      <c r="P605" s="4"/>
      <c r="S605" s="4"/>
      <c r="T605" s="4"/>
      <c r="W605" s="4"/>
    </row>
    <row r="606" spans="1:23" ht="15.75" customHeight="1" x14ac:dyDescent="0.35">
      <c r="A606" s="4"/>
      <c r="B606" s="4"/>
      <c r="F606" s="4"/>
      <c r="O606" s="4"/>
      <c r="P606" s="4"/>
      <c r="S606" s="4"/>
      <c r="T606" s="4"/>
      <c r="W606" s="4"/>
    </row>
    <row r="607" spans="1:23" ht="15.75" customHeight="1" x14ac:dyDescent="0.35">
      <c r="A607" s="4"/>
      <c r="B607" s="4"/>
      <c r="F607" s="4"/>
      <c r="O607" s="4"/>
      <c r="P607" s="4"/>
      <c r="S607" s="4"/>
      <c r="T607" s="4"/>
      <c r="W607" s="4"/>
    </row>
    <row r="608" spans="1:23" ht="15.75" customHeight="1" x14ac:dyDescent="0.35">
      <c r="A608" s="4"/>
      <c r="B608" s="4"/>
      <c r="F608" s="4"/>
      <c r="O608" s="4"/>
      <c r="P608" s="4"/>
      <c r="S608" s="4"/>
      <c r="T608" s="4"/>
      <c r="W608" s="4"/>
    </row>
    <row r="609" spans="1:23" ht="15.75" customHeight="1" x14ac:dyDescent="0.35">
      <c r="A609" s="4"/>
      <c r="B609" s="4"/>
      <c r="F609" s="4"/>
      <c r="O609" s="4"/>
      <c r="P609" s="4"/>
      <c r="S609" s="4"/>
      <c r="T609" s="4"/>
      <c r="W609" s="4"/>
    </row>
    <row r="610" spans="1:23" ht="15.75" customHeight="1" x14ac:dyDescent="0.35">
      <c r="A610" s="4"/>
      <c r="B610" s="4"/>
      <c r="F610" s="4"/>
      <c r="O610" s="4"/>
      <c r="P610" s="4"/>
      <c r="S610" s="4"/>
      <c r="T610" s="4"/>
      <c r="W610" s="4"/>
    </row>
    <row r="611" spans="1:23" ht="15.75" customHeight="1" x14ac:dyDescent="0.35">
      <c r="A611" s="4"/>
      <c r="B611" s="4"/>
      <c r="F611" s="4"/>
      <c r="O611" s="4"/>
      <c r="P611" s="4"/>
      <c r="S611" s="4"/>
      <c r="T611" s="4"/>
      <c r="W611" s="4"/>
    </row>
    <row r="612" spans="1:23" ht="15.75" customHeight="1" x14ac:dyDescent="0.35">
      <c r="A612" s="4"/>
      <c r="B612" s="4"/>
      <c r="F612" s="4"/>
      <c r="O612" s="4"/>
      <c r="P612" s="4"/>
      <c r="S612" s="4"/>
      <c r="T612" s="4"/>
      <c r="W612" s="4"/>
    </row>
    <row r="613" spans="1:23" ht="15.75" customHeight="1" x14ac:dyDescent="0.35">
      <c r="A613" s="4"/>
      <c r="B613" s="4"/>
      <c r="F613" s="4"/>
      <c r="O613" s="4"/>
      <c r="P613" s="4"/>
      <c r="S613" s="4"/>
      <c r="T613" s="4"/>
      <c r="W613" s="4"/>
    </row>
    <row r="614" spans="1:23" ht="15.75" customHeight="1" x14ac:dyDescent="0.35">
      <c r="A614" s="4"/>
      <c r="B614" s="4"/>
      <c r="F614" s="4"/>
      <c r="O614" s="4"/>
      <c r="P614" s="4"/>
      <c r="S614" s="4"/>
      <c r="T614" s="4"/>
      <c r="W614" s="4"/>
    </row>
    <row r="615" spans="1:23" ht="15.75" customHeight="1" x14ac:dyDescent="0.35">
      <c r="A615" s="4"/>
      <c r="B615" s="4"/>
      <c r="F615" s="4"/>
      <c r="O615" s="4"/>
      <c r="P615" s="4"/>
      <c r="S615" s="4"/>
      <c r="T615" s="4"/>
      <c r="W615" s="4"/>
    </row>
    <row r="616" spans="1:23" ht="15.75" customHeight="1" x14ac:dyDescent="0.35">
      <c r="A616" s="4"/>
      <c r="B616" s="4"/>
      <c r="F616" s="4"/>
      <c r="O616" s="4"/>
      <c r="P616" s="4"/>
      <c r="S616" s="4"/>
      <c r="T616" s="4"/>
      <c r="W616" s="4"/>
    </row>
    <row r="617" spans="1:23" ht="15.75" customHeight="1" x14ac:dyDescent="0.35">
      <c r="A617" s="4"/>
      <c r="B617" s="4"/>
      <c r="F617" s="4"/>
      <c r="O617" s="4"/>
      <c r="P617" s="4"/>
      <c r="S617" s="4"/>
      <c r="T617" s="4"/>
      <c r="W617" s="4"/>
    </row>
    <row r="618" spans="1:23" ht="15.75" customHeight="1" x14ac:dyDescent="0.35">
      <c r="A618" s="4"/>
      <c r="B618" s="4"/>
      <c r="F618" s="4"/>
      <c r="O618" s="4"/>
      <c r="P618" s="4"/>
      <c r="S618" s="4"/>
      <c r="T618" s="4"/>
      <c r="W618" s="4"/>
    </row>
    <row r="619" spans="1:23" ht="15.75" customHeight="1" x14ac:dyDescent="0.35">
      <c r="A619" s="4"/>
      <c r="B619" s="4"/>
      <c r="F619" s="4"/>
      <c r="O619" s="4"/>
      <c r="P619" s="4"/>
      <c r="S619" s="4"/>
      <c r="T619" s="4"/>
      <c r="W619" s="4"/>
    </row>
    <row r="620" spans="1:23" ht="15.75" customHeight="1" x14ac:dyDescent="0.35">
      <c r="A620" s="4"/>
      <c r="B620" s="4"/>
      <c r="F620" s="4"/>
      <c r="O620" s="4"/>
      <c r="P620" s="4"/>
      <c r="S620" s="4"/>
      <c r="T620" s="4"/>
      <c r="W620" s="4"/>
    </row>
    <row r="621" spans="1:23" ht="15.75" customHeight="1" x14ac:dyDescent="0.35">
      <c r="A621" s="4"/>
      <c r="B621" s="4"/>
      <c r="F621" s="4"/>
      <c r="O621" s="4"/>
      <c r="P621" s="4"/>
      <c r="S621" s="4"/>
      <c r="T621" s="4"/>
      <c r="W621" s="4"/>
    </row>
    <row r="622" spans="1:23" ht="15.75" customHeight="1" x14ac:dyDescent="0.35">
      <c r="A622" s="4"/>
      <c r="B622" s="4"/>
      <c r="F622" s="4"/>
      <c r="O622" s="4"/>
      <c r="P622" s="4"/>
      <c r="S622" s="4"/>
      <c r="T622" s="4"/>
      <c r="W622" s="4"/>
    </row>
    <row r="623" spans="1:23" ht="15.75" customHeight="1" x14ac:dyDescent="0.35">
      <c r="A623" s="4"/>
      <c r="B623" s="4"/>
      <c r="F623" s="4"/>
      <c r="O623" s="4"/>
      <c r="P623" s="4"/>
      <c r="S623" s="4"/>
      <c r="T623" s="4"/>
      <c r="W623" s="4"/>
    </row>
    <row r="624" spans="1:23" ht="15.75" customHeight="1" x14ac:dyDescent="0.35">
      <c r="A624" s="4"/>
      <c r="B624" s="4"/>
      <c r="F624" s="4"/>
      <c r="O624" s="4"/>
      <c r="P624" s="4"/>
      <c r="S624" s="4"/>
      <c r="T624" s="4"/>
      <c r="W624" s="4"/>
    </row>
    <row r="625" spans="1:23" ht="15.75" customHeight="1" x14ac:dyDescent="0.35">
      <c r="A625" s="4"/>
      <c r="B625" s="4"/>
      <c r="F625" s="4"/>
      <c r="O625" s="4"/>
      <c r="P625" s="4"/>
      <c r="S625" s="4"/>
      <c r="T625" s="4"/>
      <c r="W625" s="4"/>
    </row>
    <row r="626" spans="1:23" ht="15.75" customHeight="1" x14ac:dyDescent="0.35">
      <c r="A626" s="4"/>
      <c r="B626" s="4"/>
      <c r="F626" s="4"/>
      <c r="O626" s="4"/>
      <c r="P626" s="4"/>
      <c r="S626" s="4"/>
      <c r="T626" s="4"/>
      <c r="W626" s="4"/>
    </row>
    <row r="627" spans="1:23" ht="15.75" customHeight="1" x14ac:dyDescent="0.35">
      <c r="A627" s="4"/>
      <c r="B627" s="4"/>
      <c r="F627" s="4"/>
      <c r="O627" s="4"/>
      <c r="P627" s="4"/>
      <c r="S627" s="4"/>
      <c r="T627" s="4"/>
      <c r="W627" s="4"/>
    </row>
    <row r="628" spans="1:23" ht="15.75" customHeight="1" x14ac:dyDescent="0.35">
      <c r="A628" s="4"/>
      <c r="B628" s="4"/>
      <c r="F628" s="4"/>
      <c r="O628" s="4"/>
      <c r="P628" s="4"/>
      <c r="S628" s="4"/>
      <c r="T628" s="4"/>
      <c r="W628" s="4"/>
    </row>
    <row r="629" spans="1:23" ht="15.75" customHeight="1" x14ac:dyDescent="0.35">
      <c r="A629" s="4"/>
      <c r="B629" s="4"/>
      <c r="F629" s="4"/>
      <c r="O629" s="4"/>
      <c r="P629" s="4"/>
      <c r="S629" s="4"/>
      <c r="T629" s="4"/>
      <c r="W629" s="4"/>
    </row>
    <row r="630" spans="1:23" ht="15.75" customHeight="1" x14ac:dyDescent="0.35">
      <c r="A630" s="4"/>
      <c r="B630" s="4"/>
      <c r="F630" s="4"/>
      <c r="O630" s="4"/>
      <c r="P630" s="4"/>
      <c r="S630" s="4"/>
      <c r="T630" s="4"/>
      <c r="W630" s="4"/>
    </row>
    <row r="631" spans="1:23" ht="15.75" customHeight="1" x14ac:dyDescent="0.35">
      <c r="A631" s="4"/>
      <c r="B631" s="4"/>
      <c r="F631" s="4"/>
      <c r="O631" s="4"/>
      <c r="P631" s="4"/>
      <c r="S631" s="4"/>
      <c r="T631" s="4"/>
      <c r="W631" s="4"/>
    </row>
    <row r="632" spans="1:23" ht="15.75" customHeight="1" x14ac:dyDescent="0.35">
      <c r="A632" s="4"/>
      <c r="B632" s="4"/>
      <c r="F632" s="4"/>
      <c r="O632" s="4"/>
      <c r="P632" s="4"/>
      <c r="S632" s="4"/>
      <c r="T632" s="4"/>
      <c r="W632" s="4"/>
    </row>
    <row r="633" spans="1:23" ht="15.75" customHeight="1" x14ac:dyDescent="0.35">
      <c r="A633" s="4"/>
      <c r="B633" s="4"/>
      <c r="F633" s="4"/>
      <c r="O633" s="4"/>
      <c r="P633" s="4"/>
      <c r="S633" s="4"/>
      <c r="T633" s="4"/>
      <c r="W633" s="4"/>
    </row>
    <row r="634" spans="1:23" ht="15.75" customHeight="1" x14ac:dyDescent="0.35">
      <c r="A634" s="4"/>
      <c r="B634" s="4"/>
      <c r="F634" s="4"/>
      <c r="O634" s="4"/>
      <c r="P634" s="4"/>
      <c r="S634" s="4"/>
      <c r="T634" s="4"/>
      <c r="W634" s="4"/>
    </row>
    <row r="635" spans="1:23" ht="15.75" customHeight="1" x14ac:dyDescent="0.35">
      <c r="A635" s="4"/>
      <c r="B635" s="4"/>
      <c r="F635" s="4"/>
      <c r="O635" s="4"/>
      <c r="P635" s="4"/>
      <c r="S635" s="4"/>
      <c r="T635" s="4"/>
      <c r="W635" s="4"/>
    </row>
    <row r="636" spans="1:23" ht="15.75" customHeight="1" x14ac:dyDescent="0.35">
      <c r="A636" s="4"/>
      <c r="B636" s="4"/>
      <c r="F636" s="4"/>
      <c r="O636" s="4"/>
      <c r="P636" s="4"/>
      <c r="S636" s="4"/>
      <c r="T636" s="4"/>
      <c r="W636" s="4"/>
    </row>
    <row r="637" spans="1:23" ht="15.75" customHeight="1" x14ac:dyDescent="0.35">
      <c r="A637" s="4"/>
      <c r="B637" s="4"/>
      <c r="F637" s="4"/>
      <c r="O637" s="4"/>
      <c r="P637" s="4"/>
      <c r="S637" s="4"/>
      <c r="T637" s="4"/>
      <c r="W637" s="4"/>
    </row>
    <row r="638" spans="1:23" ht="15.75" customHeight="1" x14ac:dyDescent="0.35">
      <c r="A638" s="4"/>
      <c r="B638" s="4"/>
      <c r="F638" s="4"/>
      <c r="O638" s="4"/>
      <c r="P638" s="4"/>
      <c r="S638" s="4"/>
      <c r="T638" s="4"/>
      <c r="W638" s="4"/>
    </row>
    <row r="639" spans="1:23" ht="15.75" customHeight="1" x14ac:dyDescent="0.35">
      <c r="A639" s="4"/>
      <c r="B639" s="4"/>
      <c r="F639" s="4"/>
      <c r="O639" s="4"/>
      <c r="P639" s="4"/>
      <c r="S639" s="4"/>
      <c r="T639" s="4"/>
      <c r="W639" s="4"/>
    </row>
    <row r="640" spans="1:23" ht="15.75" customHeight="1" x14ac:dyDescent="0.35">
      <c r="A640" s="4"/>
      <c r="B640" s="4"/>
      <c r="F640" s="4"/>
      <c r="O640" s="4"/>
      <c r="P640" s="4"/>
      <c r="S640" s="4"/>
      <c r="T640" s="4"/>
      <c r="W640" s="4"/>
    </row>
    <row r="641" spans="1:23" ht="15.75" customHeight="1" x14ac:dyDescent="0.35">
      <c r="A641" s="4"/>
      <c r="B641" s="4"/>
      <c r="F641" s="4"/>
      <c r="O641" s="4"/>
      <c r="P641" s="4"/>
      <c r="S641" s="4"/>
      <c r="T641" s="4"/>
      <c r="W641" s="4"/>
    </row>
    <row r="642" spans="1:23" ht="15.75" customHeight="1" x14ac:dyDescent="0.35">
      <c r="A642" s="4"/>
      <c r="B642" s="4"/>
      <c r="F642" s="4"/>
      <c r="O642" s="4"/>
      <c r="P642" s="4"/>
      <c r="S642" s="4"/>
      <c r="T642" s="4"/>
      <c r="W642" s="4"/>
    </row>
    <row r="643" spans="1:23" ht="15.75" customHeight="1" x14ac:dyDescent="0.35">
      <c r="A643" s="4"/>
      <c r="B643" s="4"/>
      <c r="F643" s="4"/>
      <c r="O643" s="4"/>
      <c r="P643" s="4"/>
      <c r="S643" s="4"/>
      <c r="T643" s="4"/>
      <c r="W643" s="4"/>
    </row>
    <row r="644" spans="1:23" ht="15.75" customHeight="1" x14ac:dyDescent="0.35">
      <c r="A644" s="4"/>
      <c r="B644" s="4"/>
      <c r="F644" s="4"/>
      <c r="O644" s="4"/>
      <c r="P644" s="4"/>
      <c r="S644" s="4"/>
      <c r="T644" s="4"/>
      <c r="W644" s="4"/>
    </row>
    <row r="645" spans="1:23" ht="15.75" customHeight="1" x14ac:dyDescent="0.35">
      <c r="A645" s="4"/>
      <c r="B645" s="4"/>
      <c r="F645" s="4"/>
      <c r="O645" s="4"/>
      <c r="P645" s="4"/>
      <c r="S645" s="4"/>
      <c r="T645" s="4"/>
      <c r="W645" s="4"/>
    </row>
    <row r="646" spans="1:23" ht="15.75" customHeight="1" x14ac:dyDescent="0.35">
      <c r="A646" s="4"/>
      <c r="B646" s="4"/>
      <c r="F646" s="4"/>
      <c r="O646" s="4"/>
      <c r="P646" s="4"/>
      <c r="S646" s="4"/>
      <c r="T646" s="4"/>
      <c r="W646" s="4"/>
    </row>
    <row r="647" spans="1:23" ht="15.75" customHeight="1" x14ac:dyDescent="0.35">
      <c r="A647" s="4"/>
      <c r="B647" s="4"/>
      <c r="F647" s="4"/>
      <c r="O647" s="4"/>
      <c r="P647" s="4"/>
      <c r="S647" s="4"/>
      <c r="T647" s="4"/>
      <c r="W647" s="4"/>
    </row>
    <row r="648" spans="1:23" ht="15.75" customHeight="1" x14ac:dyDescent="0.35">
      <c r="A648" s="4"/>
      <c r="B648" s="4"/>
      <c r="F648" s="4"/>
      <c r="O648" s="4"/>
      <c r="P648" s="4"/>
      <c r="S648" s="4"/>
      <c r="T648" s="4"/>
      <c r="W648" s="4"/>
    </row>
    <row r="649" spans="1:23" ht="15.75" customHeight="1" x14ac:dyDescent="0.35">
      <c r="A649" s="4"/>
      <c r="B649" s="4"/>
      <c r="F649" s="4"/>
      <c r="O649" s="4"/>
      <c r="P649" s="4"/>
      <c r="S649" s="4"/>
      <c r="T649" s="4"/>
      <c r="W649" s="4"/>
    </row>
    <row r="650" spans="1:23" ht="15.75" customHeight="1" x14ac:dyDescent="0.35">
      <c r="A650" s="4"/>
      <c r="B650" s="4"/>
      <c r="F650" s="4"/>
      <c r="O650" s="4"/>
      <c r="P650" s="4"/>
      <c r="S650" s="4"/>
      <c r="T650" s="4"/>
      <c r="W650" s="4"/>
    </row>
    <row r="651" spans="1:23" ht="15.75" customHeight="1" x14ac:dyDescent="0.35">
      <c r="A651" s="4"/>
      <c r="B651" s="4"/>
      <c r="F651" s="4"/>
      <c r="O651" s="4"/>
      <c r="P651" s="4"/>
      <c r="S651" s="4"/>
      <c r="T651" s="4"/>
      <c r="W651" s="4"/>
    </row>
    <row r="652" spans="1:23" ht="15.75" customHeight="1" x14ac:dyDescent="0.35">
      <c r="A652" s="4"/>
      <c r="B652" s="4"/>
      <c r="F652" s="4"/>
      <c r="O652" s="4"/>
      <c r="P652" s="4"/>
      <c r="S652" s="4"/>
      <c r="T652" s="4"/>
      <c r="W652" s="4"/>
    </row>
    <row r="653" spans="1:23" ht="15.75" customHeight="1" x14ac:dyDescent="0.35">
      <c r="A653" s="4"/>
      <c r="B653" s="4"/>
      <c r="F653" s="4"/>
      <c r="O653" s="4"/>
      <c r="P653" s="4"/>
      <c r="S653" s="4"/>
      <c r="T653" s="4"/>
      <c r="W653" s="4"/>
    </row>
    <row r="654" spans="1:23" ht="15.75" customHeight="1" x14ac:dyDescent="0.35">
      <c r="A654" s="4"/>
      <c r="B654" s="4"/>
      <c r="F654" s="4"/>
      <c r="O654" s="4"/>
      <c r="P654" s="4"/>
      <c r="S654" s="4"/>
      <c r="T654" s="4"/>
      <c r="W654" s="4"/>
    </row>
    <row r="655" spans="1:23" ht="15.75" customHeight="1" x14ac:dyDescent="0.35">
      <c r="A655" s="4"/>
      <c r="B655" s="4"/>
      <c r="F655" s="4"/>
      <c r="O655" s="4"/>
      <c r="P655" s="4"/>
      <c r="S655" s="4"/>
      <c r="T655" s="4"/>
      <c r="W655" s="4"/>
    </row>
    <row r="656" spans="1:23" ht="15.75" customHeight="1" x14ac:dyDescent="0.35">
      <c r="A656" s="4"/>
      <c r="B656" s="4"/>
      <c r="F656" s="4"/>
      <c r="O656" s="4"/>
      <c r="P656" s="4"/>
      <c r="S656" s="4"/>
      <c r="T656" s="4"/>
      <c r="W656" s="4"/>
    </row>
    <row r="657" spans="1:23" ht="15.75" customHeight="1" x14ac:dyDescent="0.35">
      <c r="A657" s="4"/>
      <c r="B657" s="4"/>
      <c r="F657" s="4"/>
      <c r="O657" s="4"/>
      <c r="P657" s="4"/>
      <c r="S657" s="4"/>
      <c r="T657" s="4"/>
      <c r="W657" s="4"/>
    </row>
    <row r="658" spans="1:23" ht="15.75" customHeight="1" x14ac:dyDescent="0.35">
      <c r="A658" s="4"/>
      <c r="B658" s="4"/>
      <c r="F658" s="4"/>
      <c r="O658" s="4"/>
      <c r="P658" s="4"/>
      <c r="S658" s="4"/>
      <c r="T658" s="4"/>
      <c r="W658" s="4"/>
    </row>
    <row r="659" spans="1:23" ht="15.75" customHeight="1" x14ac:dyDescent="0.35">
      <c r="A659" s="4"/>
      <c r="B659" s="4"/>
      <c r="F659" s="4"/>
      <c r="O659" s="4"/>
      <c r="P659" s="4"/>
      <c r="S659" s="4"/>
      <c r="T659" s="4"/>
      <c r="W659" s="4"/>
    </row>
    <row r="660" spans="1:23" ht="15.75" customHeight="1" x14ac:dyDescent="0.35">
      <c r="A660" s="4"/>
      <c r="B660" s="4"/>
      <c r="F660" s="4"/>
      <c r="O660" s="4"/>
      <c r="P660" s="4"/>
      <c r="S660" s="4"/>
      <c r="T660" s="4"/>
      <c r="W660" s="4"/>
    </row>
    <row r="661" spans="1:23" ht="15.75" customHeight="1" x14ac:dyDescent="0.35">
      <c r="A661" s="4"/>
      <c r="B661" s="4"/>
      <c r="F661" s="4"/>
      <c r="O661" s="4"/>
      <c r="P661" s="4"/>
      <c r="S661" s="4"/>
      <c r="T661" s="4"/>
      <c r="W661" s="4"/>
    </row>
    <row r="662" spans="1:23" ht="15.75" customHeight="1" x14ac:dyDescent="0.35">
      <c r="A662" s="4"/>
      <c r="B662" s="4"/>
      <c r="F662" s="4"/>
      <c r="O662" s="4"/>
      <c r="P662" s="4"/>
      <c r="S662" s="4"/>
      <c r="T662" s="4"/>
      <c r="W662" s="4"/>
    </row>
    <row r="663" spans="1:23" ht="15.75" customHeight="1" x14ac:dyDescent="0.35">
      <c r="A663" s="4"/>
      <c r="B663" s="4"/>
      <c r="F663" s="4"/>
      <c r="O663" s="4"/>
      <c r="P663" s="4"/>
      <c r="S663" s="4"/>
      <c r="T663" s="4"/>
      <c r="W663" s="4"/>
    </row>
    <row r="664" spans="1:23" ht="15.75" customHeight="1" x14ac:dyDescent="0.35">
      <c r="A664" s="4"/>
      <c r="B664" s="4"/>
      <c r="F664" s="4"/>
      <c r="O664" s="4"/>
      <c r="P664" s="4"/>
      <c r="S664" s="4"/>
      <c r="T664" s="4"/>
      <c r="W664" s="4"/>
    </row>
    <row r="665" spans="1:23" ht="15.75" customHeight="1" x14ac:dyDescent="0.35">
      <c r="A665" s="4"/>
      <c r="B665" s="4"/>
      <c r="F665" s="4"/>
      <c r="O665" s="4"/>
      <c r="P665" s="4"/>
      <c r="S665" s="4"/>
      <c r="T665" s="4"/>
      <c r="W665" s="4"/>
    </row>
    <row r="666" spans="1:23" ht="15.75" customHeight="1" x14ac:dyDescent="0.35">
      <c r="A666" s="4"/>
      <c r="B666" s="4"/>
      <c r="F666" s="4"/>
      <c r="O666" s="4"/>
      <c r="P666" s="4"/>
      <c r="S666" s="4"/>
      <c r="T666" s="4"/>
      <c r="W666" s="4"/>
    </row>
    <row r="667" spans="1:23" ht="15.75" customHeight="1" x14ac:dyDescent="0.35">
      <c r="A667" s="4"/>
      <c r="B667" s="4"/>
      <c r="F667" s="4"/>
      <c r="O667" s="4"/>
      <c r="P667" s="4"/>
      <c r="S667" s="4"/>
      <c r="T667" s="4"/>
      <c r="W667" s="4"/>
    </row>
    <row r="668" spans="1:23" ht="15.75" customHeight="1" x14ac:dyDescent="0.35">
      <c r="A668" s="4"/>
      <c r="B668" s="4"/>
      <c r="F668" s="4"/>
      <c r="O668" s="4"/>
      <c r="P668" s="4"/>
      <c r="S668" s="4"/>
      <c r="T668" s="4"/>
      <c r="W668" s="4"/>
    </row>
    <row r="669" spans="1:23" ht="15.75" customHeight="1" x14ac:dyDescent="0.35">
      <c r="A669" s="4"/>
      <c r="B669" s="4"/>
      <c r="F669" s="4"/>
      <c r="O669" s="4"/>
      <c r="P669" s="4"/>
      <c r="S669" s="4"/>
      <c r="T669" s="4"/>
      <c r="W669" s="4"/>
    </row>
    <row r="670" spans="1:23" ht="15.75" customHeight="1" x14ac:dyDescent="0.35">
      <c r="A670" s="4"/>
      <c r="B670" s="4"/>
      <c r="F670" s="4"/>
      <c r="O670" s="4"/>
      <c r="P670" s="4"/>
      <c r="S670" s="4"/>
      <c r="T670" s="4"/>
      <c r="W670" s="4"/>
    </row>
    <row r="671" spans="1:23" ht="15.75" customHeight="1" x14ac:dyDescent="0.35">
      <c r="A671" s="4"/>
      <c r="B671" s="4"/>
      <c r="F671" s="4"/>
      <c r="O671" s="4"/>
      <c r="P671" s="4"/>
      <c r="S671" s="4"/>
      <c r="T671" s="4"/>
      <c r="W671" s="4"/>
    </row>
    <row r="672" spans="1:23" ht="15.75" customHeight="1" x14ac:dyDescent="0.35">
      <c r="A672" s="4"/>
      <c r="B672" s="4"/>
      <c r="F672" s="4"/>
      <c r="O672" s="4"/>
      <c r="P672" s="4"/>
      <c r="S672" s="4"/>
      <c r="T672" s="4"/>
      <c r="W672" s="4"/>
    </row>
    <row r="673" spans="1:23" ht="15.75" customHeight="1" x14ac:dyDescent="0.35">
      <c r="A673" s="4"/>
      <c r="B673" s="4"/>
      <c r="F673" s="4"/>
      <c r="O673" s="4"/>
      <c r="P673" s="4"/>
      <c r="S673" s="4"/>
      <c r="T673" s="4"/>
      <c r="W673" s="4"/>
    </row>
    <row r="674" spans="1:23" ht="15.75" customHeight="1" x14ac:dyDescent="0.35">
      <c r="A674" s="4"/>
      <c r="B674" s="4"/>
      <c r="F674" s="4"/>
      <c r="O674" s="4"/>
      <c r="P674" s="4"/>
      <c r="S674" s="4"/>
      <c r="T674" s="4"/>
      <c r="W674" s="4"/>
    </row>
    <row r="675" spans="1:23" ht="15.75" customHeight="1" x14ac:dyDescent="0.35">
      <c r="A675" s="4"/>
      <c r="B675" s="4"/>
      <c r="F675" s="4"/>
      <c r="O675" s="4"/>
      <c r="P675" s="4"/>
      <c r="S675" s="4"/>
      <c r="T675" s="4"/>
      <c r="W675" s="4"/>
    </row>
    <row r="676" spans="1:23" ht="15.75" customHeight="1" x14ac:dyDescent="0.35">
      <c r="A676" s="4"/>
      <c r="B676" s="4"/>
      <c r="F676" s="4"/>
      <c r="O676" s="4"/>
      <c r="P676" s="4"/>
      <c r="S676" s="4"/>
      <c r="T676" s="4"/>
      <c r="W676" s="4"/>
    </row>
    <row r="677" spans="1:23" ht="15.75" customHeight="1" x14ac:dyDescent="0.35">
      <c r="A677" s="4"/>
      <c r="B677" s="4"/>
      <c r="F677" s="4"/>
      <c r="O677" s="4"/>
      <c r="P677" s="4"/>
      <c r="S677" s="4"/>
      <c r="T677" s="4"/>
      <c r="W677" s="4"/>
    </row>
    <row r="678" spans="1:23" ht="15.75" customHeight="1" x14ac:dyDescent="0.35">
      <c r="A678" s="4"/>
      <c r="B678" s="4"/>
      <c r="F678" s="4"/>
      <c r="O678" s="4"/>
      <c r="P678" s="4"/>
      <c r="S678" s="4"/>
      <c r="T678" s="4"/>
      <c r="W678" s="4"/>
    </row>
    <row r="679" spans="1:23" ht="15.75" customHeight="1" x14ac:dyDescent="0.35">
      <c r="A679" s="4"/>
      <c r="B679" s="4"/>
      <c r="F679" s="4"/>
      <c r="O679" s="4"/>
      <c r="P679" s="4"/>
      <c r="S679" s="4"/>
      <c r="T679" s="4"/>
      <c r="W679" s="4"/>
    </row>
    <row r="680" spans="1:23" ht="15.75" customHeight="1" x14ac:dyDescent="0.35">
      <c r="A680" s="4"/>
      <c r="B680" s="4"/>
      <c r="F680" s="4"/>
      <c r="O680" s="4"/>
      <c r="P680" s="4"/>
      <c r="S680" s="4"/>
      <c r="T680" s="4"/>
      <c r="W680" s="4"/>
    </row>
    <row r="681" spans="1:23" ht="15.75" customHeight="1" x14ac:dyDescent="0.35">
      <c r="A681" s="4"/>
      <c r="B681" s="4"/>
      <c r="F681" s="4"/>
      <c r="O681" s="4"/>
      <c r="P681" s="4"/>
      <c r="S681" s="4"/>
      <c r="T681" s="4"/>
      <c r="W681" s="4"/>
    </row>
    <row r="682" spans="1:23" ht="15.75" customHeight="1" x14ac:dyDescent="0.35">
      <c r="A682" s="4"/>
      <c r="B682" s="4"/>
      <c r="F682" s="4"/>
      <c r="O682" s="4"/>
      <c r="P682" s="4"/>
      <c r="S682" s="4"/>
      <c r="T682" s="4"/>
      <c r="W682" s="4"/>
    </row>
    <row r="683" spans="1:23" ht="15.75" customHeight="1" x14ac:dyDescent="0.35">
      <c r="A683" s="4"/>
      <c r="B683" s="4"/>
      <c r="F683" s="4"/>
      <c r="O683" s="4"/>
      <c r="P683" s="4"/>
      <c r="S683" s="4"/>
      <c r="T683" s="4"/>
      <c r="W683" s="4"/>
    </row>
    <row r="684" spans="1:23" ht="15.75" customHeight="1" x14ac:dyDescent="0.35">
      <c r="A684" s="4"/>
      <c r="B684" s="4"/>
      <c r="F684" s="4"/>
      <c r="O684" s="4"/>
      <c r="P684" s="4"/>
      <c r="S684" s="4"/>
      <c r="T684" s="4"/>
      <c r="W684" s="4"/>
    </row>
    <row r="685" spans="1:23" ht="15.75" customHeight="1" x14ac:dyDescent="0.35">
      <c r="A685" s="4"/>
      <c r="B685" s="4"/>
      <c r="F685" s="4"/>
      <c r="O685" s="4"/>
      <c r="P685" s="4"/>
      <c r="S685" s="4"/>
      <c r="T685" s="4"/>
      <c r="W685" s="4"/>
    </row>
    <row r="686" spans="1:23" ht="15.75" customHeight="1" x14ac:dyDescent="0.35">
      <c r="A686" s="4"/>
      <c r="B686" s="4"/>
      <c r="F686" s="4"/>
      <c r="O686" s="4"/>
      <c r="P686" s="4"/>
      <c r="S686" s="4"/>
      <c r="T686" s="4"/>
      <c r="W686" s="4"/>
    </row>
    <row r="687" spans="1:23" ht="15.75" customHeight="1" x14ac:dyDescent="0.35">
      <c r="A687" s="4"/>
      <c r="B687" s="4"/>
      <c r="F687" s="4"/>
      <c r="O687" s="4"/>
      <c r="P687" s="4"/>
      <c r="S687" s="4"/>
      <c r="T687" s="4"/>
      <c r="W687" s="4"/>
    </row>
    <row r="688" spans="1:23" ht="15.75" customHeight="1" x14ac:dyDescent="0.35">
      <c r="A688" s="4"/>
      <c r="B688" s="4"/>
      <c r="F688" s="4"/>
      <c r="O688" s="4"/>
      <c r="P688" s="4"/>
      <c r="S688" s="4"/>
      <c r="T688" s="4"/>
      <c r="W688" s="4"/>
    </row>
    <row r="689" spans="1:23" ht="15.75" customHeight="1" x14ac:dyDescent="0.35">
      <c r="A689" s="4"/>
      <c r="B689" s="4"/>
      <c r="F689" s="4"/>
      <c r="O689" s="4"/>
      <c r="P689" s="4"/>
      <c r="S689" s="4"/>
      <c r="T689" s="4"/>
      <c r="W689" s="4"/>
    </row>
    <row r="690" spans="1:23" ht="15.75" customHeight="1" x14ac:dyDescent="0.35">
      <c r="A690" s="4"/>
      <c r="B690" s="4"/>
      <c r="F690" s="4"/>
      <c r="O690" s="4"/>
      <c r="P690" s="4"/>
      <c r="S690" s="4"/>
      <c r="T690" s="4"/>
      <c r="W690" s="4"/>
    </row>
    <row r="691" spans="1:23" ht="15.75" customHeight="1" x14ac:dyDescent="0.35">
      <c r="A691" s="4"/>
      <c r="B691" s="4"/>
      <c r="F691" s="4"/>
      <c r="O691" s="4"/>
      <c r="P691" s="4"/>
      <c r="S691" s="4"/>
      <c r="T691" s="4"/>
      <c r="W691" s="4"/>
    </row>
    <row r="692" spans="1:23" ht="15.75" customHeight="1" x14ac:dyDescent="0.35">
      <c r="A692" s="4"/>
      <c r="B692" s="4"/>
      <c r="F692" s="4"/>
      <c r="O692" s="4"/>
      <c r="P692" s="4"/>
      <c r="S692" s="4"/>
      <c r="T692" s="4"/>
      <c r="W692" s="4"/>
    </row>
    <row r="693" spans="1:23" ht="15.75" customHeight="1" x14ac:dyDescent="0.35">
      <c r="A693" s="4"/>
      <c r="B693" s="4"/>
      <c r="F693" s="4"/>
      <c r="O693" s="4"/>
      <c r="P693" s="4"/>
      <c r="S693" s="4"/>
      <c r="T693" s="4"/>
      <c r="W693" s="4"/>
    </row>
    <row r="694" spans="1:23" ht="15.75" customHeight="1" x14ac:dyDescent="0.35">
      <c r="A694" s="4"/>
      <c r="B694" s="4"/>
      <c r="F694" s="4"/>
      <c r="O694" s="4"/>
      <c r="P694" s="4"/>
      <c r="S694" s="4"/>
      <c r="T694" s="4"/>
      <c r="W694" s="4"/>
    </row>
    <row r="695" spans="1:23" ht="15.75" customHeight="1" x14ac:dyDescent="0.35">
      <c r="A695" s="4"/>
      <c r="B695" s="4"/>
      <c r="F695" s="4"/>
      <c r="O695" s="4"/>
      <c r="P695" s="4"/>
      <c r="S695" s="4"/>
      <c r="T695" s="4"/>
      <c r="W695" s="4"/>
    </row>
    <row r="696" spans="1:23" ht="15.75" customHeight="1" x14ac:dyDescent="0.35">
      <c r="A696" s="4"/>
      <c r="B696" s="4"/>
      <c r="F696" s="4"/>
      <c r="O696" s="4"/>
      <c r="P696" s="4"/>
      <c r="S696" s="4"/>
      <c r="T696" s="4"/>
      <c r="W696" s="4"/>
    </row>
    <row r="697" spans="1:23" ht="15.75" customHeight="1" x14ac:dyDescent="0.35">
      <c r="A697" s="4"/>
      <c r="B697" s="4"/>
      <c r="F697" s="4"/>
      <c r="O697" s="4"/>
      <c r="P697" s="4"/>
      <c r="S697" s="4"/>
      <c r="T697" s="4"/>
      <c r="W697" s="4"/>
    </row>
    <row r="698" spans="1:23" ht="15.75" customHeight="1" x14ac:dyDescent="0.35">
      <c r="A698" s="4"/>
      <c r="B698" s="4"/>
      <c r="F698" s="4"/>
      <c r="O698" s="4"/>
      <c r="P698" s="4"/>
      <c r="S698" s="4"/>
      <c r="T698" s="4"/>
      <c r="W698" s="4"/>
    </row>
    <row r="699" spans="1:23" ht="15.75" customHeight="1" x14ac:dyDescent="0.35">
      <c r="A699" s="4"/>
      <c r="B699" s="4"/>
      <c r="F699" s="4"/>
      <c r="O699" s="4"/>
      <c r="P699" s="4"/>
      <c r="S699" s="4"/>
      <c r="T699" s="4"/>
      <c r="W699" s="4"/>
    </row>
    <row r="700" spans="1:23" ht="15.75" customHeight="1" x14ac:dyDescent="0.35">
      <c r="A700" s="4"/>
      <c r="B700" s="4"/>
      <c r="F700" s="4"/>
      <c r="O700" s="4"/>
      <c r="P700" s="4"/>
      <c r="S700" s="4"/>
      <c r="T700" s="4"/>
      <c r="W700" s="4"/>
    </row>
    <row r="701" spans="1:23" ht="15.75" customHeight="1" x14ac:dyDescent="0.35">
      <c r="A701" s="4"/>
      <c r="B701" s="4"/>
      <c r="F701" s="4"/>
      <c r="O701" s="4"/>
      <c r="P701" s="4"/>
      <c r="S701" s="4"/>
      <c r="T701" s="4"/>
      <c r="W701" s="4"/>
    </row>
    <row r="702" spans="1:23" ht="15.75" customHeight="1" x14ac:dyDescent="0.35">
      <c r="A702" s="4"/>
      <c r="B702" s="4"/>
      <c r="F702" s="4"/>
      <c r="O702" s="4"/>
      <c r="P702" s="4"/>
      <c r="S702" s="4"/>
      <c r="T702" s="4"/>
      <c r="W702" s="4"/>
    </row>
    <row r="703" spans="1:23" ht="15.75" customHeight="1" x14ac:dyDescent="0.35">
      <c r="A703" s="4"/>
      <c r="B703" s="4"/>
      <c r="F703" s="4"/>
      <c r="O703" s="4"/>
      <c r="P703" s="4"/>
      <c r="S703" s="4"/>
      <c r="T703" s="4"/>
      <c r="W703" s="4"/>
    </row>
    <row r="704" spans="1:23" ht="15.75" customHeight="1" x14ac:dyDescent="0.35">
      <c r="A704" s="4"/>
      <c r="B704" s="4"/>
      <c r="F704" s="4"/>
      <c r="O704" s="4"/>
      <c r="P704" s="4"/>
      <c r="S704" s="4"/>
      <c r="T704" s="4"/>
      <c r="W704" s="4"/>
    </row>
    <row r="705" spans="1:23" ht="15.75" customHeight="1" x14ac:dyDescent="0.35">
      <c r="A705" s="4"/>
      <c r="B705" s="4"/>
      <c r="F705" s="4"/>
      <c r="O705" s="4"/>
      <c r="P705" s="4"/>
      <c r="S705" s="4"/>
      <c r="T705" s="4"/>
      <c r="W705" s="4"/>
    </row>
    <row r="706" spans="1:23" ht="15.75" customHeight="1" x14ac:dyDescent="0.35">
      <c r="A706" s="4"/>
      <c r="B706" s="4"/>
      <c r="F706" s="4"/>
      <c r="O706" s="4"/>
      <c r="P706" s="4"/>
      <c r="S706" s="4"/>
      <c r="T706" s="4"/>
      <c r="W706" s="4"/>
    </row>
    <row r="707" spans="1:23" ht="15.75" customHeight="1" x14ac:dyDescent="0.35">
      <c r="A707" s="4"/>
      <c r="B707" s="4"/>
      <c r="F707" s="4"/>
      <c r="O707" s="4"/>
      <c r="P707" s="4"/>
      <c r="S707" s="4"/>
      <c r="T707" s="4"/>
      <c r="W707" s="4"/>
    </row>
    <row r="708" spans="1:23" ht="15.75" customHeight="1" x14ac:dyDescent="0.35">
      <c r="A708" s="4"/>
      <c r="B708" s="4"/>
      <c r="F708" s="4"/>
      <c r="O708" s="4"/>
      <c r="P708" s="4"/>
      <c r="S708" s="4"/>
      <c r="T708" s="4"/>
      <c r="W708" s="4"/>
    </row>
    <row r="709" spans="1:23" ht="15.75" customHeight="1" x14ac:dyDescent="0.35">
      <c r="A709" s="4"/>
      <c r="B709" s="4"/>
      <c r="F709" s="4"/>
      <c r="O709" s="4"/>
      <c r="P709" s="4"/>
      <c r="S709" s="4"/>
      <c r="T709" s="4"/>
      <c r="W709" s="4"/>
    </row>
    <row r="710" spans="1:23" ht="15.75" customHeight="1" x14ac:dyDescent="0.35">
      <c r="A710" s="4"/>
      <c r="B710" s="4"/>
      <c r="F710" s="4"/>
      <c r="O710" s="4"/>
      <c r="P710" s="4"/>
      <c r="S710" s="4"/>
      <c r="T710" s="4"/>
      <c r="W710" s="4"/>
    </row>
    <row r="711" spans="1:23" ht="15.75" customHeight="1" x14ac:dyDescent="0.35">
      <c r="A711" s="4"/>
      <c r="B711" s="4"/>
      <c r="F711" s="4"/>
      <c r="O711" s="4"/>
      <c r="P711" s="4"/>
      <c r="S711" s="4"/>
      <c r="T711" s="4"/>
      <c r="W711" s="4"/>
    </row>
    <row r="712" spans="1:23" ht="15.75" customHeight="1" x14ac:dyDescent="0.35">
      <c r="A712" s="4"/>
      <c r="B712" s="4"/>
      <c r="F712" s="4"/>
      <c r="O712" s="4"/>
      <c r="P712" s="4"/>
      <c r="S712" s="4"/>
      <c r="T712" s="4"/>
      <c r="W712" s="4"/>
    </row>
    <row r="713" spans="1:23" ht="15.75" customHeight="1" x14ac:dyDescent="0.35">
      <c r="A713" s="4"/>
      <c r="B713" s="4"/>
      <c r="F713" s="4"/>
      <c r="O713" s="4"/>
      <c r="P713" s="4"/>
      <c r="S713" s="4"/>
      <c r="T713" s="4"/>
      <c r="W713" s="4"/>
    </row>
    <row r="714" spans="1:23" ht="15.75" customHeight="1" x14ac:dyDescent="0.35">
      <c r="A714" s="4"/>
      <c r="B714" s="4"/>
      <c r="F714" s="4"/>
      <c r="O714" s="4"/>
      <c r="P714" s="4"/>
      <c r="S714" s="4"/>
      <c r="T714" s="4"/>
      <c r="W714" s="4"/>
    </row>
    <row r="715" spans="1:23" ht="15.75" customHeight="1" x14ac:dyDescent="0.35">
      <c r="A715" s="4"/>
      <c r="B715" s="4"/>
      <c r="F715" s="4"/>
      <c r="O715" s="4"/>
      <c r="P715" s="4"/>
      <c r="S715" s="4"/>
      <c r="T715" s="4"/>
      <c r="W715" s="4"/>
    </row>
    <row r="716" spans="1:23" ht="15.75" customHeight="1" x14ac:dyDescent="0.35">
      <c r="A716" s="4"/>
      <c r="B716" s="4"/>
      <c r="F716" s="4"/>
      <c r="O716" s="4"/>
      <c r="P716" s="4"/>
      <c r="S716" s="4"/>
      <c r="T716" s="4"/>
      <c r="W716" s="4"/>
    </row>
    <row r="717" spans="1:23" ht="15.75" customHeight="1" x14ac:dyDescent="0.35">
      <c r="A717" s="4"/>
      <c r="B717" s="4"/>
      <c r="F717" s="4"/>
      <c r="O717" s="4"/>
      <c r="P717" s="4"/>
      <c r="S717" s="4"/>
      <c r="T717" s="4"/>
      <c r="W717" s="4"/>
    </row>
    <row r="718" spans="1:23" ht="15.75" customHeight="1" x14ac:dyDescent="0.35">
      <c r="A718" s="4"/>
      <c r="B718" s="4"/>
      <c r="F718" s="4"/>
      <c r="O718" s="4"/>
      <c r="P718" s="4"/>
      <c r="S718" s="4"/>
      <c r="T718" s="4"/>
      <c r="W718" s="4"/>
    </row>
    <row r="719" spans="1:23" ht="15.75" customHeight="1" x14ac:dyDescent="0.35">
      <c r="A719" s="4"/>
      <c r="B719" s="4"/>
      <c r="F719" s="4"/>
      <c r="O719" s="4"/>
      <c r="P719" s="4"/>
      <c r="S719" s="4"/>
      <c r="T719" s="4"/>
      <c r="W719" s="4"/>
    </row>
    <row r="720" spans="1:23" ht="15.75" customHeight="1" x14ac:dyDescent="0.35">
      <c r="A720" s="4"/>
      <c r="B720" s="4"/>
      <c r="F720" s="4"/>
      <c r="O720" s="4"/>
      <c r="P720" s="4"/>
      <c r="S720" s="4"/>
      <c r="T720" s="4"/>
      <c r="W720" s="4"/>
    </row>
    <row r="721" spans="1:23" ht="15.75" customHeight="1" x14ac:dyDescent="0.35">
      <c r="A721" s="4"/>
      <c r="B721" s="4"/>
      <c r="F721" s="4"/>
      <c r="O721" s="4"/>
      <c r="P721" s="4"/>
      <c r="S721" s="4"/>
      <c r="T721" s="4"/>
      <c r="W721" s="4"/>
    </row>
    <row r="722" spans="1:23" ht="15.75" customHeight="1" x14ac:dyDescent="0.35">
      <c r="A722" s="4"/>
      <c r="B722" s="4"/>
      <c r="F722" s="4"/>
      <c r="O722" s="4"/>
      <c r="P722" s="4"/>
      <c r="S722" s="4"/>
      <c r="T722" s="4"/>
      <c r="W722" s="4"/>
    </row>
    <row r="723" spans="1:23" ht="15.75" customHeight="1" x14ac:dyDescent="0.35">
      <c r="A723" s="4"/>
      <c r="B723" s="4"/>
      <c r="F723" s="4"/>
      <c r="O723" s="4"/>
      <c r="P723" s="4"/>
      <c r="S723" s="4"/>
      <c r="T723" s="4"/>
      <c r="W723" s="4"/>
    </row>
    <row r="724" spans="1:23" ht="15.75" customHeight="1" x14ac:dyDescent="0.35">
      <c r="A724" s="4"/>
      <c r="B724" s="4"/>
      <c r="F724" s="4"/>
      <c r="O724" s="4"/>
      <c r="P724" s="4"/>
      <c r="S724" s="4"/>
      <c r="T724" s="4"/>
      <c r="W724" s="4"/>
    </row>
    <row r="725" spans="1:23" ht="15.75" customHeight="1" x14ac:dyDescent="0.35">
      <c r="A725" s="4"/>
      <c r="B725" s="4"/>
      <c r="F725" s="4"/>
      <c r="O725" s="4"/>
      <c r="P725" s="4"/>
      <c r="S725" s="4"/>
      <c r="T725" s="4"/>
      <c r="W725" s="4"/>
    </row>
    <row r="726" spans="1:23" ht="15.75" customHeight="1" x14ac:dyDescent="0.35">
      <c r="A726" s="4"/>
      <c r="B726" s="4"/>
      <c r="F726" s="4"/>
      <c r="O726" s="4"/>
      <c r="P726" s="4"/>
      <c r="S726" s="4"/>
      <c r="T726" s="4"/>
      <c r="W726" s="4"/>
    </row>
    <row r="727" spans="1:23" ht="15.75" customHeight="1" x14ac:dyDescent="0.35">
      <c r="A727" s="4"/>
      <c r="B727" s="4"/>
      <c r="F727" s="4"/>
      <c r="O727" s="4"/>
      <c r="P727" s="4"/>
      <c r="S727" s="4"/>
      <c r="T727" s="4"/>
      <c r="W727" s="4"/>
    </row>
    <row r="728" spans="1:23" ht="15.75" customHeight="1" x14ac:dyDescent="0.35">
      <c r="A728" s="4"/>
      <c r="B728" s="4"/>
      <c r="F728" s="4"/>
      <c r="O728" s="4"/>
      <c r="P728" s="4"/>
      <c r="S728" s="4"/>
      <c r="T728" s="4"/>
      <c r="W728" s="4"/>
    </row>
    <row r="729" spans="1:23" ht="15.75" customHeight="1" x14ac:dyDescent="0.35">
      <c r="A729" s="4"/>
      <c r="B729" s="4"/>
      <c r="F729" s="4"/>
      <c r="O729" s="4"/>
      <c r="P729" s="4"/>
      <c r="S729" s="4"/>
      <c r="T729" s="4"/>
      <c r="W729" s="4"/>
    </row>
    <row r="730" spans="1:23" ht="15.75" customHeight="1" x14ac:dyDescent="0.35">
      <c r="A730" s="4"/>
      <c r="B730" s="4"/>
      <c r="F730" s="4"/>
      <c r="O730" s="4"/>
      <c r="P730" s="4"/>
      <c r="S730" s="4"/>
      <c r="T730" s="4"/>
      <c r="W730" s="4"/>
    </row>
    <row r="731" spans="1:23" ht="15.75" customHeight="1" x14ac:dyDescent="0.35">
      <c r="A731" s="4"/>
      <c r="B731" s="4"/>
      <c r="F731" s="4"/>
      <c r="O731" s="4"/>
      <c r="P731" s="4"/>
      <c r="S731" s="4"/>
      <c r="T731" s="4"/>
      <c r="W731" s="4"/>
    </row>
    <row r="732" spans="1:23" ht="15.75" customHeight="1" x14ac:dyDescent="0.35">
      <c r="A732" s="4"/>
      <c r="B732" s="4"/>
      <c r="F732" s="4"/>
      <c r="O732" s="4"/>
      <c r="P732" s="4"/>
      <c r="S732" s="4"/>
      <c r="T732" s="4"/>
      <c r="W732" s="4"/>
    </row>
    <row r="733" spans="1:23" ht="15.75" customHeight="1" x14ac:dyDescent="0.35">
      <c r="A733" s="4"/>
      <c r="B733" s="4"/>
      <c r="F733" s="4"/>
      <c r="O733" s="4"/>
      <c r="P733" s="4"/>
      <c r="S733" s="4"/>
      <c r="T733" s="4"/>
      <c r="W733" s="4"/>
    </row>
    <row r="734" spans="1:23" ht="15.75" customHeight="1" x14ac:dyDescent="0.35">
      <c r="A734" s="4"/>
      <c r="B734" s="4"/>
      <c r="F734" s="4"/>
      <c r="O734" s="4"/>
      <c r="P734" s="4"/>
      <c r="S734" s="4"/>
      <c r="T734" s="4"/>
      <c r="W734" s="4"/>
    </row>
    <row r="735" spans="1:23" ht="15.75" customHeight="1" x14ac:dyDescent="0.35">
      <c r="A735" s="4"/>
      <c r="B735" s="4"/>
      <c r="F735" s="4"/>
      <c r="O735" s="4"/>
      <c r="P735" s="4"/>
      <c r="S735" s="4"/>
      <c r="T735" s="4"/>
      <c r="W735" s="4"/>
    </row>
    <row r="736" spans="1:23" ht="15.75" customHeight="1" x14ac:dyDescent="0.35">
      <c r="A736" s="4"/>
      <c r="B736" s="4"/>
      <c r="F736" s="4"/>
      <c r="O736" s="4"/>
      <c r="P736" s="4"/>
      <c r="S736" s="4"/>
      <c r="T736" s="4"/>
      <c r="W736" s="4"/>
    </row>
    <row r="737" spans="1:23" ht="15.75" customHeight="1" x14ac:dyDescent="0.35">
      <c r="A737" s="4"/>
      <c r="B737" s="4"/>
      <c r="F737" s="4"/>
      <c r="O737" s="4"/>
      <c r="P737" s="4"/>
      <c r="S737" s="4"/>
      <c r="T737" s="4"/>
      <c r="W737" s="4"/>
    </row>
    <row r="738" spans="1:23" ht="15.75" customHeight="1" x14ac:dyDescent="0.35">
      <c r="A738" s="4"/>
      <c r="B738" s="4"/>
      <c r="F738" s="4"/>
      <c r="O738" s="4"/>
      <c r="P738" s="4"/>
      <c r="S738" s="4"/>
      <c r="T738" s="4"/>
      <c r="W738" s="4"/>
    </row>
    <row r="739" spans="1:23" ht="15.75" customHeight="1" x14ac:dyDescent="0.35">
      <c r="A739" s="4"/>
      <c r="B739" s="4"/>
      <c r="F739" s="4"/>
      <c r="O739" s="4"/>
      <c r="P739" s="4"/>
      <c r="S739" s="4"/>
      <c r="T739" s="4"/>
      <c r="W739" s="4"/>
    </row>
    <row r="740" spans="1:23" ht="15.75" customHeight="1" x14ac:dyDescent="0.35">
      <c r="A740" s="4"/>
      <c r="B740" s="4"/>
      <c r="F740" s="4"/>
      <c r="O740" s="4"/>
      <c r="P740" s="4"/>
      <c r="S740" s="4"/>
      <c r="T740" s="4"/>
      <c r="W740" s="4"/>
    </row>
    <row r="741" spans="1:23" ht="15.75" customHeight="1" x14ac:dyDescent="0.35">
      <c r="A741" s="4"/>
      <c r="B741" s="4"/>
      <c r="F741" s="4"/>
      <c r="O741" s="4"/>
      <c r="P741" s="4"/>
      <c r="S741" s="4"/>
      <c r="T741" s="4"/>
      <c r="W741" s="4"/>
    </row>
    <row r="742" spans="1:23" ht="15.75" customHeight="1" x14ac:dyDescent="0.35">
      <c r="A742" s="4"/>
      <c r="B742" s="4"/>
      <c r="F742" s="4"/>
      <c r="O742" s="4"/>
      <c r="P742" s="4"/>
      <c r="S742" s="4"/>
      <c r="T742" s="4"/>
      <c r="W742" s="4"/>
    </row>
    <row r="743" spans="1:23" ht="15.75" customHeight="1" x14ac:dyDescent="0.35">
      <c r="A743" s="4"/>
      <c r="B743" s="4"/>
      <c r="F743" s="4"/>
      <c r="O743" s="4"/>
      <c r="P743" s="4"/>
      <c r="S743" s="4"/>
      <c r="T743" s="4"/>
      <c r="W743" s="4"/>
    </row>
    <row r="744" spans="1:23" ht="15.75" customHeight="1" x14ac:dyDescent="0.35">
      <c r="A744" s="4"/>
      <c r="B744" s="4"/>
      <c r="F744" s="4"/>
      <c r="O744" s="4"/>
      <c r="P744" s="4"/>
      <c r="S744" s="4"/>
      <c r="T744" s="4"/>
      <c r="W744" s="4"/>
    </row>
    <row r="745" spans="1:23" ht="15.75" customHeight="1" x14ac:dyDescent="0.35">
      <c r="A745" s="4"/>
      <c r="B745" s="4"/>
      <c r="F745" s="4"/>
      <c r="O745" s="4"/>
      <c r="P745" s="4"/>
      <c r="S745" s="4"/>
      <c r="T745" s="4"/>
      <c r="W745" s="4"/>
    </row>
    <row r="746" spans="1:23" ht="15.75" customHeight="1" x14ac:dyDescent="0.35">
      <c r="A746" s="4"/>
      <c r="B746" s="4"/>
      <c r="F746" s="4"/>
      <c r="O746" s="4"/>
      <c r="P746" s="4"/>
      <c r="S746" s="4"/>
      <c r="T746" s="4"/>
      <c r="W746" s="4"/>
    </row>
    <row r="747" spans="1:23" ht="15.75" customHeight="1" x14ac:dyDescent="0.35">
      <c r="A747" s="4"/>
      <c r="B747" s="4"/>
      <c r="F747" s="4"/>
      <c r="O747" s="4"/>
      <c r="P747" s="4"/>
      <c r="S747" s="4"/>
      <c r="T747" s="4"/>
      <c r="W747" s="4"/>
    </row>
    <row r="748" spans="1:23" ht="15.75" customHeight="1" x14ac:dyDescent="0.35">
      <c r="A748" s="4"/>
      <c r="B748" s="4"/>
      <c r="F748" s="4"/>
      <c r="O748" s="4"/>
      <c r="P748" s="4"/>
      <c r="S748" s="4"/>
      <c r="T748" s="4"/>
      <c r="W748" s="4"/>
    </row>
    <row r="749" spans="1:23" ht="15.75" customHeight="1" x14ac:dyDescent="0.35">
      <c r="A749" s="4"/>
      <c r="B749" s="4"/>
      <c r="F749" s="4"/>
      <c r="O749" s="4"/>
      <c r="P749" s="4"/>
      <c r="S749" s="4"/>
      <c r="T749" s="4"/>
      <c r="W749" s="4"/>
    </row>
    <row r="750" spans="1:23" ht="15.75" customHeight="1" x14ac:dyDescent="0.35">
      <c r="A750" s="4"/>
      <c r="B750" s="4"/>
      <c r="F750" s="4"/>
      <c r="O750" s="4"/>
      <c r="P750" s="4"/>
      <c r="S750" s="4"/>
      <c r="T750" s="4"/>
      <c r="W750" s="4"/>
    </row>
    <row r="751" spans="1:23" ht="15.75" customHeight="1" x14ac:dyDescent="0.35">
      <c r="A751" s="4"/>
      <c r="B751" s="4"/>
      <c r="F751" s="4"/>
      <c r="O751" s="4"/>
      <c r="P751" s="4"/>
      <c r="S751" s="4"/>
      <c r="T751" s="4"/>
      <c r="W751" s="4"/>
    </row>
    <row r="752" spans="1:23" ht="15.75" customHeight="1" x14ac:dyDescent="0.35">
      <c r="A752" s="4"/>
      <c r="B752" s="4"/>
      <c r="F752" s="4"/>
      <c r="O752" s="4"/>
      <c r="P752" s="4"/>
      <c r="S752" s="4"/>
      <c r="T752" s="4"/>
      <c r="W752" s="4"/>
    </row>
    <row r="753" spans="1:23" ht="15.75" customHeight="1" x14ac:dyDescent="0.35">
      <c r="A753" s="4"/>
      <c r="B753" s="4"/>
      <c r="F753" s="4"/>
      <c r="O753" s="4"/>
      <c r="P753" s="4"/>
      <c r="S753" s="4"/>
      <c r="T753" s="4"/>
      <c r="W753" s="4"/>
    </row>
    <row r="754" spans="1:23" ht="15.75" customHeight="1" x14ac:dyDescent="0.35">
      <c r="A754" s="4"/>
      <c r="B754" s="4"/>
      <c r="F754" s="4"/>
      <c r="O754" s="4"/>
      <c r="P754" s="4"/>
      <c r="S754" s="4"/>
      <c r="T754" s="4"/>
      <c r="W754" s="4"/>
    </row>
    <row r="755" spans="1:23" ht="15.75" customHeight="1" x14ac:dyDescent="0.35">
      <c r="A755" s="4"/>
      <c r="B755" s="4"/>
      <c r="F755" s="4"/>
      <c r="O755" s="4"/>
      <c r="P755" s="4"/>
      <c r="S755" s="4"/>
      <c r="T755" s="4"/>
      <c r="W755" s="4"/>
    </row>
    <row r="756" spans="1:23" ht="15.75" customHeight="1" x14ac:dyDescent="0.35">
      <c r="A756" s="4"/>
      <c r="B756" s="4"/>
      <c r="F756" s="4"/>
      <c r="O756" s="4"/>
      <c r="P756" s="4"/>
      <c r="S756" s="4"/>
      <c r="T756" s="4"/>
      <c r="W756" s="4"/>
    </row>
    <row r="757" spans="1:23" ht="15.75" customHeight="1" x14ac:dyDescent="0.35">
      <c r="A757" s="4"/>
      <c r="B757" s="4"/>
      <c r="F757" s="4"/>
      <c r="O757" s="4"/>
      <c r="P757" s="4"/>
      <c r="S757" s="4"/>
      <c r="T757" s="4"/>
      <c r="W757" s="4"/>
    </row>
    <row r="758" spans="1:23" ht="15.75" customHeight="1" x14ac:dyDescent="0.35">
      <c r="A758" s="4"/>
      <c r="B758" s="4"/>
      <c r="F758" s="4"/>
      <c r="O758" s="4"/>
      <c r="P758" s="4"/>
      <c r="S758" s="4"/>
      <c r="T758" s="4"/>
      <c r="W758" s="4"/>
    </row>
    <row r="759" spans="1:23" ht="15.75" customHeight="1" x14ac:dyDescent="0.35">
      <c r="A759" s="4"/>
      <c r="B759" s="4"/>
      <c r="F759" s="4"/>
      <c r="O759" s="4"/>
      <c r="P759" s="4"/>
      <c r="S759" s="4"/>
      <c r="T759" s="4"/>
      <c r="W759" s="4"/>
    </row>
    <row r="760" spans="1:23" ht="15.75" customHeight="1" x14ac:dyDescent="0.35">
      <c r="A760" s="4"/>
      <c r="B760" s="4"/>
      <c r="F760" s="4"/>
      <c r="O760" s="4"/>
      <c r="P760" s="4"/>
      <c r="S760" s="4"/>
      <c r="T760" s="4"/>
      <c r="W760" s="4"/>
    </row>
    <row r="761" spans="1:23" ht="15.75" customHeight="1" x14ac:dyDescent="0.35">
      <c r="A761" s="4"/>
      <c r="B761" s="4"/>
      <c r="F761" s="4"/>
      <c r="O761" s="4"/>
      <c r="P761" s="4"/>
      <c r="S761" s="4"/>
      <c r="T761" s="4"/>
      <c r="W761" s="4"/>
    </row>
    <row r="762" spans="1:23" ht="15.75" customHeight="1" x14ac:dyDescent="0.35">
      <c r="A762" s="4"/>
      <c r="B762" s="4"/>
      <c r="F762" s="4"/>
      <c r="O762" s="4"/>
      <c r="P762" s="4"/>
      <c r="S762" s="4"/>
      <c r="T762" s="4"/>
      <c r="W762" s="4"/>
    </row>
    <row r="763" spans="1:23" ht="15.75" customHeight="1" x14ac:dyDescent="0.35">
      <c r="A763" s="4"/>
      <c r="B763" s="4"/>
      <c r="F763" s="4"/>
      <c r="O763" s="4"/>
      <c r="P763" s="4"/>
      <c r="S763" s="4"/>
      <c r="T763" s="4"/>
      <c r="W763" s="4"/>
    </row>
    <row r="764" spans="1:23" ht="15.75" customHeight="1" x14ac:dyDescent="0.35">
      <c r="A764" s="4"/>
      <c r="B764" s="4"/>
      <c r="F764" s="4"/>
      <c r="O764" s="4"/>
      <c r="P764" s="4"/>
      <c r="S764" s="4"/>
      <c r="T764" s="4"/>
      <c r="W764" s="4"/>
    </row>
    <row r="765" spans="1:23" ht="15.75" customHeight="1" x14ac:dyDescent="0.35">
      <c r="A765" s="4"/>
      <c r="B765" s="4"/>
      <c r="F765" s="4"/>
      <c r="O765" s="4"/>
      <c r="P765" s="4"/>
      <c r="S765" s="4"/>
      <c r="T765" s="4"/>
      <c r="W765" s="4"/>
    </row>
    <row r="766" spans="1:23" ht="15.75" customHeight="1" x14ac:dyDescent="0.35">
      <c r="A766" s="4"/>
      <c r="B766" s="4"/>
      <c r="F766" s="4"/>
      <c r="O766" s="4"/>
      <c r="P766" s="4"/>
      <c r="S766" s="4"/>
      <c r="T766" s="4"/>
      <c r="W766" s="4"/>
    </row>
    <row r="767" spans="1:23" ht="15.75" customHeight="1" x14ac:dyDescent="0.35">
      <c r="A767" s="4"/>
      <c r="B767" s="4"/>
      <c r="F767" s="4"/>
      <c r="O767" s="4"/>
      <c r="P767" s="4"/>
      <c r="S767" s="4"/>
      <c r="T767" s="4"/>
      <c r="W767" s="4"/>
    </row>
    <row r="768" spans="1:23" ht="15.75" customHeight="1" x14ac:dyDescent="0.35">
      <c r="A768" s="4"/>
      <c r="B768" s="4"/>
      <c r="F768" s="4"/>
      <c r="O768" s="4"/>
      <c r="P768" s="4"/>
      <c r="S768" s="4"/>
      <c r="T768" s="4"/>
      <c r="W768" s="4"/>
    </row>
    <row r="769" spans="1:23" ht="15.75" customHeight="1" x14ac:dyDescent="0.35">
      <c r="A769" s="4"/>
      <c r="B769" s="4"/>
      <c r="F769" s="4"/>
      <c r="O769" s="4"/>
      <c r="P769" s="4"/>
      <c r="S769" s="4"/>
      <c r="T769" s="4"/>
      <c r="W769" s="4"/>
    </row>
    <row r="770" spans="1:23" ht="15.75" customHeight="1" x14ac:dyDescent="0.35">
      <c r="A770" s="4"/>
      <c r="B770" s="4"/>
      <c r="F770" s="4"/>
      <c r="O770" s="4"/>
      <c r="P770" s="4"/>
      <c r="S770" s="4"/>
      <c r="T770" s="4"/>
      <c r="W770" s="4"/>
    </row>
    <row r="771" spans="1:23" ht="15.75" customHeight="1" x14ac:dyDescent="0.35">
      <c r="A771" s="4"/>
      <c r="B771" s="4"/>
      <c r="F771" s="4"/>
      <c r="O771" s="4"/>
      <c r="P771" s="4"/>
      <c r="S771" s="4"/>
      <c r="T771" s="4"/>
      <c r="W771" s="4"/>
    </row>
    <row r="772" spans="1:23" ht="15.75" customHeight="1" x14ac:dyDescent="0.35">
      <c r="A772" s="4"/>
      <c r="B772" s="4"/>
      <c r="F772" s="4"/>
      <c r="O772" s="4"/>
      <c r="P772" s="4"/>
      <c r="S772" s="4"/>
      <c r="T772" s="4"/>
      <c r="W772" s="4"/>
    </row>
    <row r="773" spans="1:23" ht="15.75" customHeight="1" x14ac:dyDescent="0.35">
      <c r="A773" s="4"/>
      <c r="B773" s="4"/>
      <c r="F773" s="4"/>
      <c r="O773" s="4"/>
      <c r="P773" s="4"/>
      <c r="S773" s="4"/>
      <c r="T773" s="4"/>
      <c r="W773" s="4"/>
    </row>
    <row r="774" spans="1:23" ht="15.75" customHeight="1" x14ac:dyDescent="0.35">
      <c r="A774" s="4"/>
      <c r="B774" s="4"/>
      <c r="F774" s="4"/>
      <c r="O774" s="4"/>
      <c r="P774" s="4"/>
      <c r="S774" s="4"/>
      <c r="T774" s="4"/>
      <c r="W774" s="4"/>
    </row>
    <row r="775" spans="1:23" ht="15.75" customHeight="1" x14ac:dyDescent="0.35">
      <c r="A775" s="4"/>
      <c r="B775" s="4"/>
      <c r="F775" s="4"/>
      <c r="O775" s="4"/>
      <c r="P775" s="4"/>
      <c r="S775" s="4"/>
      <c r="T775" s="4"/>
      <c r="W775" s="4"/>
    </row>
    <row r="776" spans="1:23" ht="15.75" customHeight="1" x14ac:dyDescent="0.35">
      <c r="A776" s="4"/>
      <c r="B776" s="4"/>
      <c r="F776" s="4"/>
      <c r="O776" s="4"/>
      <c r="P776" s="4"/>
      <c r="S776" s="4"/>
      <c r="T776" s="4"/>
      <c r="W776" s="4"/>
    </row>
    <row r="777" spans="1:23" ht="15.75" customHeight="1" x14ac:dyDescent="0.35">
      <c r="A777" s="4"/>
      <c r="B777" s="4"/>
      <c r="F777" s="4"/>
      <c r="O777" s="4"/>
      <c r="P777" s="4"/>
      <c r="S777" s="4"/>
      <c r="T777" s="4"/>
      <c r="W777" s="4"/>
    </row>
    <row r="778" spans="1:23" ht="15.75" customHeight="1" x14ac:dyDescent="0.35">
      <c r="A778" s="4"/>
      <c r="B778" s="4"/>
      <c r="F778" s="4"/>
      <c r="O778" s="4"/>
      <c r="P778" s="4"/>
      <c r="S778" s="4"/>
      <c r="T778" s="4"/>
      <c r="W778" s="4"/>
    </row>
    <row r="779" spans="1:23" ht="15.75" customHeight="1" x14ac:dyDescent="0.35">
      <c r="A779" s="4"/>
      <c r="B779" s="4"/>
      <c r="F779" s="4"/>
      <c r="O779" s="4"/>
      <c r="P779" s="4"/>
      <c r="S779" s="4"/>
      <c r="T779" s="4"/>
      <c r="W779" s="4"/>
    </row>
    <row r="780" spans="1:23" ht="15.75" customHeight="1" x14ac:dyDescent="0.35">
      <c r="A780" s="4"/>
      <c r="B780" s="4"/>
      <c r="F780" s="4"/>
      <c r="O780" s="4"/>
      <c r="P780" s="4"/>
      <c r="S780" s="4"/>
      <c r="T780" s="4"/>
      <c r="W780" s="4"/>
    </row>
    <row r="781" spans="1:23" ht="15.75" customHeight="1" x14ac:dyDescent="0.35">
      <c r="A781" s="4"/>
      <c r="B781" s="4"/>
      <c r="F781" s="4"/>
      <c r="O781" s="4"/>
      <c r="P781" s="4"/>
      <c r="S781" s="4"/>
      <c r="T781" s="4"/>
      <c r="W781" s="4"/>
    </row>
    <row r="782" spans="1:23" ht="15.75" customHeight="1" x14ac:dyDescent="0.35">
      <c r="A782" s="4"/>
      <c r="B782" s="4"/>
      <c r="F782" s="4"/>
      <c r="O782" s="4"/>
      <c r="P782" s="4"/>
      <c r="S782" s="4"/>
      <c r="T782" s="4"/>
      <c r="W782" s="4"/>
    </row>
    <row r="783" spans="1:23" ht="15.75" customHeight="1" x14ac:dyDescent="0.35">
      <c r="A783" s="4"/>
      <c r="B783" s="4"/>
      <c r="F783" s="4"/>
      <c r="O783" s="4"/>
      <c r="P783" s="4"/>
      <c r="S783" s="4"/>
      <c r="T783" s="4"/>
      <c r="W783" s="4"/>
    </row>
    <row r="784" spans="1:23" ht="15.75" customHeight="1" x14ac:dyDescent="0.35">
      <c r="A784" s="4"/>
      <c r="B784" s="4"/>
      <c r="F784" s="4"/>
      <c r="O784" s="4"/>
      <c r="P784" s="4"/>
      <c r="S784" s="4"/>
      <c r="T784" s="4"/>
      <c r="W784" s="4"/>
    </row>
    <row r="785" spans="1:23" ht="15.75" customHeight="1" x14ac:dyDescent="0.35">
      <c r="A785" s="4"/>
      <c r="B785" s="4"/>
      <c r="F785" s="4"/>
      <c r="O785" s="4"/>
      <c r="P785" s="4"/>
      <c r="S785" s="4"/>
      <c r="T785" s="4"/>
      <c r="W785" s="4"/>
    </row>
    <row r="786" spans="1:23" ht="15.75" customHeight="1" x14ac:dyDescent="0.35">
      <c r="A786" s="4"/>
      <c r="B786" s="4"/>
      <c r="F786" s="4"/>
      <c r="O786" s="4"/>
      <c r="P786" s="4"/>
      <c r="S786" s="4"/>
      <c r="T786" s="4"/>
      <c r="W786" s="4"/>
    </row>
    <row r="787" spans="1:23" ht="15.75" customHeight="1" x14ac:dyDescent="0.35">
      <c r="A787" s="4"/>
      <c r="B787" s="4"/>
      <c r="F787" s="4"/>
      <c r="O787" s="4"/>
      <c r="P787" s="4"/>
      <c r="S787" s="4"/>
      <c r="T787" s="4"/>
      <c r="W787" s="4"/>
    </row>
    <row r="788" spans="1:23" ht="15.75" customHeight="1" x14ac:dyDescent="0.35">
      <c r="A788" s="4"/>
      <c r="B788" s="4"/>
      <c r="F788" s="4"/>
      <c r="O788" s="4"/>
      <c r="P788" s="4"/>
      <c r="S788" s="4"/>
      <c r="T788" s="4"/>
      <c r="W788" s="4"/>
    </row>
    <row r="789" spans="1:23" ht="15.75" customHeight="1" x14ac:dyDescent="0.35">
      <c r="A789" s="4"/>
      <c r="B789" s="4"/>
      <c r="F789" s="4"/>
      <c r="O789" s="4"/>
      <c r="P789" s="4"/>
      <c r="S789" s="4"/>
      <c r="T789" s="4"/>
      <c r="W789" s="4"/>
    </row>
    <row r="790" spans="1:23" ht="15.75" customHeight="1" x14ac:dyDescent="0.35">
      <c r="A790" s="4"/>
      <c r="B790" s="4"/>
      <c r="F790" s="4"/>
      <c r="O790" s="4"/>
      <c r="P790" s="4"/>
      <c r="S790" s="4"/>
      <c r="T790" s="4"/>
      <c r="W790" s="4"/>
    </row>
    <row r="791" spans="1:23" ht="15.75" customHeight="1" x14ac:dyDescent="0.35">
      <c r="A791" s="4"/>
      <c r="B791" s="4"/>
      <c r="F791" s="4"/>
      <c r="O791" s="4"/>
      <c r="P791" s="4"/>
      <c r="S791" s="4"/>
      <c r="T791" s="4"/>
      <c r="W791" s="4"/>
    </row>
    <row r="792" spans="1:23" ht="15.75" customHeight="1" x14ac:dyDescent="0.35">
      <c r="A792" s="4"/>
      <c r="B792" s="4"/>
      <c r="F792" s="4"/>
      <c r="O792" s="4"/>
      <c r="P792" s="4"/>
      <c r="S792" s="4"/>
      <c r="T792" s="4"/>
      <c r="W792" s="4"/>
    </row>
    <row r="793" spans="1:23" ht="15.75" customHeight="1" x14ac:dyDescent="0.35">
      <c r="A793" s="4"/>
      <c r="B793" s="4"/>
      <c r="F793" s="4"/>
      <c r="O793" s="4"/>
      <c r="P793" s="4"/>
      <c r="S793" s="4"/>
      <c r="T793" s="4"/>
      <c r="W793" s="4"/>
    </row>
    <row r="794" spans="1:23" ht="15.75" customHeight="1" x14ac:dyDescent="0.35">
      <c r="A794" s="4"/>
      <c r="B794" s="4"/>
      <c r="F794" s="4"/>
      <c r="O794" s="4"/>
      <c r="P794" s="4"/>
      <c r="S794" s="4"/>
      <c r="T794" s="4"/>
      <c r="W794" s="4"/>
    </row>
    <row r="795" spans="1:23" ht="15.75" customHeight="1" x14ac:dyDescent="0.35">
      <c r="A795" s="4"/>
      <c r="B795" s="4"/>
      <c r="F795" s="4"/>
      <c r="O795" s="4"/>
      <c r="P795" s="4"/>
      <c r="S795" s="4"/>
      <c r="T795" s="4"/>
      <c r="W795" s="4"/>
    </row>
    <row r="796" spans="1:23" ht="15.75" customHeight="1" x14ac:dyDescent="0.35">
      <c r="A796" s="4"/>
      <c r="B796" s="4"/>
      <c r="F796" s="4"/>
      <c r="O796" s="4"/>
      <c r="P796" s="4"/>
      <c r="S796" s="4"/>
      <c r="T796" s="4"/>
      <c r="W796" s="4"/>
    </row>
    <row r="797" spans="1:23" ht="15.75" customHeight="1" x14ac:dyDescent="0.35">
      <c r="A797" s="4"/>
      <c r="B797" s="4"/>
      <c r="F797" s="4"/>
      <c r="O797" s="4"/>
      <c r="P797" s="4"/>
      <c r="S797" s="4"/>
      <c r="T797" s="4"/>
      <c r="W797" s="4"/>
    </row>
    <row r="798" spans="1:23" ht="15.75" customHeight="1" x14ac:dyDescent="0.35">
      <c r="A798" s="4"/>
      <c r="B798" s="4"/>
      <c r="F798" s="4"/>
      <c r="O798" s="4"/>
      <c r="P798" s="4"/>
      <c r="S798" s="4"/>
      <c r="T798" s="4"/>
      <c r="W798" s="4"/>
    </row>
    <row r="799" spans="1:23" ht="15.75" customHeight="1" x14ac:dyDescent="0.35">
      <c r="A799" s="4"/>
      <c r="B799" s="4"/>
      <c r="F799" s="4"/>
      <c r="O799" s="4"/>
      <c r="P799" s="4"/>
      <c r="S799" s="4"/>
      <c r="T799" s="4"/>
      <c r="W799" s="4"/>
    </row>
    <row r="800" spans="1:23" ht="15.75" customHeight="1" x14ac:dyDescent="0.35">
      <c r="A800" s="4"/>
      <c r="B800" s="4"/>
      <c r="F800" s="4"/>
      <c r="O800" s="4"/>
      <c r="P800" s="4"/>
      <c r="S800" s="4"/>
      <c r="T800" s="4"/>
      <c r="W800" s="4"/>
    </row>
    <row r="801" spans="1:23" ht="15.75" customHeight="1" x14ac:dyDescent="0.35">
      <c r="A801" s="4"/>
      <c r="B801" s="4"/>
      <c r="F801" s="4"/>
      <c r="O801" s="4"/>
      <c r="P801" s="4"/>
      <c r="S801" s="4"/>
      <c r="T801" s="4"/>
      <c r="W801" s="4"/>
    </row>
    <row r="802" spans="1:23" ht="15.75" customHeight="1" x14ac:dyDescent="0.35">
      <c r="A802" s="4"/>
      <c r="B802" s="4"/>
      <c r="F802" s="4"/>
      <c r="O802" s="4"/>
      <c r="P802" s="4"/>
      <c r="S802" s="4"/>
      <c r="T802" s="4"/>
      <c r="W802" s="4"/>
    </row>
    <row r="803" spans="1:23" ht="15.75" customHeight="1" x14ac:dyDescent="0.35">
      <c r="A803" s="4"/>
      <c r="B803" s="4"/>
      <c r="F803" s="4"/>
      <c r="O803" s="4"/>
      <c r="P803" s="4"/>
      <c r="S803" s="4"/>
      <c r="T803" s="4"/>
      <c r="W803" s="4"/>
    </row>
    <row r="804" spans="1:23" ht="15.75" customHeight="1" x14ac:dyDescent="0.35">
      <c r="A804" s="4"/>
      <c r="B804" s="4"/>
      <c r="F804" s="4"/>
      <c r="O804" s="4"/>
      <c r="P804" s="4"/>
      <c r="S804" s="4"/>
      <c r="T804" s="4"/>
      <c r="W804" s="4"/>
    </row>
    <row r="805" spans="1:23" ht="15.75" customHeight="1" x14ac:dyDescent="0.35">
      <c r="A805" s="4"/>
      <c r="B805" s="4"/>
      <c r="F805" s="4"/>
      <c r="O805" s="4"/>
      <c r="P805" s="4"/>
      <c r="S805" s="4"/>
      <c r="T805" s="4"/>
      <c r="W805" s="4"/>
    </row>
    <row r="806" spans="1:23" ht="15.75" customHeight="1" x14ac:dyDescent="0.35">
      <c r="A806" s="4"/>
      <c r="B806" s="4"/>
      <c r="F806" s="4"/>
      <c r="O806" s="4"/>
      <c r="P806" s="4"/>
      <c r="S806" s="4"/>
      <c r="T806" s="4"/>
      <c r="W806" s="4"/>
    </row>
    <row r="807" spans="1:23" ht="15.75" customHeight="1" x14ac:dyDescent="0.35">
      <c r="A807" s="4"/>
      <c r="B807" s="4"/>
      <c r="F807" s="4"/>
      <c r="O807" s="4"/>
      <c r="P807" s="4"/>
      <c r="S807" s="4"/>
      <c r="T807" s="4"/>
      <c r="W807" s="4"/>
    </row>
    <row r="808" spans="1:23" ht="15.75" customHeight="1" x14ac:dyDescent="0.35">
      <c r="A808" s="4"/>
      <c r="B808" s="4"/>
      <c r="F808" s="4"/>
      <c r="O808" s="4"/>
      <c r="P808" s="4"/>
      <c r="S808" s="4"/>
      <c r="T808" s="4"/>
      <c r="W808" s="4"/>
    </row>
    <row r="809" spans="1:23" ht="15.75" customHeight="1" x14ac:dyDescent="0.35">
      <c r="A809" s="4"/>
      <c r="B809" s="4"/>
      <c r="F809" s="4"/>
      <c r="O809" s="4"/>
      <c r="P809" s="4"/>
      <c r="S809" s="4"/>
      <c r="T809" s="4"/>
      <c r="W809" s="4"/>
    </row>
    <row r="810" spans="1:23" ht="15.75" customHeight="1" x14ac:dyDescent="0.35">
      <c r="A810" s="4"/>
      <c r="B810" s="4"/>
      <c r="F810" s="4"/>
      <c r="O810" s="4"/>
      <c r="P810" s="4"/>
      <c r="S810" s="4"/>
      <c r="T810" s="4"/>
      <c r="W810" s="4"/>
    </row>
    <row r="811" spans="1:23" ht="15.75" customHeight="1" x14ac:dyDescent="0.35">
      <c r="A811" s="4"/>
      <c r="B811" s="4"/>
      <c r="F811" s="4"/>
      <c r="O811" s="4"/>
      <c r="P811" s="4"/>
      <c r="S811" s="4"/>
      <c r="T811" s="4"/>
      <c r="W811" s="4"/>
    </row>
    <row r="812" spans="1:23" ht="15.75" customHeight="1" x14ac:dyDescent="0.35">
      <c r="A812" s="4"/>
      <c r="B812" s="4"/>
      <c r="F812" s="4"/>
      <c r="O812" s="4"/>
      <c r="P812" s="4"/>
      <c r="S812" s="4"/>
      <c r="T812" s="4"/>
      <c r="W812" s="4"/>
    </row>
    <row r="813" spans="1:23" ht="15.75" customHeight="1" x14ac:dyDescent="0.35">
      <c r="A813" s="4"/>
      <c r="B813" s="4"/>
      <c r="F813" s="4"/>
      <c r="O813" s="4"/>
      <c r="P813" s="4"/>
      <c r="S813" s="4"/>
      <c r="T813" s="4"/>
      <c r="W813" s="4"/>
    </row>
    <row r="814" spans="1:23" ht="15.75" customHeight="1" x14ac:dyDescent="0.35">
      <c r="A814" s="4"/>
      <c r="B814" s="4"/>
      <c r="F814" s="4"/>
      <c r="O814" s="4"/>
      <c r="P814" s="4"/>
      <c r="S814" s="4"/>
      <c r="T814" s="4"/>
      <c r="W814" s="4"/>
    </row>
    <row r="815" spans="1:23" ht="15.75" customHeight="1" x14ac:dyDescent="0.35">
      <c r="A815" s="4"/>
      <c r="B815" s="4"/>
      <c r="F815" s="4"/>
      <c r="O815" s="4"/>
      <c r="P815" s="4"/>
      <c r="S815" s="4"/>
      <c r="T815" s="4"/>
      <c r="W815" s="4"/>
    </row>
    <row r="816" spans="1:23" ht="15.75" customHeight="1" x14ac:dyDescent="0.35">
      <c r="A816" s="4"/>
      <c r="B816" s="4"/>
      <c r="F816" s="4"/>
      <c r="O816" s="4"/>
      <c r="P816" s="4"/>
      <c r="S816" s="4"/>
      <c r="T816" s="4"/>
      <c r="W816" s="4"/>
    </row>
    <row r="817" spans="1:23" ht="15.75" customHeight="1" x14ac:dyDescent="0.35">
      <c r="A817" s="4"/>
      <c r="B817" s="4"/>
      <c r="F817" s="4"/>
      <c r="O817" s="4"/>
      <c r="P817" s="4"/>
      <c r="S817" s="4"/>
      <c r="T817" s="4"/>
      <c r="W817" s="4"/>
    </row>
    <row r="818" spans="1:23" ht="15.75" customHeight="1" x14ac:dyDescent="0.35">
      <c r="A818" s="4"/>
      <c r="B818" s="4"/>
      <c r="F818" s="4"/>
      <c r="O818" s="4"/>
      <c r="P818" s="4"/>
      <c r="S818" s="4"/>
      <c r="T818" s="4"/>
      <c r="W818" s="4"/>
    </row>
    <row r="819" spans="1:23" ht="15.75" customHeight="1" x14ac:dyDescent="0.35">
      <c r="A819" s="4"/>
      <c r="B819" s="4"/>
      <c r="F819" s="4"/>
      <c r="O819" s="4"/>
      <c r="P819" s="4"/>
      <c r="S819" s="4"/>
      <c r="T819" s="4"/>
      <c r="W819" s="4"/>
    </row>
    <row r="820" spans="1:23" ht="15.75" customHeight="1" x14ac:dyDescent="0.35">
      <c r="A820" s="4"/>
      <c r="B820" s="4"/>
      <c r="F820" s="4"/>
      <c r="O820" s="4"/>
      <c r="P820" s="4"/>
      <c r="S820" s="4"/>
      <c r="T820" s="4"/>
      <c r="W820" s="4"/>
    </row>
    <row r="821" spans="1:23" ht="15.75" customHeight="1" x14ac:dyDescent="0.35">
      <c r="A821" s="4"/>
      <c r="B821" s="4"/>
      <c r="F821" s="4"/>
      <c r="O821" s="4"/>
      <c r="P821" s="4"/>
      <c r="S821" s="4"/>
      <c r="T821" s="4"/>
      <c r="W821" s="4"/>
    </row>
    <row r="822" spans="1:23" ht="15.75" customHeight="1" x14ac:dyDescent="0.35">
      <c r="A822" s="4"/>
      <c r="B822" s="4"/>
      <c r="F822" s="4"/>
      <c r="O822" s="4"/>
      <c r="P822" s="4"/>
      <c r="S822" s="4"/>
      <c r="T822" s="4"/>
      <c r="W822" s="4"/>
    </row>
    <row r="823" spans="1:23" ht="15.75" customHeight="1" x14ac:dyDescent="0.35">
      <c r="A823" s="4"/>
      <c r="B823" s="4"/>
      <c r="F823" s="4"/>
      <c r="O823" s="4"/>
      <c r="P823" s="4"/>
      <c r="S823" s="4"/>
      <c r="T823" s="4"/>
      <c r="W823" s="4"/>
    </row>
    <row r="824" spans="1:23" ht="15.75" customHeight="1" x14ac:dyDescent="0.35">
      <c r="A824" s="4"/>
      <c r="B824" s="4"/>
      <c r="F824" s="4"/>
      <c r="O824" s="4"/>
      <c r="P824" s="4"/>
      <c r="S824" s="4"/>
      <c r="T824" s="4"/>
      <c r="W824" s="4"/>
    </row>
    <row r="825" spans="1:23" ht="15.75" customHeight="1" x14ac:dyDescent="0.35">
      <c r="A825" s="4"/>
      <c r="B825" s="4"/>
      <c r="F825" s="4"/>
      <c r="O825" s="4"/>
      <c r="P825" s="4"/>
      <c r="S825" s="4"/>
      <c r="T825" s="4"/>
      <c r="W825" s="4"/>
    </row>
    <row r="826" spans="1:23" ht="15.75" customHeight="1" x14ac:dyDescent="0.35">
      <c r="A826" s="4"/>
      <c r="B826" s="4"/>
      <c r="F826" s="4"/>
      <c r="O826" s="4"/>
      <c r="P826" s="4"/>
      <c r="S826" s="4"/>
      <c r="T826" s="4"/>
      <c r="W826" s="4"/>
    </row>
    <row r="827" spans="1:23" ht="15.75" customHeight="1" x14ac:dyDescent="0.35">
      <c r="A827" s="4"/>
      <c r="B827" s="4"/>
      <c r="F827" s="4"/>
      <c r="O827" s="4"/>
      <c r="P827" s="4"/>
      <c r="S827" s="4"/>
      <c r="T827" s="4"/>
      <c r="W827" s="4"/>
    </row>
    <row r="828" spans="1:23" ht="15.75" customHeight="1" x14ac:dyDescent="0.35">
      <c r="A828" s="4"/>
      <c r="B828" s="4"/>
      <c r="F828" s="4"/>
      <c r="O828" s="4"/>
      <c r="P828" s="4"/>
      <c r="S828" s="4"/>
      <c r="T828" s="4"/>
      <c r="W828" s="4"/>
    </row>
    <row r="829" spans="1:23" ht="15.75" customHeight="1" x14ac:dyDescent="0.35">
      <c r="A829" s="4"/>
      <c r="B829" s="4"/>
      <c r="F829" s="4"/>
      <c r="O829" s="4"/>
      <c r="P829" s="4"/>
      <c r="S829" s="4"/>
      <c r="T829" s="4"/>
      <c r="W829" s="4"/>
    </row>
    <row r="830" spans="1:23" ht="15.75" customHeight="1" x14ac:dyDescent="0.35">
      <c r="A830" s="4"/>
      <c r="B830" s="4"/>
      <c r="F830" s="4"/>
      <c r="O830" s="4"/>
      <c r="P830" s="4"/>
      <c r="S830" s="4"/>
      <c r="T830" s="4"/>
      <c r="W830" s="4"/>
    </row>
    <row r="831" spans="1:23" ht="15.75" customHeight="1" x14ac:dyDescent="0.35">
      <c r="A831" s="4"/>
      <c r="B831" s="4"/>
      <c r="F831" s="4"/>
      <c r="O831" s="4"/>
      <c r="P831" s="4"/>
      <c r="S831" s="4"/>
      <c r="T831" s="4"/>
      <c r="W831" s="4"/>
    </row>
    <row r="832" spans="1:23" ht="15.75" customHeight="1" x14ac:dyDescent="0.35">
      <c r="A832" s="4"/>
      <c r="B832" s="4"/>
      <c r="F832" s="4"/>
      <c r="O832" s="4"/>
      <c r="P832" s="4"/>
      <c r="S832" s="4"/>
      <c r="T832" s="4"/>
      <c r="W832" s="4"/>
    </row>
    <row r="833" spans="1:23" ht="15.75" customHeight="1" x14ac:dyDescent="0.35">
      <c r="A833" s="4"/>
      <c r="B833" s="4"/>
      <c r="F833" s="4"/>
      <c r="O833" s="4"/>
      <c r="P833" s="4"/>
      <c r="S833" s="4"/>
      <c r="T833" s="4"/>
      <c r="W833" s="4"/>
    </row>
    <row r="834" spans="1:23" ht="15.75" customHeight="1" x14ac:dyDescent="0.35">
      <c r="A834" s="4"/>
      <c r="B834" s="4"/>
      <c r="F834" s="4"/>
      <c r="O834" s="4"/>
      <c r="P834" s="4"/>
      <c r="S834" s="4"/>
      <c r="T834" s="4"/>
      <c r="W834" s="4"/>
    </row>
    <row r="835" spans="1:23" ht="15.75" customHeight="1" x14ac:dyDescent="0.35">
      <c r="A835" s="4"/>
      <c r="B835" s="4"/>
      <c r="F835" s="4"/>
      <c r="O835" s="4"/>
      <c r="P835" s="4"/>
      <c r="S835" s="4"/>
      <c r="T835" s="4"/>
      <c r="W835" s="4"/>
    </row>
    <row r="836" spans="1:23" ht="15.75" customHeight="1" x14ac:dyDescent="0.35">
      <c r="A836" s="4"/>
      <c r="B836" s="4"/>
      <c r="F836" s="4"/>
      <c r="O836" s="4"/>
      <c r="P836" s="4"/>
      <c r="S836" s="4"/>
      <c r="T836" s="4"/>
      <c r="W836" s="4"/>
    </row>
    <row r="837" spans="1:23" ht="15.75" customHeight="1" x14ac:dyDescent="0.35">
      <c r="A837" s="4"/>
      <c r="B837" s="4"/>
      <c r="F837" s="4"/>
      <c r="O837" s="4"/>
      <c r="P837" s="4"/>
      <c r="S837" s="4"/>
      <c r="T837" s="4"/>
      <c r="W837" s="4"/>
    </row>
    <row r="838" spans="1:23" ht="15.75" customHeight="1" x14ac:dyDescent="0.35">
      <c r="A838" s="4"/>
      <c r="B838" s="4"/>
      <c r="F838" s="4"/>
      <c r="O838" s="4"/>
      <c r="P838" s="4"/>
      <c r="S838" s="4"/>
      <c r="T838" s="4"/>
      <c r="W838" s="4"/>
    </row>
    <row r="839" spans="1:23" ht="15.75" customHeight="1" x14ac:dyDescent="0.35">
      <c r="A839" s="4"/>
      <c r="B839" s="4"/>
      <c r="F839" s="4"/>
      <c r="O839" s="4"/>
      <c r="P839" s="4"/>
      <c r="S839" s="4"/>
      <c r="T839" s="4"/>
      <c r="W839" s="4"/>
    </row>
    <row r="840" spans="1:23" ht="15.75" customHeight="1" x14ac:dyDescent="0.35">
      <c r="A840" s="4"/>
      <c r="B840" s="4"/>
      <c r="F840" s="4"/>
      <c r="O840" s="4"/>
      <c r="P840" s="4"/>
      <c r="S840" s="4"/>
      <c r="T840" s="4"/>
      <c r="W840" s="4"/>
    </row>
    <row r="841" spans="1:23" ht="15.75" customHeight="1" x14ac:dyDescent="0.35">
      <c r="A841" s="4"/>
      <c r="B841" s="4"/>
      <c r="F841" s="4"/>
      <c r="O841" s="4"/>
      <c r="P841" s="4"/>
      <c r="S841" s="4"/>
      <c r="T841" s="4"/>
      <c r="W841" s="4"/>
    </row>
    <row r="842" spans="1:23" ht="15.75" customHeight="1" x14ac:dyDescent="0.35">
      <c r="A842" s="4"/>
      <c r="B842" s="4"/>
      <c r="F842" s="4"/>
      <c r="O842" s="4"/>
      <c r="P842" s="4"/>
      <c r="S842" s="4"/>
      <c r="T842" s="4"/>
      <c r="W842" s="4"/>
    </row>
    <row r="843" spans="1:23" ht="15.75" customHeight="1" x14ac:dyDescent="0.35">
      <c r="A843" s="4"/>
      <c r="B843" s="4"/>
      <c r="F843" s="4"/>
      <c r="O843" s="4"/>
      <c r="P843" s="4"/>
      <c r="S843" s="4"/>
      <c r="T843" s="4"/>
      <c r="W843" s="4"/>
    </row>
    <row r="844" spans="1:23" ht="15.75" customHeight="1" x14ac:dyDescent="0.35">
      <c r="A844" s="4"/>
      <c r="B844" s="4"/>
      <c r="F844" s="4"/>
      <c r="O844" s="4"/>
      <c r="P844" s="4"/>
      <c r="S844" s="4"/>
      <c r="T844" s="4"/>
      <c r="W844" s="4"/>
    </row>
    <row r="845" spans="1:23" ht="15.75" customHeight="1" x14ac:dyDescent="0.35">
      <c r="A845" s="4"/>
      <c r="B845" s="4"/>
      <c r="F845" s="4"/>
      <c r="O845" s="4"/>
      <c r="P845" s="4"/>
      <c r="S845" s="4"/>
      <c r="T845" s="4"/>
      <c r="W845" s="4"/>
    </row>
    <row r="846" spans="1:23" ht="15.75" customHeight="1" x14ac:dyDescent="0.35">
      <c r="A846" s="4"/>
      <c r="B846" s="4"/>
      <c r="F846" s="4"/>
      <c r="O846" s="4"/>
      <c r="P846" s="4"/>
      <c r="S846" s="4"/>
      <c r="T846" s="4"/>
      <c r="W846" s="4"/>
    </row>
    <row r="847" spans="1:23" ht="15.75" customHeight="1" x14ac:dyDescent="0.35">
      <c r="A847" s="4"/>
      <c r="B847" s="4"/>
      <c r="F847" s="4"/>
      <c r="O847" s="4"/>
      <c r="P847" s="4"/>
      <c r="S847" s="4"/>
      <c r="T847" s="4"/>
      <c r="W847" s="4"/>
    </row>
    <row r="848" spans="1:23" ht="15.75" customHeight="1" x14ac:dyDescent="0.35">
      <c r="A848" s="4"/>
      <c r="B848" s="4"/>
      <c r="F848" s="4"/>
      <c r="O848" s="4"/>
      <c r="P848" s="4"/>
      <c r="S848" s="4"/>
      <c r="T848" s="4"/>
      <c r="W848" s="4"/>
    </row>
    <row r="849" spans="1:23" ht="15.75" customHeight="1" x14ac:dyDescent="0.35">
      <c r="A849" s="4"/>
      <c r="B849" s="4"/>
      <c r="F849" s="4"/>
      <c r="O849" s="4"/>
      <c r="P849" s="4"/>
      <c r="S849" s="4"/>
      <c r="T849" s="4"/>
      <c r="W849" s="4"/>
    </row>
    <row r="850" spans="1:23" ht="15.75" customHeight="1" x14ac:dyDescent="0.35">
      <c r="A850" s="4"/>
      <c r="B850" s="4"/>
      <c r="F850" s="4"/>
      <c r="O850" s="4"/>
      <c r="P850" s="4"/>
      <c r="S850" s="4"/>
      <c r="T850" s="4"/>
      <c r="W850" s="4"/>
    </row>
    <row r="851" spans="1:23" ht="15.75" customHeight="1" x14ac:dyDescent="0.35">
      <c r="A851" s="4"/>
      <c r="B851" s="4"/>
      <c r="F851" s="4"/>
      <c r="O851" s="4"/>
      <c r="P851" s="4"/>
      <c r="S851" s="4"/>
      <c r="T851" s="4"/>
      <c r="W851" s="4"/>
    </row>
    <row r="852" spans="1:23" ht="15.75" customHeight="1" x14ac:dyDescent="0.35">
      <c r="A852" s="4"/>
      <c r="B852" s="4"/>
      <c r="F852" s="4"/>
      <c r="O852" s="4"/>
      <c r="P852" s="4"/>
      <c r="S852" s="4"/>
      <c r="T852" s="4"/>
      <c r="W852" s="4"/>
    </row>
    <row r="853" spans="1:23" ht="15.75" customHeight="1" x14ac:dyDescent="0.35">
      <c r="A853" s="4"/>
      <c r="B853" s="4"/>
      <c r="F853" s="4"/>
      <c r="O853" s="4"/>
      <c r="P853" s="4"/>
      <c r="S853" s="4"/>
      <c r="T853" s="4"/>
      <c r="W853" s="4"/>
    </row>
    <row r="854" spans="1:23" ht="15.75" customHeight="1" x14ac:dyDescent="0.35">
      <c r="A854" s="4"/>
      <c r="B854" s="4"/>
      <c r="F854" s="4"/>
      <c r="O854" s="4"/>
      <c r="P854" s="4"/>
      <c r="S854" s="4"/>
      <c r="T854" s="4"/>
      <c r="W854" s="4"/>
    </row>
    <row r="855" spans="1:23" ht="15.75" customHeight="1" x14ac:dyDescent="0.35">
      <c r="A855" s="4"/>
      <c r="B855" s="4"/>
      <c r="F855" s="4"/>
      <c r="O855" s="4"/>
      <c r="P855" s="4"/>
      <c r="S855" s="4"/>
      <c r="T855" s="4"/>
      <c r="W855" s="4"/>
    </row>
    <row r="856" spans="1:23" ht="15.75" customHeight="1" x14ac:dyDescent="0.35">
      <c r="A856" s="4"/>
      <c r="B856" s="4"/>
      <c r="F856" s="4"/>
      <c r="O856" s="4"/>
      <c r="P856" s="4"/>
      <c r="S856" s="4"/>
      <c r="T856" s="4"/>
      <c r="W856" s="4"/>
    </row>
    <row r="857" spans="1:23" ht="15.75" customHeight="1" x14ac:dyDescent="0.35">
      <c r="A857" s="4"/>
      <c r="B857" s="4"/>
      <c r="F857" s="4"/>
      <c r="O857" s="4"/>
      <c r="P857" s="4"/>
      <c r="S857" s="4"/>
      <c r="T857" s="4"/>
      <c r="W857" s="4"/>
    </row>
    <row r="858" spans="1:23" ht="15.75" customHeight="1" x14ac:dyDescent="0.35">
      <c r="A858" s="4"/>
      <c r="B858" s="4"/>
      <c r="F858" s="4"/>
      <c r="O858" s="4"/>
      <c r="P858" s="4"/>
      <c r="S858" s="4"/>
      <c r="T858" s="4"/>
      <c r="W858" s="4"/>
    </row>
    <row r="859" spans="1:23" ht="15.75" customHeight="1" x14ac:dyDescent="0.35">
      <c r="A859" s="4"/>
      <c r="B859" s="4"/>
      <c r="F859" s="4"/>
      <c r="O859" s="4"/>
      <c r="P859" s="4"/>
      <c r="S859" s="4"/>
      <c r="T859" s="4"/>
      <c r="W859" s="4"/>
    </row>
    <row r="860" spans="1:23" ht="15.75" customHeight="1" x14ac:dyDescent="0.35">
      <c r="A860" s="4"/>
      <c r="B860" s="4"/>
      <c r="F860" s="4"/>
      <c r="O860" s="4"/>
      <c r="P860" s="4"/>
      <c r="S860" s="4"/>
      <c r="T860" s="4"/>
      <c r="W860" s="4"/>
    </row>
    <row r="861" spans="1:23" ht="15.75" customHeight="1" x14ac:dyDescent="0.35">
      <c r="A861" s="4"/>
      <c r="B861" s="4"/>
      <c r="F861" s="4"/>
      <c r="O861" s="4"/>
      <c r="P861" s="4"/>
      <c r="S861" s="4"/>
      <c r="T861" s="4"/>
      <c r="W861" s="4"/>
    </row>
    <row r="862" spans="1:23" ht="15.75" customHeight="1" x14ac:dyDescent="0.35">
      <c r="A862" s="4"/>
      <c r="B862" s="4"/>
      <c r="F862" s="4"/>
      <c r="O862" s="4"/>
      <c r="P862" s="4"/>
      <c r="S862" s="4"/>
      <c r="T862" s="4"/>
      <c r="W862" s="4"/>
    </row>
    <row r="863" spans="1:23" ht="15.75" customHeight="1" x14ac:dyDescent="0.35">
      <c r="A863" s="4"/>
      <c r="B863" s="4"/>
      <c r="F863" s="4"/>
      <c r="O863" s="4"/>
      <c r="P863" s="4"/>
      <c r="S863" s="4"/>
      <c r="T863" s="4"/>
      <c r="W863" s="4"/>
    </row>
    <row r="864" spans="1:23" ht="15.75" customHeight="1" x14ac:dyDescent="0.35">
      <c r="A864" s="4"/>
      <c r="B864" s="4"/>
      <c r="F864" s="4"/>
      <c r="O864" s="4"/>
      <c r="P864" s="4"/>
      <c r="S864" s="4"/>
      <c r="T864" s="4"/>
      <c r="W864" s="4"/>
    </row>
    <row r="865" spans="1:23" ht="15.75" customHeight="1" x14ac:dyDescent="0.35">
      <c r="A865" s="4"/>
      <c r="B865" s="4"/>
      <c r="F865" s="4"/>
      <c r="O865" s="4"/>
      <c r="P865" s="4"/>
      <c r="S865" s="4"/>
      <c r="T865" s="4"/>
      <c r="W865" s="4"/>
    </row>
    <row r="866" spans="1:23" ht="15.75" customHeight="1" x14ac:dyDescent="0.35">
      <c r="A866" s="4"/>
      <c r="B866" s="4"/>
      <c r="F866" s="4"/>
      <c r="O866" s="4"/>
      <c r="P866" s="4"/>
      <c r="S866" s="4"/>
      <c r="T866" s="4"/>
      <c r="W866" s="4"/>
    </row>
    <row r="867" spans="1:23" ht="15.75" customHeight="1" x14ac:dyDescent="0.35">
      <c r="A867" s="4"/>
      <c r="B867" s="4"/>
      <c r="F867" s="4"/>
      <c r="O867" s="4"/>
      <c r="P867" s="4"/>
      <c r="S867" s="4"/>
      <c r="T867" s="4"/>
      <c r="W867" s="4"/>
    </row>
    <row r="868" spans="1:23" ht="15.75" customHeight="1" x14ac:dyDescent="0.35">
      <c r="A868" s="4"/>
      <c r="B868" s="4"/>
      <c r="F868" s="4"/>
      <c r="O868" s="4"/>
      <c r="P868" s="4"/>
      <c r="S868" s="4"/>
      <c r="T868" s="4"/>
      <c r="W868" s="4"/>
    </row>
    <row r="869" spans="1:23" ht="15.75" customHeight="1" x14ac:dyDescent="0.35">
      <c r="A869" s="4"/>
      <c r="B869" s="4"/>
      <c r="F869" s="4"/>
      <c r="O869" s="4"/>
      <c r="P869" s="4"/>
      <c r="S869" s="4"/>
      <c r="T869" s="4"/>
      <c r="W869" s="4"/>
    </row>
    <row r="870" spans="1:23" ht="15.75" customHeight="1" x14ac:dyDescent="0.35">
      <c r="A870" s="4"/>
      <c r="B870" s="4"/>
      <c r="F870" s="4"/>
      <c r="O870" s="4"/>
      <c r="P870" s="4"/>
      <c r="S870" s="4"/>
      <c r="T870" s="4"/>
      <c r="W870" s="4"/>
    </row>
    <row r="871" spans="1:23" ht="15.75" customHeight="1" x14ac:dyDescent="0.35">
      <c r="A871" s="4"/>
      <c r="B871" s="4"/>
      <c r="F871" s="4"/>
      <c r="O871" s="4"/>
      <c r="P871" s="4"/>
      <c r="S871" s="4"/>
      <c r="T871" s="4"/>
      <c r="W871" s="4"/>
    </row>
    <row r="872" spans="1:23" ht="15.75" customHeight="1" x14ac:dyDescent="0.35">
      <c r="A872" s="4"/>
      <c r="B872" s="4"/>
      <c r="F872" s="4"/>
      <c r="O872" s="4"/>
      <c r="P872" s="4"/>
      <c r="S872" s="4"/>
      <c r="T872" s="4"/>
      <c r="W872" s="4"/>
    </row>
    <row r="873" spans="1:23" ht="15.75" customHeight="1" x14ac:dyDescent="0.35">
      <c r="A873" s="4"/>
      <c r="B873" s="4"/>
      <c r="F873" s="4"/>
      <c r="O873" s="4"/>
      <c r="P873" s="4"/>
      <c r="S873" s="4"/>
      <c r="T873" s="4"/>
      <c r="W873" s="4"/>
    </row>
    <row r="874" spans="1:23" ht="15.75" customHeight="1" x14ac:dyDescent="0.35">
      <c r="A874" s="4"/>
      <c r="B874" s="4"/>
      <c r="F874" s="4"/>
      <c r="O874" s="4"/>
      <c r="P874" s="4"/>
      <c r="S874" s="4"/>
      <c r="T874" s="4"/>
      <c r="W874" s="4"/>
    </row>
    <row r="875" spans="1:23" ht="15.75" customHeight="1" x14ac:dyDescent="0.35">
      <c r="A875" s="4"/>
      <c r="B875" s="4"/>
      <c r="F875" s="4"/>
      <c r="O875" s="4"/>
      <c r="P875" s="4"/>
      <c r="S875" s="4"/>
      <c r="T875" s="4"/>
      <c r="W875" s="4"/>
    </row>
    <row r="876" spans="1:23" ht="15.75" customHeight="1" x14ac:dyDescent="0.35">
      <c r="A876" s="4"/>
      <c r="B876" s="4"/>
      <c r="F876" s="4"/>
      <c r="O876" s="4"/>
      <c r="P876" s="4"/>
      <c r="S876" s="4"/>
      <c r="T876" s="4"/>
      <c r="W876" s="4"/>
    </row>
    <row r="877" spans="1:23" ht="15.75" customHeight="1" x14ac:dyDescent="0.35">
      <c r="A877" s="4"/>
      <c r="B877" s="4"/>
      <c r="F877" s="4"/>
      <c r="O877" s="4"/>
      <c r="P877" s="4"/>
      <c r="S877" s="4"/>
      <c r="T877" s="4"/>
      <c r="W877" s="4"/>
    </row>
    <row r="878" spans="1:23" ht="15.75" customHeight="1" x14ac:dyDescent="0.35">
      <c r="A878" s="4"/>
      <c r="B878" s="4"/>
      <c r="F878" s="4"/>
      <c r="O878" s="4"/>
      <c r="P878" s="4"/>
      <c r="S878" s="4"/>
      <c r="T878" s="4"/>
      <c r="W878" s="4"/>
    </row>
    <row r="879" spans="1:23" ht="15.75" customHeight="1" x14ac:dyDescent="0.35">
      <c r="A879" s="4"/>
      <c r="B879" s="4"/>
      <c r="F879" s="4"/>
      <c r="O879" s="4"/>
      <c r="P879" s="4"/>
      <c r="S879" s="4"/>
      <c r="T879" s="4"/>
      <c r="W879" s="4"/>
    </row>
    <row r="880" spans="1:23" ht="15.75" customHeight="1" x14ac:dyDescent="0.35">
      <c r="A880" s="4"/>
      <c r="B880" s="4"/>
      <c r="F880" s="4"/>
      <c r="O880" s="4"/>
      <c r="P880" s="4"/>
      <c r="S880" s="4"/>
      <c r="T880" s="4"/>
      <c r="W880" s="4"/>
    </row>
    <row r="881" spans="1:23" ht="15.75" customHeight="1" x14ac:dyDescent="0.35">
      <c r="A881" s="4"/>
      <c r="B881" s="4"/>
      <c r="F881" s="4"/>
      <c r="O881" s="4"/>
      <c r="P881" s="4"/>
      <c r="S881" s="4"/>
      <c r="T881" s="4"/>
      <c r="W881" s="4"/>
    </row>
    <row r="882" spans="1:23" ht="15.75" customHeight="1" x14ac:dyDescent="0.35">
      <c r="A882" s="4"/>
      <c r="B882" s="4"/>
      <c r="F882" s="4"/>
      <c r="O882" s="4"/>
      <c r="P882" s="4"/>
      <c r="S882" s="4"/>
      <c r="T882" s="4"/>
      <c r="W882" s="4"/>
    </row>
    <row r="883" spans="1:23" ht="15.75" customHeight="1" x14ac:dyDescent="0.35">
      <c r="A883" s="4"/>
      <c r="B883" s="4"/>
      <c r="F883" s="4"/>
      <c r="O883" s="4"/>
      <c r="P883" s="4"/>
      <c r="S883" s="4"/>
      <c r="T883" s="4"/>
      <c r="W883" s="4"/>
    </row>
    <row r="884" spans="1:23" ht="15.75" customHeight="1" x14ac:dyDescent="0.35">
      <c r="A884" s="4"/>
      <c r="B884" s="4"/>
      <c r="F884" s="4"/>
      <c r="O884" s="4"/>
      <c r="P884" s="4"/>
      <c r="S884" s="4"/>
      <c r="T884" s="4"/>
      <c r="W884" s="4"/>
    </row>
    <row r="885" spans="1:23" ht="15.75" customHeight="1" x14ac:dyDescent="0.35">
      <c r="A885" s="4"/>
      <c r="B885" s="4"/>
      <c r="F885" s="4"/>
      <c r="O885" s="4"/>
      <c r="P885" s="4"/>
      <c r="S885" s="4"/>
      <c r="T885" s="4"/>
      <c r="W885" s="4"/>
    </row>
    <row r="886" spans="1:23" ht="15.75" customHeight="1" x14ac:dyDescent="0.35">
      <c r="A886" s="4"/>
      <c r="B886" s="4"/>
      <c r="F886" s="4"/>
      <c r="O886" s="4"/>
      <c r="P886" s="4"/>
      <c r="S886" s="4"/>
      <c r="T886" s="4"/>
      <c r="W886" s="4"/>
    </row>
    <row r="887" spans="1:23" ht="15.75" customHeight="1" x14ac:dyDescent="0.35">
      <c r="A887" s="4"/>
      <c r="B887" s="4"/>
      <c r="F887" s="4"/>
      <c r="O887" s="4"/>
      <c r="P887" s="4"/>
      <c r="S887" s="4"/>
      <c r="T887" s="4"/>
      <c r="W887" s="4"/>
    </row>
    <row r="888" spans="1:23" ht="15.75" customHeight="1" x14ac:dyDescent="0.35">
      <c r="A888" s="4"/>
      <c r="B888" s="4"/>
      <c r="F888" s="4"/>
      <c r="O888" s="4"/>
      <c r="P888" s="4"/>
      <c r="S888" s="4"/>
      <c r="T888" s="4"/>
      <c r="W888" s="4"/>
    </row>
    <row r="889" spans="1:23" ht="15.75" customHeight="1" x14ac:dyDescent="0.35">
      <c r="A889" s="4"/>
      <c r="B889" s="4"/>
      <c r="F889" s="4"/>
      <c r="O889" s="4"/>
      <c r="P889" s="4"/>
      <c r="S889" s="4"/>
      <c r="T889" s="4"/>
      <c r="W889" s="4"/>
    </row>
    <row r="890" spans="1:23" ht="15.75" customHeight="1" x14ac:dyDescent="0.35">
      <c r="A890" s="4"/>
      <c r="B890" s="4"/>
      <c r="F890" s="4"/>
      <c r="O890" s="4"/>
      <c r="P890" s="4"/>
      <c r="S890" s="4"/>
      <c r="T890" s="4"/>
      <c r="W890" s="4"/>
    </row>
    <row r="891" spans="1:23" ht="15.75" customHeight="1" x14ac:dyDescent="0.35">
      <c r="A891" s="4"/>
      <c r="B891" s="4"/>
      <c r="F891" s="4"/>
      <c r="O891" s="4"/>
      <c r="P891" s="4"/>
      <c r="S891" s="4"/>
      <c r="T891" s="4"/>
      <c r="W891" s="4"/>
    </row>
    <row r="892" spans="1:23" ht="15.75" customHeight="1" x14ac:dyDescent="0.35">
      <c r="A892" s="4"/>
      <c r="B892" s="4"/>
      <c r="F892" s="4"/>
      <c r="O892" s="4"/>
      <c r="P892" s="4"/>
      <c r="S892" s="4"/>
      <c r="T892" s="4"/>
      <c r="W892" s="4"/>
    </row>
    <row r="893" spans="1:23" ht="15.75" customHeight="1" x14ac:dyDescent="0.35">
      <c r="A893" s="4"/>
      <c r="B893" s="4"/>
      <c r="F893" s="4"/>
      <c r="O893" s="4"/>
      <c r="P893" s="4"/>
      <c r="S893" s="4"/>
      <c r="T893" s="4"/>
      <c r="W893" s="4"/>
    </row>
    <row r="894" spans="1:23" ht="15.75" customHeight="1" x14ac:dyDescent="0.35">
      <c r="A894" s="4"/>
      <c r="B894" s="4"/>
      <c r="F894" s="4"/>
      <c r="O894" s="4"/>
      <c r="P894" s="4"/>
      <c r="S894" s="4"/>
      <c r="T894" s="4"/>
      <c r="W894" s="4"/>
    </row>
    <row r="895" spans="1:23" ht="15.75" customHeight="1" x14ac:dyDescent="0.35">
      <c r="A895" s="4"/>
      <c r="B895" s="4"/>
      <c r="F895" s="4"/>
      <c r="O895" s="4"/>
      <c r="P895" s="4"/>
      <c r="S895" s="4"/>
      <c r="T895" s="4"/>
      <c r="W895" s="4"/>
    </row>
    <row r="896" spans="1:23" ht="15.75" customHeight="1" x14ac:dyDescent="0.35">
      <c r="A896" s="4"/>
      <c r="B896" s="4"/>
      <c r="F896" s="4"/>
      <c r="O896" s="4"/>
      <c r="P896" s="4"/>
      <c r="S896" s="4"/>
      <c r="T896" s="4"/>
      <c r="W896" s="4"/>
    </row>
    <row r="897" spans="1:23" ht="15.75" customHeight="1" x14ac:dyDescent="0.35">
      <c r="A897" s="4"/>
      <c r="B897" s="4"/>
      <c r="F897" s="4"/>
      <c r="O897" s="4"/>
      <c r="P897" s="4"/>
      <c r="S897" s="4"/>
      <c r="T897" s="4"/>
      <c r="W897" s="4"/>
    </row>
    <row r="898" spans="1:23" ht="15.75" customHeight="1" x14ac:dyDescent="0.35">
      <c r="A898" s="4"/>
      <c r="B898" s="4"/>
      <c r="F898" s="4"/>
      <c r="O898" s="4"/>
      <c r="P898" s="4"/>
      <c r="S898" s="4"/>
      <c r="T898" s="4"/>
      <c r="W898" s="4"/>
    </row>
    <row r="899" spans="1:23" ht="15.75" customHeight="1" x14ac:dyDescent="0.35">
      <c r="A899" s="4"/>
      <c r="B899" s="4"/>
      <c r="F899" s="4"/>
      <c r="O899" s="4"/>
      <c r="P899" s="4"/>
      <c r="S899" s="4"/>
      <c r="T899" s="4"/>
      <c r="W899" s="4"/>
    </row>
    <row r="900" spans="1:23" ht="15.75" customHeight="1" x14ac:dyDescent="0.35">
      <c r="A900" s="4"/>
      <c r="B900" s="4"/>
      <c r="F900" s="4"/>
      <c r="O900" s="4"/>
      <c r="P900" s="4"/>
      <c r="S900" s="4"/>
      <c r="T900" s="4"/>
      <c r="W900" s="4"/>
    </row>
    <row r="901" spans="1:23" ht="15.75" customHeight="1" x14ac:dyDescent="0.35">
      <c r="A901" s="4"/>
      <c r="B901" s="4"/>
      <c r="F901" s="4"/>
      <c r="O901" s="4"/>
      <c r="P901" s="4"/>
      <c r="S901" s="4"/>
      <c r="T901" s="4"/>
      <c r="W901" s="4"/>
    </row>
    <row r="902" spans="1:23" ht="15.75" customHeight="1" x14ac:dyDescent="0.35">
      <c r="A902" s="4"/>
      <c r="B902" s="4"/>
      <c r="F902" s="4"/>
      <c r="O902" s="4"/>
      <c r="P902" s="4"/>
      <c r="S902" s="4"/>
      <c r="T902" s="4"/>
      <c r="W902" s="4"/>
    </row>
    <row r="903" spans="1:23" ht="15.75" customHeight="1" x14ac:dyDescent="0.35">
      <c r="A903" s="4"/>
      <c r="B903" s="4"/>
      <c r="F903" s="4"/>
      <c r="O903" s="4"/>
      <c r="P903" s="4"/>
      <c r="S903" s="4"/>
      <c r="T903" s="4"/>
      <c r="W903" s="4"/>
    </row>
    <row r="904" spans="1:23" ht="15.75" customHeight="1" x14ac:dyDescent="0.35">
      <c r="A904" s="4"/>
      <c r="B904" s="4"/>
      <c r="F904" s="4"/>
      <c r="O904" s="4"/>
      <c r="P904" s="4"/>
      <c r="S904" s="4"/>
      <c r="T904" s="4"/>
      <c r="W904" s="4"/>
    </row>
    <row r="905" spans="1:23" ht="15.75" customHeight="1" x14ac:dyDescent="0.35">
      <c r="A905" s="4"/>
      <c r="B905" s="4"/>
      <c r="F905" s="4"/>
      <c r="O905" s="4"/>
      <c r="P905" s="4"/>
      <c r="S905" s="4"/>
      <c r="T905" s="4"/>
      <c r="W905" s="4"/>
    </row>
    <row r="906" spans="1:23" ht="15.75" customHeight="1" x14ac:dyDescent="0.35">
      <c r="A906" s="4"/>
      <c r="B906" s="4"/>
      <c r="F906" s="4"/>
      <c r="O906" s="4"/>
      <c r="P906" s="4"/>
      <c r="S906" s="4"/>
      <c r="T906" s="4"/>
      <c r="W906" s="4"/>
    </row>
    <row r="907" spans="1:23" ht="15.75" customHeight="1" x14ac:dyDescent="0.35">
      <c r="A907" s="4"/>
      <c r="B907" s="4"/>
      <c r="F907" s="4"/>
      <c r="O907" s="4"/>
      <c r="P907" s="4"/>
      <c r="S907" s="4"/>
      <c r="T907" s="4"/>
      <c r="W907" s="4"/>
    </row>
    <row r="908" spans="1:23" ht="15.75" customHeight="1" x14ac:dyDescent="0.35">
      <c r="A908" s="4"/>
      <c r="B908" s="4"/>
      <c r="F908" s="4"/>
      <c r="O908" s="4"/>
      <c r="P908" s="4"/>
      <c r="S908" s="4"/>
      <c r="T908" s="4"/>
      <c r="W908" s="4"/>
    </row>
    <row r="909" spans="1:23" ht="15.75" customHeight="1" x14ac:dyDescent="0.35">
      <c r="A909" s="4"/>
      <c r="B909" s="4"/>
      <c r="F909" s="4"/>
      <c r="O909" s="4"/>
      <c r="P909" s="4"/>
      <c r="S909" s="4"/>
      <c r="T909" s="4"/>
      <c r="W909" s="4"/>
    </row>
    <row r="910" spans="1:23" ht="15.75" customHeight="1" x14ac:dyDescent="0.35">
      <c r="A910" s="4"/>
      <c r="B910" s="4"/>
      <c r="F910" s="4"/>
      <c r="O910" s="4"/>
      <c r="P910" s="4"/>
      <c r="S910" s="4"/>
      <c r="T910" s="4"/>
      <c r="W910" s="4"/>
    </row>
    <row r="911" spans="1:23" ht="15.75" customHeight="1" x14ac:dyDescent="0.35">
      <c r="A911" s="4"/>
      <c r="B911" s="4"/>
      <c r="F911" s="4"/>
      <c r="O911" s="4"/>
      <c r="P911" s="4"/>
      <c r="S911" s="4"/>
      <c r="T911" s="4"/>
      <c r="W911" s="4"/>
    </row>
    <row r="912" spans="1:23" ht="15.75" customHeight="1" x14ac:dyDescent="0.35">
      <c r="A912" s="4"/>
      <c r="B912" s="4"/>
      <c r="F912" s="4"/>
      <c r="O912" s="4"/>
      <c r="P912" s="4"/>
      <c r="S912" s="4"/>
      <c r="T912" s="4"/>
      <c r="W912" s="4"/>
    </row>
    <row r="913" spans="1:23" ht="15.75" customHeight="1" x14ac:dyDescent="0.35">
      <c r="A913" s="4"/>
      <c r="B913" s="4"/>
      <c r="F913" s="4"/>
      <c r="O913" s="4"/>
      <c r="P913" s="4"/>
      <c r="S913" s="4"/>
      <c r="T913" s="4"/>
      <c r="W913" s="4"/>
    </row>
    <row r="914" spans="1:23" ht="15.75" customHeight="1" x14ac:dyDescent="0.35">
      <c r="A914" s="4"/>
      <c r="B914" s="4"/>
      <c r="F914" s="4"/>
      <c r="O914" s="4"/>
      <c r="P914" s="4"/>
      <c r="S914" s="4"/>
      <c r="T914" s="4"/>
      <c r="W914" s="4"/>
    </row>
    <row r="915" spans="1:23" ht="15.75" customHeight="1" x14ac:dyDescent="0.35">
      <c r="A915" s="4"/>
      <c r="B915" s="4"/>
      <c r="F915" s="4"/>
      <c r="O915" s="4"/>
      <c r="P915" s="4"/>
      <c r="S915" s="4"/>
      <c r="T915" s="4"/>
      <c r="W915" s="4"/>
    </row>
    <row r="916" spans="1:23" ht="15.75" customHeight="1" x14ac:dyDescent="0.35">
      <c r="A916" s="4"/>
      <c r="B916" s="4"/>
      <c r="F916" s="4"/>
      <c r="O916" s="4"/>
      <c r="P916" s="4"/>
      <c r="S916" s="4"/>
      <c r="T916" s="4"/>
      <c r="W916" s="4"/>
    </row>
    <row r="917" spans="1:23" ht="15.75" customHeight="1" x14ac:dyDescent="0.35">
      <c r="A917" s="4"/>
      <c r="B917" s="4"/>
      <c r="F917" s="4"/>
      <c r="O917" s="4"/>
      <c r="P917" s="4"/>
      <c r="S917" s="4"/>
      <c r="T917" s="4"/>
      <c r="W917" s="4"/>
    </row>
    <row r="918" spans="1:23" ht="15.75" customHeight="1" x14ac:dyDescent="0.35">
      <c r="A918" s="4"/>
      <c r="B918" s="4"/>
      <c r="F918" s="4"/>
      <c r="O918" s="4"/>
      <c r="P918" s="4"/>
      <c r="S918" s="4"/>
      <c r="T918" s="4"/>
      <c r="W918" s="4"/>
    </row>
    <row r="919" spans="1:23" ht="15.75" customHeight="1" x14ac:dyDescent="0.35">
      <c r="A919" s="4"/>
      <c r="B919" s="4"/>
      <c r="F919" s="4"/>
      <c r="O919" s="4"/>
      <c r="P919" s="4"/>
      <c r="S919" s="4"/>
      <c r="T919" s="4"/>
      <c r="W919" s="4"/>
    </row>
    <row r="920" spans="1:23" ht="15.75" customHeight="1" x14ac:dyDescent="0.35">
      <c r="A920" s="4"/>
      <c r="B920" s="4"/>
      <c r="F920" s="4"/>
      <c r="O920" s="4"/>
      <c r="P920" s="4"/>
      <c r="S920" s="4"/>
      <c r="T920" s="4"/>
      <c r="W920" s="4"/>
    </row>
    <row r="921" spans="1:23" ht="15.75" customHeight="1" x14ac:dyDescent="0.35">
      <c r="A921" s="4"/>
      <c r="B921" s="4"/>
      <c r="F921" s="4"/>
      <c r="O921" s="4"/>
      <c r="P921" s="4"/>
      <c r="S921" s="4"/>
      <c r="T921" s="4"/>
      <c r="W921" s="4"/>
    </row>
    <row r="922" spans="1:23" ht="15.75" customHeight="1" x14ac:dyDescent="0.35">
      <c r="A922" s="4"/>
      <c r="B922" s="4"/>
      <c r="F922" s="4"/>
      <c r="O922" s="4"/>
      <c r="P922" s="4"/>
      <c r="S922" s="4"/>
      <c r="T922" s="4"/>
      <c r="W922" s="4"/>
    </row>
    <row r="923" spans="1:23" ht="15.75" customHeight="1" x14ac:dyDescent="0.35">
      <c r="A923" s="4"/>
      <c r="B923" s="4"/>
      <c r="F923" s="4"/>
      <c r="O923" s="4"/>
      <c r="P923" s="4"/>
      <c r="S923" s="4"/>
      <c r="T923" s="4"/>
      <c r="W923" s="4"/>
    </row>
    <row r="924" spans="1:23" ht="15.75" customHeight="1" x14ac:dyDescent="0.35">
      <c r="A924" s="4"/>
      <c r="B924" s="4"/>
      <c r="F924" s="4"/>
      <c r="O924" s="4"/>
      <c r="P924" s="4"/>
      <c r="S924" s="4"/>
      <c r="T924" s="4"/>
      <c r="W924" s="4"/>
    </row>
    <row r="925" spans="1:23" ht="15.75" customHeight="1" x14ac:dyDescent="0.35">
      <c r="A925" s="4"/>
      <c r="B925" s="4"/>
      <c r="F925" s="4"/>
      <c r="O925" s="4"/>
      <c r="P925" s="4"/>
      <c r="S925" s="4"/>
      <c r="T925" s="4"/>
      <c r="W925" s="4"/>
    </row>
    <row r="926" spans="1:23" ht="15.75" customHeight="1" x14ac:dyDescent="0.35">
      <c r="A926" s="4"/>
      <c r="B926" s="4"/>
      <c r="F926" s="4"/>
      <c r="O926" s="4"/>
      <c r="P926" s="4"/>
      <c r="S926" s="4"/>
      <c r="T926" s="4"/>
      <c r="W926" s="4"/>
    </row>
    <row r="927" spans="1:23" ht="15.75" customHeight="1" x14ac:dyDescent="0.35">
      <c r="A927" s="4"/>
      <c r="B927" s="4"/>
      <c r="F927" s="4"/>
      <c r="O927" s="4"/>
      <c r="P927" s="4"/>
      <c r="S927" s="4"/>
      <c r="T927" s="4"/>
      <c r="W927" s="4"/>
    </row>
    <row r="928" spans="1:23" ht="15.75" customHeight="1" x14ac:dyDescent="0.35">
      <c r="A928" s="4"/>
      <c r="B928" s="4"/>
      <c r="F928" s="4"/>
      <c r="O928" s="4"/>
      <c r="P928" s="4"/>
      <c r="S928" s="4"/>
      <c r="T928" s="4"/>
      <c r="W928" s="4"/>
    </row>
    <row r="929" spans="1:23" ht="15.75" customHeight="1" x14ac:dyDescent="0.35">
      <c r="A929" s="4"/>
      <c r="B929" s="4"/>
      <c r="F929" s="4"/>
      <c r="O929" s="4"/>
      <c r="P929" s="4"/>
      <c r="S929" s="4"/>
      <c r="T929" s="4"/>
      <c r="W929" s="4"/>
    </row>
    <row r="930" spans="1:23" ht="15.75" customHeight="1" x14ac:dyDescent="0.35">
      <c r="A930" s="4"/>
      <c r="B930" s="4"/>
      <c r="F930" s="4"/>
      <c r="O930" s="4"/>
      <c r="P930" s="4"/>
      <c r="S930" s="4"/>
      <c r="T930" s="4"/>
      <c r="W930" s="4"/>
    </row>
    <row r="931" spans="1:23" ht="15.75" customHeight="1" x14ac:dyDescent="0.35">
      <c r="A931" s="4"/>
      <c r="B931" s="4"/>
      <c r="F931" s="4"/>
      <c r="O931" s="4"/>
      <c r="P931" s="4"/>
      <c r="S931" s="4"/>
      <c r="T931" s="4"/>
      <c r="W931" s="4"/>
    </row>
    <row r="932" spans="1:23" ht="15.75" customHeight="1" x14ac:dyDescent="0.35">
      <c r="A932" s="4"/>
      <c r="B932" s="4"/>
      <c r="F932" s="4"/>
      <c r="O932" s="4"/>
      <c r="P932" s="4"/>
      <c r="S932" s="4"/>
      <c r="T932" s="4"/>
      <c r="W932" s="4"/>
    </row>
    <row r="933" spans="1:23" ht="15.75" customHeight="1" x14ac:dyDescent="0.35">
      <c r="A933" s="4"/>
      <c r="B933" s="4"/>
      <c r="F933" s="4"/>
      <c r="O933" s="4"/>
      <c r="P933" s="4"/>
      <c r="S933" s="4"/>
      <c r="T933" s="4"/>
      <c r="W933" s="4"/>
    </row>
    <row r="934" spans="1:23" ht="15.75" customHeight="1" x14ac:dyDescent="0.35">
      <c r="A934" s="4"/>
      <c r="B934" s="4"/>
      <c r="F934" s="4"/>
      <c r="O934" s="4"/>
      <c r="P934" s="4"/>
      <c r="S934" s="4"/>
      <c r="T934" s="4"/>
      <c r="W934" s="4"/>
    </row>
    <row r="935" spans="1:23" ht="15.75" customHeight="1" x14ac:dyDescent="0.35">
      <c r="A935" s="4"/>
      <c r="B935" s="4"/>
      <c r="F935" s="4"/>
      <c r="O935" s="4"/>
      <c r="P935" s="4"/>
      <c r="S935" s="4"/>
      <c r="T935" s="4"/>
      <c r="W935" s="4"/>
    </row>
    <row r="936" spans="1:23" ht="15.75" customHeight="1" x14ac:dyDescent="0.35">
      <c r="A936" s="4"/>
      <c r="B936" s="4"/>
      <c r="F936" s="4"/>
      <c r="O936" s="4"/>
      <c r="P936" s="4"/>
      <c r="S936" s="4"/>
      <c r="T936" s="4"/>
      <c r="W936" s="4"/>
    </row>
    <row r="937" spans="1:23" ht="15.75" customHeight="1" x14ac:dyDescent="0.35">
      <c r="A937" s="4"/>
      <c r="B937" s="4"/>
      <c r="F937" s="4"/>
      <c r="O937" s="4"/>
      <c r="P937" s="4"/>
      <c r="S937" s="4"/>
      <c r="T937" s="4"/>
      <c r="W937" s="4"/>
    </row>
    <row r="938" spans="1:23" ht="15.75" customHeight="1" x14ac:dyDescent="0.35">
      <c r="A938" s="4"/>
      <c r="B938" s="4"/>
      <c r="F938" s="4"/>
      <c r="O938" s="4"/>
      <c r="P938" s="4"/>
      <c r="S938" s="4"/>
      <c r="T938" s="4"/>
      <c r="W938" s="4"/>
    </row>
    <row r="939" spans="1:23" ht="15.75" customHeight="1" x14ac:dyDescent="0.35">
      <c r="A939" s="4"/>
      <c r="B939" s="4"/>
      <c r="F939" s="4"/>
      <c r="O939" s="4"/>
      <c r="P939" s="4"/>
      <c r="S939" s="4"/>
      <c r="T939" s="4"/>
      <c r="W939" s="4"/>
    </row>
    <row r="940" spans="1:23" ht="15.75" customHeight="1" x14ac:dyDescent="0.35">
      <c r="A940" s="4"/>
      <c r="B940" s="4"/>
      <c r="F940" s="4"/>
      <c r="O940" s="4"/>
      <c r="P940" s="4"/>
      <c r="S940" s="4"/>
      <c r="T940" s="4"/>
      <c r="W940" s="4"/>
    </row>
    <row r="941" spans="1:23" ht="15.75" customHeight="1" x14ac:dyDescent="0.35">
      <c r="A941" s="4"/>
      <c r="B941" s="4"/>
      <c r="F941" s="4"/>
      <c r="O941" s="4"/>
      <c r="P941" s="4"/>
      <c r="S941" s="4"/>
      <c r="T941" s="4"/>
      <c r="W941" s="4"/>
    </row>
    <row r="942" spans="1:23" ht="15.75" customHeight="1" x14ac:dyDescent="0.35">
      <c r="A942" s="4"/>
      <c r="B942" s="4"/>
      <c r="F942" s="4"/>
      <c r="O942" s="4"/>
      <c r="P942" s="4"/>
      <c r="S942" s="4"/>
      <c r="T942" s="4"/>
      <c r="W942" s="4"/>
    </row>
    <row r="943" spans="1:23" ht="15.75" customHeight="1" x14ac:dyDescent="0.35">
      <c r="A943" s="4"/>
      <c r="B943" s="4"/>
      <c r="F943" s="4"/>
      <c r="O943" s="4"/>
      <c r="P943" s="4"/>
      <c r="S943" s="4"/>
      <c r="T943" s="4"/>
      <c r="W943" s="4"/>
    </row>
    <row r="944" spans="1:23" ht="15.75" customHeight="1" x14ac:dyDescent="0.35">
      <c r="A944" s="4"/>
      <c r="B944" s="4"/>
      <c r="F944" s="4"/>
      <c r="O944" s="4"/>
      <c r="P944" s="4"/>
      <c r="S944" s="4"/>
      <c r="T944" s="4"/>
      <c r="W944" s="4"/>
    </row>
    <row r="945" spans="1:23" ht="15.75" customHeight="1" x14ac:dyDescent="0.35">
      <c r="A945" s="4"/>
      <c r="B945" s="4"/>
      <c r="F945" s="4"/>
      <c r="O945" s="4"/>
      <c r="P945" s="4"/>
      <c r="S945" s="4"/>
      <c r="T945" s="4"/>
      <c r="W945" s="4"/>
    </row>
    <row r="946" spans="1:23" ht="15.75" customHeight="1" x14ac:dyDescent="0.35">
      <c r="A946" s="4"/>
      <c r="B946" s="4"/>
      <c r="F946" s="4"/>
      <c r="O946" s="4"/>
      <c r="P946" s="4"/>
      <c r="S946" s="4"/>
      <c r="T946" s="4"/>
      <c r="W946" s="4"/>
    </row>
    <row r="947" spans="1:23" ht="15.75" customHeight="1" x14ac:dyDescent="0.35">
      <c r="A947" s="4"/>
      <c r="B947" s="4"/>
      <c r="F947" s="4"/>
      <c r="O947" s="4"/>
      <c r="P947" s="4"/>
      <c r="S947" s="4"/>
      <c r="T947" s="4"/>
      <c r="W947" s="4"/>
    </row>
    <row r="948" spans="1:23" ht="15.75" customHeight="1" x14ac:dyDescent="0.35">
      <c r="A948" s="4"/>
      <c r="B948" s="4"/>
      <c r="F948" s="4"/>
      <c r="O948" s="4"/>
      <c r="P948" s="4"/>
      <c r="S948" s="4"/>
      <c r="T948" s="4"/>
      <c r="W948" s="4"/>
    </row>
    <row r="949" spans="1:23" ht="15.75" customHeight="1" x14ac:dyDescent="0.35">
      <c r="A949" s="4"/>
      <c r="B949" s="4"/>
      <c r="F949" s="4"/>
      <c r="O949" s="4"/>
      <c r="P949" s="4"/>
      <c r="S949" s="4"/>
      <c r="T949" s="4"/>
      <c r="W949" s="4"/>
    </row>
    <row r="950" spans="1:23" ht="15.75" customHeight="1" x14ac:dyDescent="0.35">
      <c r="A950" s="4"/>
      <c r="B950" s="4"/>
      <c r="F950" s="4"/>
      <c r="O950" s="4"/>
      <c r="P950" s="4"/>
      <c r="S950" s="4"/>
      <c r="T950" s="4"/>
      <c r="W950" s="4"/>
    </row>
    <row r="951" spans="1:23" ht="15.75" customHeight="1" x14ac:dyDescent="0.35">
      <c r="A951" s="4"/>
      <c r="B951" s="4"/>
      <c r="F951" s="4"/>
      <c r="O951" s="4"/>
      <c r="P951" s="4"/>
      <c r="S951" s="4"/>
      <c r="T951" s="4"/>
      <c r="W951" s="4"/>
    </row>
    <row r="952" spans="1:23" ht="15.75" customHeight="1" x14ac:dyDescent="0.35">
      <c r="A952" s="4"/>
      <c r="B952" s="4"/>
      <c r="F952" s="4"/>
      <c r="O952" s="4"/>
      <c r="P952" s="4"/>
      <c r="S952" s="4"/>
      <c r="T952" s="4"/>
      <c r="W952" s="4"/>
    </row>
    <row r="953" spans="1:23" ht="15.75" customHeight="1" x14ac:dyDescent="0.35">
      <c r="A953" s="4"/>
      <c r="B953" s="4"/>
      <c r="F953" s="4"/>
      <c r="O953" s="4"/>
      <c r="P953" s="4"/>
      <c r="S953" s="4"/>
      <c r="T953" s="4"/>
      <c r="W953" s="4"/>
    </row>
    <row r="954" spans="1:23" ht="15.75" customHeight="1" x14ac:dyDescent="0.35">
      <c r="A954" s="4"/>
      <c r="B954" s="4"/>
      <c r="F954" s="4"/>
      <c r="O954" s="4"/>
      <c r="P954" s="4"/>
      <c r="S954" s="4"/>
      <c r="T954" s="4"/>
      <c r="W954" s="4"/>
    </row>
    <row r="955" spans="1:23" ht="15.75" customHeight="1" x14ac:dyDescent="0.35">
      <c r="A955" s="4"/>
      <c r="B955" s="4"/>
      <c r="F955" s="4"/>
      <c r="O955" s="4"/>
      <c r="P955" s="4"/>
      <c r="S955" s="4"/>
      <c r="T955" s="4"/>
      <c r="W955" s="4"/>
    </row>
    <row r="956" spans="1:23" ht="15.75" customHeight="1" x14ac:dyDescent="0.35">
      <c r="A956" s="4"/>
      <c r="B956" s="4"/>
      <c r="F956" s="4"/>
      <c r="O956" s="4"/>
      <c r="P956" s="4"/>
      <c r="S956" s="4"/>
      <c r="T956" s="4"/>
      <c r="W956" s="4"/>
    </row>
    <row r="957" spans="1:23" ht="15.75" customHeight="1" x14ac:dyDescent="0.35">
      <c r="A957" s="4"/>
      <c r="B957" s="4"/>
      <c r="F957" s="4"/>
      <c r="O957" s="4"/>
      <c r="P957" s="4"/>
      <c r="S957" s="4"/>
      <c r="T957" s="4"/>
      <c r="W957" s="4"/>
    </row>
    <row r="958" spans="1:23" ht="15.75" customHeight="1" x14ac:dyDescent="0.35">
      <c r="A958" s="4"/>
      <c r="B958" s="4"/>
      <c r="F958" s="4"/>
      <c r="O958" s="4"/>
      <c r="P958" s="4"/>
      <c r="S958" s="4"/>
      <c r="T958" s="4"/>
      <c r="W958" s="4"/>
    </row>
    <row r="959" spans="1:23" ht="15.75" customHeight="1" x14ac:dyDescent="0.35">
      <c r="A959" s="4"/>
      <c r="B959" s="4"/>
      <c r="F959" s="4"/>
      <c r="O959" s="4"/>
      <c r="P959" s="4"/>
      <c r="S959" s="4"/>
      <c r="T959" s="4"/>
      <c r="W959" s="4"/>
    </row>
    <row r="960" spans="1:23" ht="15.75" customHeight="1" x14ac:dyDescent="0.35">
      <c r="A960" s="4"/>
      <c r="B960" s="4"/>
      <c r="F960" s="4"/>
      <c r="O960" s="4"/>
      <c r="P960" s="4"/>
      <c r="S960" s="4"/>
      <c r="T960" s="4"/>
      <c r="W960" s="4"/>
    </row>
    <row r="961" spans="1:23" ht="15.75" customHeight="1" x14ac:dyDescent="0.35">
      <c r="A961" s="4"/>
      <c r="B961" s="4"/>
      <c r="F961" s="4"/>
      <c r="O961" s="4"/>
      <c r="P961" s="4"/>
      <c r="S961" s="4"/>
      <c r="T961" s="4"/>
      <c r="W961" s="4"/>
    </row>
    <row r="962" spans="1:23" ht="15.75" customHeight="1" x14ac:dyDescent="0.35">
      <c r="A962" s="4"/>
      <c r="B962" s="4"/>
      <c r="F962" s="4"/>
      <c r="O962" s="4"/>
      <c r="P962" s="4"/>
      <c r="S962" s="4"/>
      <c r="T962" s="4"/>
      <c r="W962" s="4"/>
    </row>
    <row r="963" spans="1:23" ht="15.75" customHeight="1" x14ac:dyDescent="0.35">
      <c r="A963" s="4"/>
      <c r="B963" s="4"/>
      <c r="F963" s="4"/>
      <c r="O963" s="4"/>
      <c r="P963" s="4"/>
      <c r="S963" s="4"/>
      <c r="T963" s="4"/>
      <c r="W963" s="4"/>
    </row>
    <row r="964" spans="1:23" ht="15.75" customHeight="1" x14ac:dyDescent="0.35">
      <c r="A964" s="4"/>
      <c r="B964" s="4"/>
      <c r="F964" s="4"/>
      <c r="O964" s="4"/>
      <c r="P964" s="4"/>
      <c r="S964" s="4"/>
      <c r="T964" s="4"/>
      <c r="W964" s="4"/>
    </row>
    <row r="965" spans="1:23" ht="15.75" customHeight="1" x14ac:dyDescent="0.35">
      <c r="A965" s="4"/>
      <c r="B965" s="4"/>
      <c r="F965" s="4"/>
      <c r="O965" s="4"/>
      <c r="P965" s="4"/>
      <c r="S965" s="4"/>
      <c r="T965" s="4"/>
      <c r="W965" s="4"/>
    </row>
    <row r="966" spans="1:23" ht="15.75" customHeight="1" x14ac:dyDescent="0.35">
      <c r="A966" s="4"/>
      <c r="B966" s="4"/>
      <c r="F966" s="4"/>
      <c r="O966" s="4"/>
      <c r="P966" s="4"/>
      <c r="S966" s="4"/>
      <c r="T966" s="4"/>
      <c r="W966" s="4"/>
    </row>
    <row r="967" spans="1:23" ht="15.75" customHeight="1" x14ac:dyDescent="0.35">
      <c r="A967" s="4"/>
      <c r="B967" s="4"/>
      <c r="F967" s="4"/>
      <c r="O967" s="4"/>
      <c r="P967" s="4"/>
      <c r="S967" s="4"/>
      <c r="T967" s="4"/>
      <c r="W967" s="4"/>
    </row>
    <row r="968" spans="1:23" ht="15.75" customHeight="1" x14ac:dyDescent="0.35">
      <c r="A968" s="4"/>
      <c r="B968" s="4"/>
      <c r="F968" s="4"/>
      <c r="O968" s="4"/>
      <c r="P968" s="4"/>
      <c r="S968" s="4"/>
      <c r="T968" s="4"/>
      <c r="W968" s="4"/>
    </row>
    <row r="969" spans="1:23" ht="15.75" customHeight="1" x14ac:dyDescent="0.35">
      <c r="A969" s="4"/>
      <c r="B969" s="4"/>
      <c r="F969" s="4"/>
      <c r="O969" s="4"/>
      <c r="P969" s="4"/>
      <c r="S969" s="4"/>
      <c r="T969" s="4"/>
      <c r="W969" s="4"/>
    </row>
    <row r="970" spans="1:23" ht="15.75" customHeight="1" x14ac:dyDescent="0.35">
      <c r="A970" s="4"/>
      <c r="B970" s="4"/>
      <c r="F970" s="4"/>
      <c r="O970" s="4"/>
      <c r="P970" s="4"/>
      <c r="S970" s="4"/>
      <c r="T970" s="4"/>
      <c r="W970" s="4"/>
    </row>
    <row r="971" spans="1:23" ht="15.75" customHeight="1" x14ac:dyDescent="0.35">
      <c r="A971" s="4"/>
      <c r="B971" s="4"/>
      <c r="F971" s="4"/>
      <c r="O971" s="4"/>
      <c r="P971" s="4"/>
      <c r="S971" s="4"/>
      <c r="T971" s="4"/>
      <c r="W971" s="4"/>
    </row>
    <row r="972" spans="1:23" ht="15.75" customHeight="1" x14ac:dyDescent="0.35">
      <c r="A972" s="4"/>
      <c r="B972" s="4"/>
      <c r="F972" s="4"/>
      <c r="O972" s="4"/>
      <c r="P972" s="4"/>
      <c r="S972" s="4"/>
      <c r="T972" s="4"/>
      <c r="W972" s="4"/>
    </row>
    <row r="973" spans="1:23" ht="15.75" customHeight="1" x14ac:dyDescent="0.35">
      <c r="A973" s="4"/>
      <c r="B973" s="4"/>
      <c r="F973" s="4"/>
      <c r="O973" s="4"/>
      <c r="P973" s="4"/>
      <c r="S973" s="4"/>
      <c r="T973" s="4"/>
      <c r="W973" s="4"/>
    </row>
    <row r="974" spans="1:23" ht="15.75" customHeight="1" x14ac:dyDescent="0.35">
      <c r="A974" s="4"/>
      <c r="B974" s="4"/>
      <c r="F974" s="4"/>
      <c r="O974" s="4"/>
      <c r="P974" s="4"/>
      <c r="S974" s="4"/>
      <c r="T974" s="4"/>
      <c r="W974" s="4"/>
    </row>
    <row r="975" spans="1:23" ht="15.75" customHeight="1" x14ac:dyDescent="0.35">
      <c r="A975" s="4"/>
      <c r="B975" s="4"/>
      <c r="F975" s="4"/>
      <c r="O975" s="4"/>
      <c r="P975" s="4"/>
      <c r="S975" s="4"/>
      <c r="T975" s="4"/>
      <c r="W975" s="4"/>
    </row>
    <row r="976" spans="1:23" ht="15.75" customHeight="1" x14ac:dyDescent="0.35">
      <c r="A976" s="4"/>
      <c r="B976" s="4"/>
      <c r="F976" s="4"/>
      <c r="O976" s="4"/>
      <c r="P976" s="4"/>
      <c r="S976" s="4"/>
      <c r="T976" s="4"/>
      <c r="W976" s="4"/>
    </row>
    <row r="977" spans="1:23" ht="15.75" customHeight="1" x14ac:dyDescent="0.35">
      <c r="A977" s="4"/>
      <c r="B977" s="4"/>
      <c r="F977" s="4"/>
      <c r="O977" s="4"/>
      <c r="P977" s="4"/>
      <c r="S977" s="4"/>
      <c r="T977" s="4"/>
      <c r="W977" s="4"/>
    </row>
    <row r="978" spans="1:23" ht="15.75" customHeight="1" x14ac:dyDescent="0.35">
      <c r="A978" s="4"/>
      <c r="B978" s="4"/>
      <c r="F978" s="4"/>
      <c r="O978" s="4"/>
      <c r="P978" s="4"/>
      <c r="S978" s="4"/>
      <c r="T978" s="4"/>
      <c r="W978" s="4"/>
    </row>
    <row r="979" spans="1:23" ht="15.75" customHeight="1" x14ac:dyDescent="0.35">
      <c r="A979" s="4"/>
      <c r="B979" s="4"/>
      <c r="F979" s="4"/>
      <c r="O979" s="4"/>
      <c r="P979" s="4"/>
      <c r="S979" s="4"/>
      <c r="T979" s="4"/>
      <c r="W979" s="4"/>
    </row>
    <row r="980" spans="1:23" ht="15.75" customHeight="1" x14ac:dyDescent="0.35">
      <c r="A980" s="4"/>
      <c r="B980" s="4"/>
      <c r="F980" s="4"/>
      <c r="O980" s="4"/>
      <c r="P980" s="4"/>
      <c r="S980" s="4"/>
      <c r="T980" s="4"/>
      <c r="W980" s="4"/>
    </row>
    <row r="981" spans="1:23" ht="15.75" customHeight="1" x14ac:dyDescent="0.35">
      <c r="A981" s="4"/>
      <c r="B981" s="4"/>
      <c r="F981" s="4"/>
      <c r="O981" s="4"/>
      <c r="P981" s="4"/>
      <c r="S981" s="4"/>
      <c r="T981" s="4"/>
      <c r="W981" s="4"/>
    </row>
    <row r="982" spans="1:23" ht="15.75" customHeight="1" x14ac:dyDescent="0.35">
      <c r="A982" s="4"/>
      <c r="B982" s="4"/>
      <c r="F982" s="4"/>
      <c r="O982" s="4"/>
      <c r="P982" s="4"/>
      <c r="S982" s="4"/>
      <c r="T982" s="4"/>
      <c r="W982" s="4"/>
    </row>
    <row r="983" spans="1:23" ht="15.75" customHeight="1" x14ac:dyDescent="0.35">
      <c r="A983" s="4"/>
      <c r="B983" s="4"/>
      <c r="F983" s="4"/>
      <c r="O983" s="4"/>
      <c r="P983" s="4"/>
      <c r="S983" s="4"/>
      <c r="T983" s="4"/>
      <c r="W983" s="4"/>
    </row>
    <row r="984" spans="1:23" ht="15.75" customHeight="1" x14ac:dyDescent="0.35">
      <c r="A984" s="4"/>
      <c r="B984" s="4"/>
      <c r="F984" s="4"/>
      <c r="O984" s="4"/>
      <c r="P984" s="4"/>
      <c r="S984" s="4"/>
      <c r="T984" s="4"/>
      <c r="W984" s="4"/>
    </row>
    <row r="985" spans="1:23" ht="15.75" customHeight="1" x14ac:dyDescent="0.35">
      <c r="A985" s="4"/>
      <c r="B985" s="4"/>
      <c r="F985" s="4"/>
      <c r="O985" s="4"/>
      <c r="P985" s="4"/>
      <c r="S985" s="4"/>
      <c r="T985" s="4"/>
      <c r="W985" s="4"/>
    </row>
    <row r="986" spans="1:23" ht="15.75" customHeight="1" x14ac:dyDescent="0.35">
      <c r="A986" s="4"/>
      <c r="B986" s="4"/>
      <c r="F986" s="4"/>
      <c r="O986" s="4"/>
      <c r="P986" s="4"/>
      <c r="S986" s="4"/>
      <c r="T986" s="4"/>
      <c r="W986" s="4"/>
    </row>
    <row r="987" spans="1:23" ht="15.75" customHeight="1" x14ac:dyDescent="0.35">
      <c r="A987" s="4"/>
      <c r="B987" s="4"/>
      <c r="F987" s="4"/>
      <c r="O987" s="4"/>
      <c r="P987" s="4"/>
      <c r="S987" s="4"/>
      <c r="T987" s="4"/>
      <c r="W987" s="4"/>
    </row>
    <row r="988" spans="1:23" ht="15.75" customHeight="1" x14ac:dyDescent="0.35">
      <c r="A988" s="4"/>
      <c r="B988" s="4"/>
      <c r="F988" s="4"/>
      <c r="O988" s="4"/>
      <c r="P988" s="4"/>
      <c r="S988" s="4"/>
      <c r="T988" s="4"/>
      <c r="W988" s="4"/>
    </row>
    <row r="989" spans="1:23" ht="15.75" customHeight="1" x14ac:dyDescent="0.35">
      <c r="A989" s="4"/>
      <c r="B989" s="4"/>
      <c r="F989" s="4"/>
      <c r="O989" s="4"/>
      <c r="P989" s="4"/>
      <c r="S989" s="4"/>
      <c r="T989" s="4"/>
      <c r="W989" s="4"/>
    </row>
    <row r="990" spans="1:23" ht="15.75" customHeight="1" x14ac:dyDescent="0.35">
      <c r="A990" s="4"/>
      <c r="B990" s="4"/>
      <c r="F990" s="4"/>
      <c r="O990" s="4"/>
      <c r="P990" s="4"/>
      <c r="S990" s="4"/>
      <c r="T990" s="4"/>
      <c r="W990" s="4"/>
    </row>
    <row r="991" spans="1:23" ht="15.75" customHeight="1" x14ac:dyDescent="0.35">
      <c r="A991" s="4"/>
      <c r="B991" s="4"/>
      <c r="F991" s="4"/>
      <c r="O991" s="4"/>
      <c r="P991" s="4"/>
      <c r="S991" s="4"/>
      <c r="T991" s="4"/>
      <c r="W991" s="4"/>
    </row>
    <row r="992" spans="1:23" ht="15.75" customHeight="1" x14ac:dyDescent="0.35">
      <c r="A992" s="4"/>
      <c r="B992" s="4"/>
      <c r="F992" s="4"/>
      <c r="O992" s="4"/>
      <c r="P992" s="4"/>
      <c r="S992" s="4"/>
      <c r="T992" s="4"/>
      <c r="W992" s="4"/>
    </row>
    <row r="993" spans="1:23" ht="15.75" customHeight="1" x14ac:dyDescent="0.35">
      <c r="A993" s="4"/>
      <c r="B993" s="4"/>
      <c r="F993" s="4"/>
      <c r="O993" s="4"/>
      <c r="P993" s="4"/>
      <c r="S993" s="4"/>
      <c r="T993" s="4"/>
      <c r="W993" s="4"/>
    </row>
    <row r="994" spans="1:23" ht="15.75" customHeight="1" x14ac:dyDescent="0.35">
      <c r="A994" s="4"/>
      <c r="B994" s="4"/>
      <c r="F994" s="4"/>
      <c r="O994" s="4"/>
      <c r="P994" s="4"/>
      <c r="S994" s="4"/>
      <c r="T994" s="4"/>
      <c r="W994" s="4"/>
    </row>
    <row r="995" spans="1:23" ht="15.75" customHeight="1" x14ac:dyDescent="0.35">
      <c r="A995" s="4"/>
      <c r="B995" s="4"/>
      <c r="F995" s="4"/>
      <c r="O995" s="4"/>
      <c r="P995" s="4"/>
      <c r="S995" s="4"/>
      <c r="T995" s="4"/>
      <c r="W995" s="4"/>
    </row>
    <row r="996" spans="1:23" ht="15.75" customHeight="1" x14ac:dyDescent="0.35">
      <c r="A996" s="4"/>
      <c r="B996" s="4"/>
      <c r="F996" s="4"/>
      <c r="O996" s="4"/>
      <c r="P996" s="4"/>
      <c r="S996" s="4"/>
      <c r="T996" s="4"/>
      <c r="W996" s="4"/>
    </row>
    <row r="997" spans="1:23" ht="15.75" customHeight="1" x14ac:dyDescent="0.35">
      <c r="A997" s="4"/>
      <c r="B997" s="4"/>
      <c r="F997" s="4"/>
      <c r="O997" s="4"/>
      <c r="P997" s="4"/>
      <c r="S997" s="4"/>
      <c r="T997" s="4"/>
      <c r="W997" s="4"/>
    </row>
    <row r="998" spans="1:23" ht="15.75" customHeight="1" x14ac:dyDescent="0.35">
      <c r="A998" s="4"/>
      <c r="B998" s="4"/>
      <c r="F998" s="4"/>
      <c r="O998" s="4"/>
      <c r="P998" s="4"/>
      <c r="S998" s="4"/>
      <c r="T998" s="4"/>
      <c r="W998" s="4"/>
    </row>
    <row r="999" spans="1:23" ht="15.75" customHeight="1" x14ac:dyDescent="0.35">
      <c r="A999" s="4"/>
      <c r="B999" s="4"/>
      <c r="F999" s="4"/>
      <c r="O999" s="4"/>
      <c r="P999" s="4"/>
      <c r="S999" s="4"/>
      <c r="T999" s="4"/>
      <c r="W999" s="4"/>
    </row>
    <row r="1000" spans="1:23" ht="15.75" customHeight="1" x14ac:dyDescent="0.35">
      <c r="A1000" s="4"/>
      <c r="B1000" s="4"/>
      <c r="F1000" s="4"/>
      <c r="O1000" s="4"/>
      <c r="P1000" s="4"/>
      <c r="S1000" s="4"/>
      <c r="T1000" s="4"/>
      <c r="W1000" s="4"/>
    </row>
  </sheetData>
  <autoFilter ref="A2:W2" xr:uid="{00000000-0009-0000-0000-000003000000}"/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300-000000000000}">
          <x14:formula1>
            <xm:f>KETERANGAN!$M$4:$M$9</xm:f>
          </x14:formula1>
          <xm:sqref>O3:O1000</xm:sqref>
        </x14:dataValidation>
        <x14:dataValidation type="list" allowBlank="1" showErrorMessage="1" xr:uid="{00000000-0002-0000-0300-000001000000}">
          <x14:formula1>
            <xm:f>KETERANGAN!$N$4:$N$12</xm:f>
          </x14:formula1>
          <xm:sqref>P3:P1000</xm:sqref>
        </x14:dataValidation>
        <x14:dataValidation type="list" allowBlank="1" showErrorMessage="1" xr:uid="{00000000-0002-0000-0300-000002000000}">
          <x14:formula1>
            <xm:f>KETERANGAN!$R$4:$R$7</xm:f>
          </x14:formula1>
          <xm:sqref>T3:T1000</xm:sqref>
        </x14:dataValidation>
        <x14:dataValidation type="list" allowBlank="1" showErrorMessage="1" xr:uid="{00000000-0002-0000-0300-000003000000}">
          <x14:formula1>
            <xm:f>KETERANGAN!$F$4:$F$5</xm:f>
          </x14:formula1>
          <xm:sqref>F3:F1000</xm:sqref>
        </x14:dataValidation>
        <x14:dataValidation type="list" allowBlank="1" showErrorMessage="1" xr:uid="{00000000-0002-0000-0300-000004000000}">
          <x14:formula1>
            <xm:f>KETERANGAN!$B$4:$B$5</xm:f>
          </x14:formula1>
          <xm:sqref>B3:B1000</xm:sqref>
        </x14:dataValidation>
        <x14:dataValidation type="list" allowBlank="1" showErrorMessage="1" xr:uid="{00000000-0002-0000-0300-000005000000}">
          <x14:formula1>
            <xm:f>KETERANGAN!$Q$4:$Q$8</xm:f>
          </x14:formula1>
          <xm:sqref>S3:S1000</xm:sqref>
        </x14:dataValidation>
        <x14:dataValidation type="list" allowBlank="1" showErrorMessage="1" xr:uid="{00000000-0002-0000-0300-000006000000}">
          <x14:formula1>
            <xm:f>KETERANGAN!$U$4:$U$8</xm:f>
          </x14:formula1>
          <xm:sqref>W3:W1000</xm:sqref>
        </x14:dataValidation>
        <x14:dataValidation type="list" allowBlank="1" showErrorMessage="1" xr:uid="{00000000-0002-0000-0300-000007000000}">
          <x14:formula1>
            <xm:f>KETERANGAN!$A$4:$A$34</xm:f>
          </x14:formula1>
          <xm:sqref>A3:A1000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selection activeCell="C3" sqref="C3"/>
    </sheetView>
  </sheetViews>
  <sheetFormatPr defaultColWidth="14.453125" defaultRowHeight="15" customHeight="1" x14ac:dyDescent="0.35"/>
  <cols>
    <col min="1" max="1" width="8.81640625" customWidth="1"/>
    <col min="2" max="2" width="10" customWidth="1"/>
    <col min="3" max="3" width="24.81640625" customWidth="1"/>
    <col min="4" max="4" width="21.453125" customWidth="1"/>
    <col min="5" max="5" width="43.453125" customWidth="1"/>
    <col min="6" max="6" width="42.453125" customWidth="1"/>
    <col min="7" max="9" width="14.453125" customWidth="1"/>
  </cols>
  <sheetData>
    <row r="1" spans="1:9" ht="15" customHeight="1" x14ac:dyDescent="0.35">
      <c r="A1" s="45" t="s">
        <v>862</v>
      </c>
      <c r="B1" s="18"/>
      <c r="C1" s="42">
        <f>COUNTA(A3:A1048576)</f>
        <v>5</v>
      </c>
      <c r="D1" s="43"/>
      <c r="E1" s="18"/>
      <c r="F1" s="18"/>
      <c r="G1" s="18"/>
      <c r="H1" s="18"/>
      <c r="I1" s="18"/>
    </row>
    <row r="2" spans="1:9" ht="25.5" customHeight="1" x14ac:dyDescent="0.35">
      <c r="A2" s="19" t="s">
        <v>76</v>
      </c>
      <c r="B2" s="19" t="s">
        <v>77</v>
      </c>
      <c r="C2" s="20" t="s">
        <v>844</v>
      </c>
      <c r="D2" s="20" t="s">
        <v>846</v>
      </c>
      <c r="E2" s="20" t="s">
        <v>863</v>
      </c>
      <c r="F2" s="20" t="s">
        <v>864</v>
      </c>
      <c r="G2" s="23"/>
      <c r="H2" s="23"/>
      <c r="I2" s="23"/>
    </row>
    <row r="3" spans="1:9" ht="14.25" customHeight="1" x14ac:dyDescent="0.35">
      <c r="A3" s="26" t="s">
        <v>857</v>
      </c>
      <c r="B3" s="26" t="s">
        <v>93</v>
      </c>
      <c r="C3" s="46" t="s">
        <v>847</v>
      </c>
      <c r="D3" s="46" t="s">
        <v>849</v>
      </c>
      <c r="E3" s="24" t="s">
        <v>865</v>
      </c>
      <c r="F3" s="26"/>
      <c r="G3" s="18"/>
      <c r="H3" s="18"/>
      <c r="I3" s="18"/>
    </row>
    <row r="4" spans="1:9" ht="14.25" customHeight="1" x14ac:dyDescent="0.35">
      <c r="A4" s="24" t="s">
        <v>857</v>
      </c>
      <c r="B4" s="24" t="s">
        <v>93</v>
      </c>
      <c r="C4" s="46" t="s">
        <v>848</v>
      </c>
      <c r="D4" s="46" t="s">
        <v>852</v>
      </c>
      <c r="E4" s="24" t="s">
        <v>866</v>
      </c>
      <c r="F4" s="26"/>
      <c r="G4" s="18"/>
      <c r="H4" s="18"/>
      <c r="I4" s="18"/>
    </row>
    <row r="5" spans="1:9" ht="14.25" customHeight="1" x14ac:dyDescent="0.35">
      <c r="A5" s="24" t="s">
        <v>867</v>
      </c>
      <c r="B5" s="24" t="s">
        <v>93</v>
      </c>
      <c r="C5" s="46" t="s">
        <v>848</v>
      </c>
      <c r="D5" s="46" t="s">
        <v>850</v>
      </c>
      <c r="E5" s="24" t="s">
        <v>868</v>
      </c>
      <c r="F5" s="26"/>
      <c r="G5" s="18"/>
      <c r="H5" s="18"/>
      <c r="I5" s="18"/>
    </row>
    <row r="6" spans="1:9" ht="14.25" customHeight="1" x14ac:dyDescent="0.35">
      <c r="A6" s="24" t="s">
        <v>857</v>
      </c>
      <c r="B6" s="24" t="s">
        <v>93</v>
      </c>
      <c r="C6" s="46" t="s">
        <v>847</v>
      </c>
      <c r="D6" s="46" t="s">
        <v>851</v>
      </c>
      <c r="E6" s="24" t="s">
        <v>869</v>
      </c>
      <c r="F6" s="26"/>
      <c r="G6" s="18"/>
      <c r="H6" s="18"/>
      <c r="I6" s="18"/>
    </row>
    <row r="7" spans="1:9" ht="14.25" customHeight="1" x14ac:dyDescent="0.35">
      <c r="A7" s="24" t="s">
        <v>870</v>
      </c>
      <c r="B7" s="24" t="s">
        <v>93</v>
      </c>
      <c r="C7" s="46" t="s">
        <v>847</v>
      </c>
      <c r="D7" s="46" t="s">
        <v>849</v>
      </c>
      <c r="E7" s="24" t="s">
        <v>871</v>
      </c>
      <c r="F7" s="26"/>
      <c r="G7" s="18"/>
      <c r="H7" s="18"/>
      <c r="I7" s="18"/>
    </row>
    <row r="8" spans="1:9" ht="14.25" customHeight="1" x14ac:dyDescent="0.35">
      <c r="A8" s="26"/>
      <c r="B8" s="26"/>
      <c r="C8" s="46"/>
      <c r="D8" s="44"/>
      <c r="E8" s="26"/>
      <c r="F8" s="26"/>
      <c r="G8" s="18"/>
      <c r="H8" s="18"/>
      <c r="I8" s="18"/>
    </row>
    <row r="9" spans="1:9" ht="14.25" customHeight="1" x14ac:dyDescent="0.35">
      <c r="A9" s="26"/>
      <c r="B9" s="26"/>
      <c r="C9" s="46"/>
      <c r="D9" s="44"/>
      <c r="E9" s="26"/>
      <c r="F9" s="26"/>
      <c r="G9" s="18"/>
      <c r="H9" s="18"/>
      <c r="I9" s="18"/>
    </row>
    <row r="10" spans="1:9" ht="14.25" customHeight="1" x14ac:dyDescent="0.35">
      <c r="A10" s="26"/>
      <c r="B10" s="26"/>
      <c r="C10" s="46"/>
      <c r="D10" s="44"/>
      <c r="E10" s="26"/>
      <c r="F10" s="26"/>
      <c r="G10" s="18"/>
      <c r="H10" s="18"/>
      <c r="I10" s="18"/>
    </row>
    <row r="11" spans="1:9" ht="14.25" customHeight="1" x14ac:dyDescent="0.35">
      <c r="A11" s="26"/>
      <c r="B11" s="26"/>
      <c r="C11" s="46"/>
      <c r="D11" s="44"/>
      <c r="E11" s="26"/>
      <c r="F11" s="26"/>
      <c r="G11" s="18"/>
      <c r="H11" s="18"/>
      <c r="I11" s="18"/>
    </row>
    <row r="12" spans="1:9" ht="14.25" customHeight="1" x14ac:dyDescent="0.35">
      <c r="A12" s="26"/>
      <c r="B12" s="26"/>
      <c r="C12" s="46"/>
      <c r="D12" s="44"/>
      <c r="E12" s="26"/>
      <c r="F12" s="26"/>
      <c r="G12" s="18"/>
      <c r="H12" s="18"/>
      <c r="I12" s="18"/>
    </row>
    <row r="13" spans="1:9" ht="14.25" customHeight="1" x14ac:dyDescent="0.35">
      <c r="A13" s="26"/>
      <c r="B13" s="26"/>
      <c r="C13" s="46"/>
      <c r="D13" s="44"/>
      <c r="E13" s="26"/>
      <c r="F13" s="26"/>
      <c r="G13" s="18"/>
      <c r="H13" s="18"/>
      <c r="I13" s="18"/>
    </row>
    <row r="14" spans="1:9" ht="14.25" customHeight="1" x14ac:dyDescent="0.35">
      <c r="A14" s="26"/>
      <c r="B14" s="26"/>
      <c r="C14" s="46"/>
      <c r="D14" s="44"/>
      <c r="E14" s="26"/>
      <c r="F14" s="26"/>
      <c r="G14" s="18"/>
      <c r="H14" s="18"/>
      <c r="I14" s="18"/>
    </row>
    <row r="15" spans="1:9" ht="14.25" customHeight="1" x14ac:dyDescent="0.35">
      <c r="A15" s="26"/>
      <c r="B15" s="26"/>
      <c r="C15" s="46"/>
      <c r="D15" s="44"/>
      <c r="E15" s="26"/>
      <c r="F15" s="26"/>
      <c r="G15" s="18"/>
      <c r="H15" s="18"/>
      <c r="I15" s="18"/>
    </row>
    <row r="16" spans="1:9" ht="14.25" customHeight="1" x14ac:dyDescent="0.35">
      <c r="A16" s="26"/>
      <c r="B16" s="26"/>
      <c r="C16" s="46"/>
      <c r="D16" s="44"/>
      <c r="E16" s="26"/>
      <c r="F16" s="26"/>
      <c r="G16" s="18"/>
      <c r="H16" s="18"/>
      <c r="I16" s="18"/>
    </row>
    <row r="17" spans="1:9" ht="14.25" customHeight="1" x14ac:dyDescent="0.35">
      <c r="A17" s="26"/>
      <c r="B17" s="26"/>
      <c r="C17" s="46"/>
      <c r="D17" s="44"/>
      <c r="E17" s="26"/>
      <c r="F17" s="26"/>
      <c r="G17" s="18"/>
      <c r="H17" s="18"/>
      <c r="I17" s="18"/>
    </row>
    <row r="18" spans="1:9" ht="14.25" customHeight="1" x14ac:dyDescent="0.35">
      <c r="A18" s="26"/>
      <c r="B18" s="26"/>
      <c r="C18" s="46"/>
      <c r="D18" s="44"/>
      <c r="E18" s="26"/>
      <c r="F18" s="26"/>
      <c r="G18" s="18"/>
      <c r="H18" s="18"/>
      <c r="I18" s="18"/>
    </row>
    <row r="19" spans="1:9" ht="14.25" customHeight="1" x14ac:dyDescent="0.35">
      <c r="A19" s="26"/>
      <c r="B19" s="26"/>
      <c r="C19" s="46"/>
      <c r="D19" s="44"/>
      <c r="E19" s="26"/>
      <c r="F19" s="26"/>
      <c r="G19" s="18"/>
      <c r="H19" s="18"/>
      <c r="I19" s="18"/>
    </row>
    <row r="20" spans="1:9" ht="14.25" customHeight="1" x14ac:dyDescent="0.35">
      <c r="A20" s="26"/>
      <c r="B20" s="26"/>
      <c r="C20" s="46"/>
      <c r="D20" s="44"/>
      <c r="E20" s="26"/>
      <c r="F20" s="26"/>
      <c r="G20" s="18"/>
      <c r="H20" s="18"/>
      <c r="I20" s="18"/>
    </row>
    <row r="21" spans="1:9" ht="14.25" customHeight="1" x14ac:dyDescent="0.35">
      <c r="A21" s="26"/>
      <c r="B21" s="26"/>
      <c r="C21" s="46"/>
      <c r="D21" s="44"/>
      <c r="E21" s="26"/>
      <c r="F21" s="26"/>
      <c r="G21" s="18"/>
      <c r="H21" s="18"/>
      <c r="I21" s="18"/>
    </row>
    <row r="22" spans="1:9" ht="14.25" customHeight="1" x14ac:dyDescent="0.35">
      <c r="A22" s="26"/>
      <c r="B22" s="26"/>
      <c r="C22" s="46"/>
      <c r="D22" s="44"/>
      <c r="E22" s="26"/>
      <c r="F22" s="26"/>
      <c r="G22" s="18"/>
      <c r="H22" s="18"/>
      <c r="I22" s="18"/>
    </row>
    <row r="23" spans="1:9" ht="14.25" customHeight="1" x14ac:dyDescent="0.35">
      <c r="A23" s="26"/>
      <c r="B23" s="26"/>
      <c r="C23" s="46"/>
      <c r="D23" s="44"/>
      <c r="E23" s="26"/>
      <c r="F23" s="26"/>
      <c r="G23" s="18"/>
      <c r="H23" s="18"/>
      <c r="I23" s="18"/>
    </row>
    <row r="24" spans="1:9" ht="14.25" customHeight="1" x14ac:dyDescent="0.35">
      <c r="A24" s="26"/>
      <c r="B24" s="26"/>
      <c r="C24" s="46"/>
      <c r="D24" s="44"/>
      <c r="E24" s="26"/>
      <c r="F24" s="26"/>
      <c r="G24" s="18"/>
      <c r="H24" s="18"/>
      <c r="I24" s="18"/>
    </row>
    <row r="25" spans="1:9" ht="14.25" customHeight="1" x14ac:dyDescent="0.35">
      <c r="A25" s="26"/>
      <c r="B25" s="26"/>
      <c r="C25" s="46"/>
      <c r="D25" s="44"/>
      <c r="E25" s="26"/>
      <c r="F25" s="26"/>
      <c r="G25" s="18"/>
      <c r="H25" s="18"/>
      <c r="I25" s="18"/>
    </row>
    <row r="26" spans="1:9" ht="14.25" customHeight="1" x14ac:dyDescent="0.35">
      <c r="A26" s="26"/>
      <c r="B26" s="26"/>
      <c r="C26" s="46"/>
      <c r="D26" s="44"/>
      <c r="E26" s="26"/>
      <c r="F26" s="26"/>
      <c r="G26" s="18"/>
      <c r="H26" s="18"/>
      <c r="I26" s="18"/>
    </row>
    <row r="27" spans="1:9" ht="14.25" customHeight="1" x14ac:dyDescent="0.35">
      <c r="A27" s="26"/>
      <c r="B27" s="26"/>
      <c r="C27" s="46"/>
      <c r="D27" s="44"/>
      <c r="E27" s="26"/>
      <c r="F27" s="26"/>
      <c r="G27" s="18"/>
      <c r="H27" s="18"/>
      <c r="I27" s="18"/>
    </row>
    <row r="28" spans="1:9" ht="14.25" customHeight="1" x14ac:dyDescent="0.35">
      <c r="A28" s="26"/>
      <c r="B28" s="26"/>
      <c r="C28" s="46"/>
      <c r="D28" s="44"/>
      <c r="E28" s="26"/>
      <c r="F28" s="26"/>
      <c r="G28" s="18"/>
      <c r="H28" s="18"/>
      <c r="I28" s="18"/>
    </row>
    <row r="29" spans="1:9" ht="14.25" customHeight="1" x14ac:dyDescent="0.35">
      <c r="A29" s="26"/>
      <c r="B29" s="26"/>
      <c r="C29" s="46"/>
      <c r="D29" s="44"/>
      <c r="E29" s="26"/>
      <c r="F29" s="26"/>
      <c r="G29" s="18"/>
      <c r="H29" s="18"/>
      <c r="I29" s="18"/>
    </row>
    <row r="30" spans="1:9" ht="14.25" customHeight="1" x14ac:dyDescent="0.35">
      <c r="A30" s="26"/>
      <c r="B30" s="26"/>
      <c r="C30" s="46"/>
      <c r="D30" s="44"/>
      <c r="E30" s="26"/>
      <c r="F30" s="26"/>
      <c r="G30" s="18"/>
      <c r="H30" s="18"/>
      <c r="I30" s="18"/>
    </row>
    <row r="31" spans="1:9" ht="14.25" customHeight="1" x14ac:dyDescent="0.35">
      <c r="A31" s="26"/>
      <c r="B31" s="26"/>
      <c r="C31" s="46"/>
      <c r="D31" s="44"/>
      <c r="E31" s="26"/>
      <c r="F31" s="26"/>
      <c r="G31" s="18"/>
      <c r="H31" s="18"/>
      <c r="I31" s="18"/>
    </row>
    <row r="32" spans="1:9" ht="14.25" customHeight="1" x14ac:dyDescent="0.35">
      <c r="A32" s="26"/>
      <c r="B32" s="26"/>
      <c r="C32" s="46"/>
      <c r="D32" s="44"/>
      <c r="E32" s="26"/>
      <c r="F32" s="26"/>
      <c r="G32" s="18"/>
      <c r="H32" s="18"/>
      <c r="I32" s="18"/>
    </row>
    <row r="33" spans="1:9" ht="14.25" customHeight="1" x14ac:dyDescent="0.35">
      <c r="A33" s="26"/>
      <c r="B33" s="26"/>
      <c r="C33" s="46"/>
      <c r="D33" s="44"/>
      <c r="E33" s="26"/>
      <c r="F33" s="26"/>
      <c r="G33" s="18"/>
      <c r="H33" s="18"/>
      <c r="I33" s="18"/>
    </row>
    <row r="34" spans="1:9" ht="14.25" customHeight="1" x14ac:dyDescent="0.35">
      <c r="A34" s="26"/>
      <c r="B34" s="26"/>
      <c r="C34" s="46"/>
      <c r="D34" s="44"/>
      <c r="E34" s="26"/>
      <c r="F34" s="26"/>
      <c r="G34" s="18"/>
      <c r="H34" s="18"/>
      <c r="I34" s="18"/>
    </row>
    <row r="35" spans="1:9" ht="14.25" customHeight="1" x14ac:dyDescent="0.35">
      <c r="A35" s="26"/>
      <c r="B35" s="26"/>
      <c r="C35" s="46"/>
      <c r="D35" s="44"/>
      <c r="E35" s="26"/>
      <c r="F35" s="26"/>
      <c r="G35" s="18"/>
      <c r="H35" s="18"/>
      <c r="I35" s="18"/>
    </row>
    <row r="36" spans="1:9" ht="14.25" customHeight="1" x14ac:dyDescent="0.35">
      <c r="A36" s="26"/>
      <c r="B36" s="26"/>
      <c r="C36" s="46"/>
      <c r="D36" s="44"/>
      <c r="E36" s="26"/>
      <c r="F36" s="26"/>
      <c r="G36" s="18"/>
      <c r="H36" s="18"/>
      <c r="I36" s="18"/>
    </row>
    <row r="37" spans="1:9" ht="14.25" customHeight="1" x14ac:dyDescent="0.35">
      <c r="A37" s="26"/>
      <c r="B37" s="26"/>
      <c r="C37" s="46"/>
      <c r="D37" s="44"/>
      <c r="E37" s="26"/>
      <c r="F37" s="26"/>
      <c r="G37" s="18"/>
      <c r="H37" s="18"/>
      <c r="I37" s="18"/>
    </row>
    <row r="38" spans="1:9" ht="14.25" customHeight="1" x14ac:dyDescent="0.35">
      <c r="A38" s="26"/>
      <c r="B38" s="26"/>
      <c r="C38" s="46"/>
      <c r="D38" s="44"/>
      <c r="E38" s="26"/>
      <c r="F38" s="26"/>
      <c r="G38" s="18"/>
      <c r="H38" s="18"/>
      <c r="I38" s="18"/>
    </row>
    <row r="39" spans="1:9" ht="14.25" customHeight="1" x14ac:dyDescent="0.35">
      <c r="A39" s="26"/>
      <c r="B39" s="26"/>
      <c r="C39" s="46"/>
      <c r="D39" s="44"/>
      <c r="E39" s="26"/>
      <c r="F39" s="26"/>
      <c r="G39" s="18"/>
      <c r="H39" s="18"/>
      <c r="I39" s="18"/>
    </row>
    <row r="40" spans="1:9" ht="14.25" customHeight="1" x14ac:dyDescent="0.35">
      <c r="A40" s="26"/>
      <c r="B40" s="26"/>
      <c r="C40" s="46"/>
      <c r="D40" s="44"/>
      <c r="E40" s="26"/>
      <c r="F40" s="26"/>
      <c r="G40" s="18"/>
      <c r="H40" s="18"/>
      <c r="I40" s="18"/>
    </row>
    <row r="41" spans="1:9" ht="14.25" customHeight="1" x14ac:dyDescent="0.35">
      <c r="A41" s="26"/>
      <c r="B41" s="26"/>
      <c r="C41" s="46"/>
      <c r="D41" s="44"/>
      <c r="E41" s="26"/>
      <c r="F41" s="26"/>
      <c r="G41" s="18"/>
      <c r="H41" s="18"/>
      <c r="I41" s="18"/>
    </row>
    <row r="42" spans="1:9" ht="14.25" customHeight="1" x14ac:dyDescent="0.35">
      <c r="A42" s="26"/>
      <c r="B42" s="26"/>
      <c r="C42" s="46"/>
      <c r="D42" s="44"/>
      <c r="E42" s="26"/>
      <c r="F42" s="26"/>
      <c r="G42" s="18"/>
      <c r="H42" s="18"/>
      <c r="I42" s="18"/>
    </row>
    <row r="43" spans="1:9" ht="14.25" customHeight="1" x14ac:dyDescent="0.35">
      <c r="A43" s="26"/>
      <c r="B43" s="26"/>
      <c r="C43" s="46"/>
      <c r="D43" s="44"/>
      <c r="E43" s="26"/>
      <c r="F43" s="26"/>
      <c r="G43" s="18"/>
      <c r="H43" s="18"/>
      <c r="I43" s="18"/>
    </row>
    <row r="44" spans="1:9" ht="14.25" customHeight="1" x14ac:dyDescent="0.35">
      <c r="A44" s="26"/>
      <c r="B44" s="26"/>
      <c r="C44" s="46"/>
      <c r="D44" s="44"/>
      <c r="E44" s="26"/>
      <c r="F44" s="26"/>
      <c r="G44" s="18"/>
      <c r="H44" s="18"/>
      <c r="I44" s="18"/>
    </row>
    <row r="45" spans="1:9" ht="14.25" customHeight="1" x14ac:dyDescent="0.35">
      <c r="A45" s="26"/>
      <c r="B45" s="26"/>
      <c r="C45" s="46"/>
      <c r="D45" s="44"/>
      <c r="E45" s="26"/>
      <c r="F45" s="26"/>
      <c r="G45" s="18"/>
      <c r="H45" s="18"/>
      <c r="I45" s="18"/>
    </row>
    <row r="46" spans="1:9" ht="14.25" customHeight="1" x14ac:dyDescent="0.35">
      <c r="A46" s="26"/>
      <c r="B46" s="26"/>
      <c r="C46" s="46"/>
      <c r="D46" s="44"/>
      <c r="E46" s="26"/>
      <c r="F46" s="26"/>
      <c r="G46" s="18"/>
      <c r="H46" s="18"/>
      <c r="I46" s="18"/>
    </row>
    <row r="47" spans="1:9" ht="14.25" customHeight="1" x14ac:dyDescent="0.35">
      <c r="A47" s="26"/>
      <c r="B47" s="26"/>
      <c r="C47" s="46"/>
      <c r="D47" s="44"/>
      <c r="E47" s="26"/>
      <c r="F47" s="26"/>
      <c r="G47" s="18"/>
      <c r="H47" s="18"/>
      <c r="I47" s="18"/>
    </row>
    <row r="48" spans="1:9" ht="14.25" customHeight="1" x14ac:dyDescent="0.35">
      <c r="A48" s="26"/>
      <c r="B48" s="26"/>
      <c r="C48" s="46"/>
      <c r="D48" s="44"/>
      <c r="E48" s="26"/>
      <c r="F48" s="26"/>
      <c r="G48" s="18"/>
      <c r="H48" s="18"/>
      <c r="I48" s="18"/>
    </row>
    <row r="49" spans="1:9" ht="14.25" customHeight="1" x14ac:dyDescent="0.35">
      <c r="A49" s="26"/>
      <c r="B49" s="26"/>
      <c r="C49" s="46"/>
      <c r="D49" s="44"/>
      <c r="E49" s="26"/>
      <c r="F49" s="26"/>
      <c r="G49" s="18"/>
      <c r="H49" s="18"/>
      <c r="I49" s="18"/>
    </row>
    <row r="50" spans="1:9" ht="14.25" customHeight="1" x14ac:dyDescent="0.35">
      <c r="A50" s="26"/>
      <c r="B50" s="26"/>
      <c r="C50" s="46"/>
      <c r="D50" s="44"/>
      <c r="E50" s="26"/>
      <c r="F50" s="26"/>
      <c r="G50" s="18"/>
      <c r="H50" s="18"/>
      <c r="I50" s="18"/>
    </row>
    <row r="51" spans="1:9" ht="14.25" customHeight="1" x14ac:dyDescent="0.35">
      <c r="A51" s="26"/>
      <c r="B51" s="26"/>
      <c r="C51" s="46"/>
      <c r="D51" s="44"/>
      <c r="E51" s="26"/>
      <c r="F51" s="26"/>
      <c r="G51" s="18"/>
      <c r="H51" s="18"/>
      <c r="I51" s="18"/>
    </row>
    <row r="52" spans="1:9" ht="14.25" customHeight="1" x14ac:dyDescent="0.35">
      <c r="A52" s="26"/>
      <c r="B52" s="26"/>
      <c r="C52" s="46"/>
      <c r="D52" s="44"/>
      <c r="E52" s="26"/>
      <c r="F52" s="26"/>
      <c r="G52" s="18"/>
      <c r="H52" s="18"/>
      <c r="I52" s="18"/>
    </row>
    <row r="53" spans="1:9" ht="14.25" customHeight="1" x14ac:dyDescent="0.35">
      <c r="A53" s="26"/>
      <c r="B53" s="26"/>
      <c r="C53" s="46"/>
      <c r="D53" s="44"/>
      <c r="E53" s="26"/>
      <c r="F53" s="26"/>
      <c r="G53" s="18"/>
      <c r="H53" s="18"/>
      <c r="I53" s="18"/>
    </row>
    <row r="54" spans="1:9" ht="14.25" customHeight="1" x14ac:dyDescent="0.35">
      <c r="A54" s="26"/>
      <c r="B54" s="26"/>
      <c r="C54" s="46"/>
      <c r="D54" s="44"/>
      <c r="E54" s="26"/>
      <c r="F54" s="26"/>
      <c r="G54" s="18"/>
      <c r="H54" s="18"/>
      <c r="I54" s="18"/>
    </row>
    <row r="55" spans="1:9" ht="14.25" customHeight="1" x14ac:dyDescent="0.35">
      <c r="A55" s="26"/>
      <c r="B55" s="26"/>
      <c r="C55" s="46"/>
      <c r="D55" s="44"/>
      <c r="E55" s="26"/>
      <c r="F55" s="26"/>
      <c r="G55" s="18"/>
      <c r="H55" s="18"/>
      <c r="I55" s="18"/>
    </row>
    <row r="56" spans="1:9" ht="14.25" customHeight="1" x14ac:dyDescent="0.35">
      <c r="A56" s="26"/>
      <c r="B56" s="26"/>
      <c r="C56" s="46"/>
      <c r="D56" s="44"/>
      <c r="E56" s="26"/>
      <c r="F56" s="26"/>
      <c r="G56" s="18"/>
      <c r="H56" s="18"/>
      <c r="I56" s="18"/>
    </row>
    <row r="57" spans="1:9" ht="14.25" customHeight="1" x14ac:dyDescent="0.35">
      <c r="A57" s="26"/>
      <c r="B57" s="26"/>
      <c r="C57" s="46"/>
      <c r="D57" s="44"/>
      <c r="E57" s="26"/>
      <c r="F57" s="26"/>
      <c r="G57" s="18"/>
      <c r="H57" s="18"/>
      <c r="I57" s="18"/>
    </row>
    <row r="58" spans="1:9" ht="14.25" customHeight="1" x14ac:dyDescent="0.35">
      <c r="A58" s="26"/>
      <c r="B58" s="26"/>
      <c r="C58" s="46"/>
      <c r="D58" s="44"/>
      <c r="E58" s="26"/>
      <c r="F58" s="26"/>
      <c r="G58" s="18"/>
      <c r="H58" s="18"/>
      <c r="I58" s="18"/>
    </row>
    <row r="59" spans="1:9" ht="14.25" customHeight="1" x14ac:dyDescent="0.35">
      <c r="A59" s="26"/>
      <c r="B59" s="26"/>
      <c r="C59" s="46"/>
      <c r="D59" s="44"/>
      <c r="E59" s="26"/>
      <c r="F59" s="26"/>
      <c r="G59" s="18"/>
      <c r="H59" s="18"/>
      <c r="I59" s="18"/>
    </row>
    <row r="60" spans="1:9" ht="14.25" customHeight="1" x14ac:dyDescent="0.35">
      <c r="A60" s="26"/>
      <c r="B60" s="26"/>
      <c r="C60" s="46"/>
      <c r="D60" s="44"/>
      <c r="E60" s="26"/>
      <c r="F60" s="26"/>
      <c r="G60" s="18"/>
      <c r="H60" s="18"/>
      <c r="I60" s="18"/>
    </row>
    <row r="61" spans="1:9" ht="14.25" customHeight="1" x14ac:dyDescent="0.35">
      <c r="A61" s="26"/>
      <c r="B61" s="26"/>
      <c r="C61" s="46"/>
      <c r="D61" s="44"/>
      <c r="E61" s="26"/>
      <c r="F61" s="26"/>
      <c r="G61" s="18"/>
      <c r="H61" s="18"/>
      <c r="I61" s="18"/>
    </row>
    <row r="62" spans="1:9" ht="14.25" customHeight="1" x14ac:dyDescent="0.35">
      <c r="A62" s="26"/>
      <c r="B62" s="26"/>
      <c r="C62" s="46"/>
      <c r="D62" s="44"/>
      <c r="E62" s="26"/>
      <c r="F62" s="26"/>
      <c r="G62" s="18"/>
      <c r="H62" s="18"/>
      <c r="I62" s="18"/>
    </row>
    <row r="63" spans="1:9" ht="14.25" customHeight="1" x14ac:dyDescent="0.35">
      <c r="A63" s="26"/>
      <c r="B63" s="26"/>
      <c r="C63" s="46"/>
      <c r="D63" s="44"/>
      <c r="E63" s="26"/>
      <c r="F63" s="26"/>
      <c r="G63" s="18"/>
      <c r="H63" s="18"/>
      <c r="I63" s="18"/>
    </row>
    <row r="64" spans="1:9" ht="14.25" customHeight="1" x14ac:dyDescent="0.35">
      <c r="A64" s="26"/>
      <c r="B64" s="26"/>
      <c r="C64" s="46"/>
      <c r="D64" s="44"/>
      <c r="E64" s="26"/>
      <c r="F64" s="26"/>
      <c r="G64" s="18"/>
      <c r="H64" s="18"/>
      <c r="I64" s="18"/>
    </row>
    <row r="65" spans="1:9" ht="14.25" customHeight="1" x14ac:dyDescent="0.35">
      <c r="A65" s="26"/>
      <c r="B65" s="26"/>
      <c r="C65" s="46"/>
      <c r="D65" s="44"/>
      <c r="E65" s="26"/>
      <c r="F65" s="26"/>
      <c r="G65" s="18"/>
      <c r="H65" s="18"/>
      <c r="I65" s="18"/>
    </row>
    <row r="66" spans="1:9" ht="14.25" customHeight="1" x14ac:dyDescent="0.35">
      <c r="A66" s="26"/>
      <c r="B66" s="26"/>
      <c r="C66" s="46"/>
      <c r="D66" s="44"/>
      <c r="E66" s="26"/>
      <c r="F66" s="26"/>
      <c r="G66" s="18"/>
      <c r="H66" s="18"/>
      <c r="I66" s="18"/>
    </row>
    <row r="67" spans="1:9" ht="14.25" customHeight="1" x14ac:dyDescent="0.35">
      <c r="A67" s="26"/>
      <c r="B67" s="26"/>
      <c r="C67" s="46"/>
      <c r="D67" s="44"/>
      <c r="E67" s="26"/>
      <c r="F67" s="26"/>
      <c r="G67" s="18"/>
      <c r="H67" s="18"/>
      <c r="I67" s="18"/>
    </row>
    <row r="68" spans="1:9" ht="14.25" customHeight="1" x14ac:dyDescent="0.35">
      <c r="A68" s="26"/>
      <c r="B68" s="26"/>
      <c r="C68" s="46"/>
      <c r="D68" s="44"/>
      <c r="E68" s="26"/>
      <c r="F68" s="26"/>
      <c r="G68" s="18"/>
      <c r="H68" s="18"/>
      <c r="I68" s="18"/>
    </row>
    <row r="69" spans="1:9" ht="14.25" customHeight="1" x14ac:dyDescent="0.35">
      <c r="A69" s="26"/>
      <c r="B69" s="26"/>
      <c r="C69" s="46"/>
      <c r="D69" s="44"/>
      <c r="E69" s="26"/>
      <c r="F69" s="26"/>
      <c r="G69" s="18"/>
      <c r="H69" s="18"/>
      <c r="I69" s="18"/>
    </row>
    <row r="70" spans="1:9" ht="14.25" customHeight="1" x14ac:dyDescent="0.35">
      <c r="A70" s="26"/>
      <c r="B70" s="26"/>
      <c r="C70" s="46"/>
      <c r="D70" s="44"/>
      <c r="E70" s="26"/>
      <c r="F70" s="26"/>
      <c r="G70" s="18"/>
      <c r="H70" s="18"/>
      <c r="I70" s="18"/>
    </row>
    <row r="71" spans="1:9" ht="14.25" customHeight="1" x14ac:dyDescent="0.35">
      <c r="A71" s="26"/>
      <c r="B71" s="26"/>
      <c r="C71" s="46"/>
      <c r="D71" s="44"/>
      <c r="E71" s="26"/>
      <c r="F71" s="26"/>
      <c r="G71" s="18"/>
      <c r="H71" s="18"/>
      <c r="I71" s="18"/>
    </row>
    <row r="72" spans="1:9" ht="14.25" customHeight="1" x14ac:dyDescent="0.35">
      <c r="A72" s="26"/>
      <c r="B72" s="26"/>
      <c r="C72" s="46"/>
      <c r="D72" s="44"/>
      <c r="E72" s="26"/>
      <c r="F72" s="26"/>
      <c r="G72" s="18"/>
      <c r="H72" s="18"/>
      <c r="I72" s="18"/>
    </row>
    <row r="73" spans="1:9" ht="14.25" customHeight="1" x14ac:dyDescent="0.35">
      <c r="A73" s="26"/>
      <c r="B73" s="26"/>
      <c r="C73" s="46"/>
      <c r="D73" s="44"/>
      <c r="E73" s="26"/>
      <c r="F73" s="26"/>
      <c r="G73" s="18"/>
      <c r="H73" s="18"/>
      <c r="I73" s="18"/>
    </row>
    <row r="74" spans="1:9" ht="14.25" customHeight="1" x14ac:dyDescent="0.35">
      <c r="A74" s="26"/>
      <c r="B74" s="26"/>
      <c r="C74" s="46"/>
      <c r="D74" s="44"/>
      <c r="E74" s="26"/>
      <c r="F74" s="26"/>
      <c r="G74" s="18"/>
      <c r="H74" s="18"/>
      <c r="I74" s="18"/>
    </row>
    <row r="75" spans="1:9" ht="14.25" customHeight="1" x14ac:dyDescent="0.35">
      <c r="A75" s="26"/>
      <c r="B75" s="26"/>
      <c r="C75" s="46"/>
      <c r="D75" s="44"/>
      <c r="E75" s="26"/>
      <c r="F75" s="26"/>
      <c r="G75" s="18"/>
      <c r="H75" s="18"/>
      <c r="I75" s="18"/>
    </row>
    <row r="76" spans="1:9" ht="14.25" customHeight="1" x14ac:dyDescent="0.35">
      <c r="A76" s="26"/>
      <c r="B76" s="26"/>
      <c r="C76" s="46"/>
      <c r="D76" s="44"/>
      <c r="E76" s="26"/>
      <c r="F76" s="26"/>
      <c r="G76" s="18"/>
      <c r="H76" s="18"/>
      <c r="I76" s="18"/>
    </row>
    <row r="77" spans="1:9" ht="14.25" customHeight="1" x14ac:dyDescent="0.35">
      <c r="A77" s="26"/>
      <c r="B77" s="26"/>
      <c r="C77" s="46"/>
      <c r="D77" s="44"/>
      <c r="E77" s="26"/>
      <c r="F77" s="26"/>
      <c r="G77" s="18"/>
      <c r="H77" s="18"/>
      <c r="I77" s="18"/>
    </row>
    <row r="78" spans="1:9" ht="14.25" customHeight="1" x14ac:dyDescent="0.35">
      <c r="A78" s="26"/>
      <c r="B78" s="26"/>
      <c r="C78" s="46"/>
      <c r="D78" s="44"/>
      <c r="E78" s="26"/>
      <c r="F78" s="26"/>
      <c r="G78" s="18"/>
      <c r="H78" s="18"/>
      <c r="I78" s="18"/>
    </row>
    <row r="79" spans="1:9" ht="14.25" customHeight="1" x14ac:dyDescent="0.35">
      <c r="A79" s="26"/>
      <c r="B79" s="26"/>
      <c r="C79" s="46"/>
      <c r="D79" s="44"/>
      <c r="E79" s="26"/>
      <c r="F79" s="26"/>
      <c r="G79" s="18"/>
      <c r="H79" s="18"/>
      <c r="I79" s="18"/>
    </row>
    <row r="80" spans="1:9" ht="14.25" customHeight="1" x14ac:dyDescent="0.35">
      <c r="A80" s="26"/>
      <c r="B80" s="26"/>
      <c r="C80" s="46"/>
      <c r="D80" s="44"/>
      <c r="E80" s="26"/>
      <c r="F80" s="26"/>
      <c r="G80" s="18"/>
      <c r="H80" s="18"/>
      <c r="I80" s="18"/>
    </row>
    <row r="81" spans="1:9" ht="14.25" customHeight="1" x14ac:dyDescent="0.35">
      <c r="A81" s="26"/>
      <c r="B81" s="26"/>
      <c r="C81" s="46"/>
      <c r="D81" s="44"/>
      <c r="E81" s="26"/>
      <c r="F81" s="26"/>
      <c r="G81" s="18"/>
      <c r="H81" s="18"/>
      <c r="I81" s="18"/>
    </row>
    <row r="82" spans="1:9" ht="14.25" customHeight="1" x14ac:dyDescent="0.35">
      <c r="A82" s="26"/>
      <c r="B82" s="26"/>
      <c r="C82" s="46"/>
      <c r="D82" s="44"/>
      <c r="E82" s="26"/>
      <c r="F82" s="26"/>
      <c r="G82" s="18"/>
      <c r="H82" s="18"/>
      <c r="I82" s="18"/>
    </row>
    <row r="83" spans="1:9" ht="14.25" customHeight="1" x14ac:dyDescent="0.35">
      <c r="A83" s="26"/>
      <c r="B83" s="26"/>
      <c r="C83" s="46"/>
      <c r="D83" s="44"/>
      <c r="E83" s="26"/>
      <c r="F83" s="26"/>
      <c r="G83" s="18"/>
      <c r="H83" s="18"/>
      <c r="I83" s="18"/>
    </row>
    <row r="84" spans="1:9" ht="14.25" customHeight="1" x14ac:dyDescent="0.35">
      <c r="A84" s="26"/>
      <c r="B84" s="26"/>
      <c r="C84" s="46"/>
      <c r="D84" s="44"/>
      <c r="E84" s="26"/>
      <c r="F84" s="26"/>
      <c r="G84" s="18"/>
      <c r="H84" s="18"/>
      <c r="I84" s="18"/>
    </row>
    <row r="85" spans="1:9" ht="14.25" customHeight="1" x14ac:dyDescent="0.35">
      <c r="A85" s="26"/>
      <c r="B85" s="26"/>
      <c r="C85" s="46"/>
      <c r="D85" s="44"/>
      <c r="E85" s="26"/>
      <c r="F85" s="26"/>
      <c r="G85" s="18"/>
      <c r="H85" s="18"/>
      <c r="I85" s="18"/>
    </row>
    <row r="86" spans="1:9" ht="14.25" customHeight="1" x14ac:dyDescent="0.35">
      <c r="A86" s="26"/>
      <c r="B86" s="26"/>
      <c r="C86" s="46"/>
      <c r="D86" s="44"/>
      <c r="E86" s="26"/>
      <c r="F86" s="26"/>
      <c r="G86" s="18"/>
      <c r="H86" s="18"/>
      <c r="I86" s="18"/>
    </row>
    <row r="87" spans="1:9" ht="14.25" customHeight="1" x14ac:dyDescent="0.35">
      <c r="A87" s="26"/>
      <c r="B87" s="26"/>
      <c r="C87" s="46"/>
      <c r="D87" s="44"/>
      <c r="E87" s="26"/>
      <c r="F87" s="26"/>
      <c r="G87" s="18"/>
      <c r="H87" s="18"/>
      <c r="I87" s="18"/>
    </row>
    <row r="88" spans="1:9" ht="14.25" customHeight="1" x14ac:dyDescent="0.35">
      <c r="A88" s="26"/>
      <c r="B88" s="26"/>
      <c r="C88" s="46"/>
      <c r="D88" s="44"/>
      <c r="E88" s="26"/>
      <c r="F88" s="26"/>
      <c r="G88" s="18"/>
      <c r="H88" s="18"/>
      <c r="I88" s="18"/>
    </row>
    <row r="89" spans="1:9" ht="14.25" customHeight="1" x14ac:dyDescent="0.35">
      <c r="A89" s="26"/>
      <c r="B89" s="26"/>
      <c r="C89" s="46"/>
      <c r="D89" s="44"/>
      <c r="E89" s="26"/>
      <c r="F89" s="26"/>
      <c r="G89" s="18"/>
      <c r="H89" s="18"/>
      <c r="I89" s="18"/>
    </row>
    <row r="90" spans="1:9" ht="14.25" customHeight="1" x14ac:dyDescent="0.35">
      <c r="A90" s="26"/>
      <c r="B90" s="26"/>
      <c r="C90" s="46"/>
      <c r="D90" s="44"/>
      <c r="E90" s="26"/>
      <c r="F90" s="26"/>
      <c r="G90" s="18"/>
      <c r="H90" s="18"/>
      <c r="I90" s="18"/>
    </row>
    <row r="91" spans="1:9" ht="14.25" customHeight="1" x14ac:dyDescent="0.35">
      <c r="A91" s="26"/>
      <c r="B91" s="26"/>
      <c r="C91" s="46"/>
      <c r="D91" s="44"/>
      <c r="E91" s="26"/>
      <c r="F91" s="26"/>
      <c r="G91" s="18"/>
      <c r="H91" s="18"/>
      <c r="I91" s="18"/>
    </row>
    <row r="92" spans="1:9" ht="14.25" customHeight="1" x14ac:dyDescent="0.35">
      <c r="A92" s="26"/>
      <c r="B92" s="26"/>
      <c r="C92" s="46"/>
      <c r="D92" s="44"/>
      <c r="E92" s="26"/>
      <c r="F92" s="26"/>
      <c r="G92" s="18"/>
      <c r="H92" s="18"/>
      <c r="I92" s="18"/>
    </row>
    <row r="93" spans="1:9" ht="14.25" customHeight="1" x14ac:dyDescent="0.35">
      <c r="A93" s="26"/>
      <c r="B93" s="26"/>
      <c r="C93" s="46"/>
      <c r="D93" s="44"/>
      <c r="E93" s="26"/>
      <c r="F93" s="26"/>
      <c r="G93" s="18"/>
      <c r="H93" s="18"/>
      <c r="I93" s="18"/>
    </row>
    <row r="94" spans="1:9" ht="14.25" customHeight="1" x14ac:dyDescent="0.35">
      <c r="A94" s="26"/>
      <c r="B94" s="26"/>
      <c r="C94" s="46"/>
      <c r="D94" s="44"/>
      <c r="E94" s="26"/>
      <c r="F94" s="26"/>
      <c r="G94" s="18"/>
      <c r="H94" s="18"/>
      <c r="I94" s="18"/>
    </row>
    <row r="95" spans="1:9" ht="14.25" customHeight="1" x14ac:dyDescent="0.35">
      <c r="A95" s="26"/>
      <c r="B95" s="26"/>
      <c r="C95" s="46"/>
      <c r="D95" s="44"/>
      <c r="E95" s="26"/>
      <c r="F95" s="26"/>
      <c r="G95" s="18"/>
      <c r="H95" s="18"/>
      <c r="I95" s="18"/>
    </row>
    <row r="96" spans="1:9" ht="14.25" customHeight="1" x14ac:dyDescent="0.35">
      <c r="A96" s="26"/>
      <c r="B96" s="26"/>
      <c r="C96" s="46"/>
      <c r="D96" s="44"/>
      <c r="E96" s="26"/>
      <c r="F96" s="26"/>
      <c r="G96" s="18"/>
      <c r="H96" s="18"/>
      <c r="I96" s="18"/>
    </row>
    <row r="97" spans="1:9" ht="14.25" customHeight="1" x14ac:dyDescent="0.35">
      <c r="A97" s="26"/>
      <c r="B97" s="26"/>
      <c r="C97" s="46"/>
      <c r="D97" s="44"/>
      <c r="E97" s="26"/>
      <c r="F97" s="26"/>
      <c r="G97" s="18"/>
      <c r="H97" s="18"/>
      <c r="I97" s="18"/>
    </row>
    <row r="98" spans="1:9" ht="14.25" customHeight="1" x14ac:dyDescent="0.35">
      <c r="A98" s="26"/>
      <c r="B98" s="26"/>
      <c r="C98" s="46"/>
      <c r="D98" s="44"/>
      <c r="E98" s="26"/>
      <c r="F98" s="26"/>
      <c r="G98" s="18"/>
      <c r="H98" s="18"/>
      <c r="I98" s="18"/>
    </row>
    <row r="99" spans="1:9" ht="14.25" customHeight="1" x14ac:dyDescent="0.35">
      <c r="A99" s="26"/>
      <c r="B99" s="26"/>
      <c r="C99" s="46"/>
      <c r="D99" s="44"/>
      <c r="E99" s="26"/>
      <c r="F99" s="26"/>
      <c r="G99" s="18"/>
      <c r="H99" s="18"/>
      <c r="I99" s="18"/>
    </row>
    <row r="100" spans="1:9" ht="14.25" customHeight="1" x14ac:dyDescent="0.35">
      <c r="A100" s="26"/>
      <c r="B100" s="26"/>
      <c r="C100" s="46"/>
      <c r="D100" s="44"/>
      <c r="E100" s="26"/>
      <c r="F100" s="26"/>
      <c r="G100" s="18"/>
      <c r="H100" s="18"/>
      <c r="I100" s="18"/>
    </row>
    <row r="101" spans="1:9" ht="14.25" customHeight="1" x14ac:dyDescent="0.35">
      <c r="A101" s="26"/>
      <c r="B101" s="26"/>
      <c r="C101" s="46"/>
      <c r="D101" s="44"/>
      <c r="E101" s="26"/>
      <c r="F101" s="26"/>
      <c r="G101" s="18"/>
      <c r="H101" s="18"/>
      <c r="I101" s="18"/>
    </row>
    <row r="102" spans="1:9" ht="14.25" customHeight="1" x14ac:dyDescent="0.35">
      <c r="A102" s="26"/>
      <c r="B102" s="26"/>
      <c r="C102" s="46"/>
      <c r="D102" s="44"/>
      <c r="E102" s="26"/>
      <c r="F102" s="26"/>
      <c r="G102" s="18"/>
      <c r="H102" s="18"/>
      <c r="I102" s="18"/>
    </row>
    <row r="103" spans="1:9" ht="14.25" customHeight="1" x14ac:dyDescent="0.35">
      <c r="A103" s="26"/>
      <c r="B103" s="26"/>
      <c r="C103" s="46"/>
      <c r="D103" s="44"/>
      <c r="E103" s="26"/>
      <c r="F103" s="26"/>
      <c r="G103" s="18"/>
      <c r="H103" s="18"/>
      <c r="I103" s="18"/>
    </row>
    <row r="104" spans="1:9" ht="14.25" customHeight="1" x14ac:dyDescent="0.35">
      <c r="A104" s="26"/>
      <c r="B104" s="26"/>
      <c r="C104" s="46"/>
      <c r="D104" s="44"/>
      <c r="E104" s="26"/>
      <c r="F104" s="26"/>
      <c r="G104" s="18"/>
      <c r="H104" s="18"/>
      <c r="I104" s="18"/>
    </row>
    <row r="105" spans="1:9" ht="14.25" customHeight="1" x14ac:dyDescent="0.35">
      <c r="A105" s="26"/>
      <c r="B105" s="26"/>
      <c r="C105" s="46"/>
      <c r="D105" s="44"/>
      <c r="E105" s="26"/>
      <c r="F105" s="26"/>
      <c r="G105" s="18"/>
      <c r="H105" s="18"/>
      <c r="I105" s="18"/>
    </row>
    <row r="106" spans="1:9" ht="14.25" customHeight="1" x14ac:dyDescent="0.35">
      <c r="A106" s="26"/>
      <c r="B106" s="26"/>
      <c r="C106" s="46"/>
      <c r="D106" s="44"/>
      <c r="E106" s="26"/>
      <c r="F106" s="26"/>
      <c r="G106" s="18"/>
      <c r="H106" s="18"/>
      <c r="I106" s="18"/>
    </row>
    <row r="107" spans="1:9" ht="14.25" customHeight="1" x14ac:dyDescent="0.35">
      <c r="A107" s="26"/>
      <c r="B107" s="26"/>
      <c r="C107" s="46"/>
      <c r="D107" s="44"/>
      <c r="E107" s="26"/>
      <c r="F107" s="26"/>
      <c r="G107" s="18"/>
      <c r="H107" s="18"/>
      <c r="I107" s="18"/>
    </row>
    <row r="108" spans="1:9" ht="14.25" customHeight="1" x14ac:dyDescent="0.35">
      <c r="A108" s="26"/>
      <c r="B108" s="26"/>
      <c r="C108" s="46"/>
      <c r="D108" s="44"/>
      <c r="E108" s="26"/>
      <c r="F108" s="26"/>
      <c r="G108" s="18"/>
      <c r="H108" s="18"/>
      <c r="I108" s="18"/>
    </row>
    <row r="109" spans="1:9" ht="14.25" customHeight="1" x14ac:dyDescent="0.35">
      <c r="A109" s="26"/>
      <c r="B109" s="26"/>
      <c r="C109" s="46"/>
      <c r="D109" s="44"/>
      <c r="E109" s="26"/>
      <c r="F109" s="26"/>
      <c r="G109" s="18"/>
      <c r="H109" s="18"/>
      <c r="I109" s="18"/>
    </row>
    <row r="110" spans="1:9" ht="14.25" customHeight="1" x14ac:dyDescent="0.35">
      <c r="A110" s="26"/>
      <c r="B110" s="26"/>
      <c r="C110" s="46"/>
      <c r="D110" s="44"/>
      <c r="E110" s="26"/>
      <c r="F110" s="26"/>
      <c r="G110" s="18"/>
      <c r="H110" s="18"/>
      <c r="I110" s="18"/>
    </row>
    <row r="111" spans="1:9" ht="14.25" customHeight="1" x14ac:dyDescent="0.35">
      <c r="A111" s="26"/>
      <c r="B111" s="26"/>
      <c r="C111" s="46"/>
      <c r="D111" s="44"/>
      <c r="E111" s="26"/>
      <c r="F111" s="26"/>
      <c r="G111" s="18"/>
      <c r="H111" s="18"/>
      <c r="I111" s="18"/>
    </row>
    <row r="112" spans="1:9" ht="14.25" customHeight="1" x14ac:dyDescent="0.35">
      <c r="A112" s="26"/>
      <c r="B112" s="26"/>
      <c r="C112" s="46"/>
      <c r="D112" s="44"/>
      <c r="E112" s="26"/>
      <c r="F112" s="26"/>
      <c r="G112" s="18"/>
      <c r="H112" s="18"/>
      <c r="I112" s="18"/>
    </row>
    <row r="113" spans="1:9" ht="14.25" customHeight="1" x14ac:dyDescent="0.35">
      <c r="A113" s="26"/>
      <c r="B113" s="26"/>
      <c r="C113" s="46"/>
      <c r="D113" s="44"/>
      <c r="E113" s="26"/>
      <c r="F113" s="26"/>
      <c r="G113" s="18"/>
      <c r="H113" s="18"/>
      <c r="I113" s="18"/>
    </row>
    <row r="114" spans="1:9" ht="14.25" customHeight="1" x14ac:dyDescent="0.35">
      <c r="A114" s="26"/>
      <c r="B114" s="26"/>
      <c r="C114" s="46"/>
      <c r="D114" s="44"/>
      <c r="E114" s="26"/>
      <c r="F114" s="26"/>
      <c r="G114" s="18"/>
      <c r="H114" s="18"/>
      <c r="I114" s="18"/>
    </row>
    <row r="115" spans="1:9" ht="14.25" customHeight="1" x14ac:dyDescent="0.35">
      <c r="A115" s="26"/>
      <c r="B115" s="26"/>
      <c r="C115" s="46"/>
      <c r="D115" s="44"/>
      <c r="E115" s="26"/>
      <c r="F115" s="26"/>
      <c r="G115" s="18"/>
      <c r="H115" s="18"/>
      <c r="I115" s="18"/>
    </row>
    <row r="116" spans="1:9" ht="14.25" customHeight="1" x14ac:dyDescent="0.35">
      <c r="A116" s="26"/>
      <c r="B116" s="26"/>
      <c r="C116" s="46"/>
      <c r="D116" s="44"/>
      <c r="E116" s="26"/>
      <c r="F116" s="26"/>
      <c r="G116" s="18"/>
      <c r="H116" s="18"/>
      <c r="I116" s="18"/>
    </row>
    <row r="117" spans="1:9" ht="14.25" customHeight="1" x14ac:dyDescent="0.35">
      <c r="A117" s="26"/>
      <c r="B117" s="26"/>
      <c r="C117" s="46"/>
      <c r="D117" s="44"/>
      <c r="E117" s="26"/>
      <c r="F117" s="26"/>
      <c r="G117" s="18"/>
      <c r="H117" s="18"/>
      <c r="I117" s="18"/>
    </row>
    <row r="118" spans="1:9" ht="14.25" customHeight="1" x14ac:dyDescent="0.35">
      <c r="A118" s="26"/>
      <c r="B118" s="26"/>
      <c r="C118" s="46"/>
      <c r="D118" s="44"/>
      <c r="E118" s="26"/>
      <c r="F118" s="26"/>
      <c r="G118" s="18"/>
      <c r="H118" s="18"/>
      <c r="I118" s="18"/>
    </row>
    <row r="119" spans="1:9" ht="14.25" customHeight="1" x14ac:dyDescent="0.35">
      <c r="A119" s="26"/>
      <c r="B119" s="26"/>
      <c r="C119" s="46"/>
      <c r="D119" s="44"/>
      <c r="E119" s="26"/>
      <c r="F119" s="26"/>
      <c r="G119" s="18"/>
      <c r="H119" s="18"/>
      <c r="I119" s="18"/>
    </row>
    <row r="120" spans="1:9" ht="14.25" customHeight="1" x14ac:dyDescent="0.35">
      <c r="A120" s="26"/>
      <c r="B120" s="26"/>
      <c r="C120" s="46"/>
      <c r="D120" s="44"/>
      <c r="E120" s="26"/>
      <c r="F120" s="26"/>
      <c r="G120" s="18"/>
      <c r="H120" s="18"/>
      <c r="I120" s="18"/>
    </row>
    <row r="121" spans="1:9" ht="14.25" customHeight="1" x14ac:dyDescent="0.35">
      <c r="A121" s="26"/>
      <c r="B121" s="26"/>
      <c r="C121" s="46"/>
      <c r="D121" s="44"/>
      <c r="E121" s="26"/>
      <c r="F121" s="26"/>
      <c r="G121" s="18"/>
      <c r="H121" s="18"/>
      <c r="I121" s="18"/>
    </row>
    <row r="122" spans="1:9" ht="14.25" customHeight="1" x14ac:dyDescent="0.35">
      <c r="A122" s="26"/>
      <c r="B122" s="26"/>
      <c r="C122" s="46"/>
      <c r="D122" s="44"/>
      <c r="E122" s="26"/>
      <c r="F122" s="26"/>
      <c r="G122" s="18"/>
      <c r="H122" s="18"/>
      <c r="I122" s="18"/>
    </row>
    <row r="123" spans="1:9" ht="14.25" customHeight="1" x14ac:dyDescent="0.35">
      <c r="A123" s="26"/>
      <c r="B123" s="26"/>
      <c r="C123" s="46"/>
      <c r="D123" s="44"/>
      <c r="E123" s="26"/>
      <c r="F123" s="26"/>
      <c r="G123" s="18"/>
      <c r="H123" s="18"/>
      <c r="I123" s="18"/>
    </row>
    <row r="124" spans="1:9" ht="14.25" customHeight="1" x14ac:dyDescent="0.35">
      <c r="A124" s="26"/>
      <c r="B124" s="26"/>
      <c r="C124" s="46"/>
      <c r="D124" s="44"/>
      <c r="E124" s="26"/>
      <c r="F124" s="26"/>
      <c r="G124" s="18"/>
      <c r="H124" s="18"/>
      <c r="I124" s="18"/>
    </row>
    <row r="125" spans="1:9" ht="14.25" customHeight="1" x14ac:dyDescent="0.35">
      <c r="A125" s="26"/>
      <c r="B125" s="26"/>
      <c r="C125" s="46"/>
      <c r="D125" s="44"/>
      <c r="E125" s="26"/>
      <c r="F125" s="26"/>
      <c r="G125" s="18"/>
      <c r="H125" s="18"/>
      <c r="I125" s="18"/>
    </row>
    <row r="126" spans="1:9" ht="14.25" customHeight="1" x14ac:dyDescent="0.35">
      <c r="A126" s="26"/>
      <c r="B126" s="26"/>
      <c r="C126" s="46"/>
      <c r="D126" s="44"/>
      <c r="E126" s="26"/>
      <c r="F126" s="26"/>
      <c r="G126" s="18"/>
      <c r="H126" s="18"/>
      <c r="I126" s="18"/>
    </row>
    <row r="127" spans="1:9" ht="14.25" customHeight="1" x14ac:dyDescent="0.35">
      <c r="A127" s="26"/>
      <c r="B127" s="26"/>
      <c r="C127" s="46"/>
      <c r="D127" s="44"/>
      <c r="E127" s="26"/>
      <c r="F127" s="26"/>
      <c r="G127" s="18"/>
      <c r="H127" s="18"/>
      <c r="I127" s="18"/>
    </row>
    <row r="128" spans="1:9" ht="14.25" customHeight="1" x14ac:dyDescent="0.35">
      <c r="A128" s="26"/>
      <c r="B128" s="26"/>
      <c r="C128" s="46"/>
      <c r="D128" s="44"/>
      <c r="E128" s="26"/>
      <c r="F128" s="26"/>
      <c r="G128" s="18"/>
      <c r="H128" s="18"/>
      <c r="I128" s="18"/>
    </row>
    <row r="129" spans="1:9" ht="14.25" customHeight="1" x14ac:dyDescent="0.35">
      <c r="A129" s="26"/>
      <c r="B129" s="26"/>
      <c r="C129" s="46"/>
      <c r="D129" s="44"/>
      <c r="E129" s="26"/>
      <c r="F129" s="26"/>
      <c r="G129" s="18"/>
      <c r="H129" s="18"/>
      <c r="I129" s="18"/>
    </row>
    <row r="130" spans="1:9" ht="14.25" customHeight="1" x14ac:dyDescent="0.35">
      <c r="A130" s="26"/>
      <c r="B130" s="26"/>
      <c r="C130" s="46"/>
      <c r="D130" s="44"/>
      <c r="E130" s="26"/>
      <c r="F130" s="26"/>
      <c r="G130" s="18"/>
      <c r="H130" s="18"/>
      <c r="I130" s="18"/>
    </row>
    <row r="131" spans="1:9" ht="14.25" customHeight="1" x14ac:dyDescent="0.35">
      <c r="A131" s="26"/>
      <c r="B131" s="26"/>
      <c r="C131" s="46"/>
      <c r="D131" s="44"/>
      <c r="E131" s="26"/>
      <c r="F131" s="26"/>
      <c r="G131" s="18"/>
      <c r="H131" s="18"/>
      <c r="I131" s="18"/>
    </row>
    <row r="132" spans="1:9" ht="14.25" customHeight="1" x14ac:dyDescent="0.35">
      <c r="A132" s="26"/>
      <c r="B132" s="26"/>
      <c r="C132" s="46"/>
      <c r="D132" s="44"/>
      <c r="E132" s="26"/>
      <c r="F132" s="26"/>
      <c r="G132" s="18"/>
      <c r="H132" s="18"/>
      <c r="I132" s="18"/>
    </row>
    <row r="133" spans="1:9" ht="14.25" customHeight="1" x14ac:dyDescent="0.35">
      <c r="A133" s="26"/>
      <c r="B133" s="26"/>
      <c r="C133" s="46"/>
      <c r="D133" s="44"/>
      <c r="E133" s="26"/>
      <c r="F133" s="26"/>
      <c r="G133" s="18"/>
      <c r="H133" s="18"/>
      <c r="I133" s="18"/>
    </row>
    <row r="134" spans="1:9" ht="14.25" customHeight="1" x14ac:dyDescent="0.35">
      <c r="A134" s="26"/>
      <c r="B134" s="26"/>
      <c r="C134" s="46"/>
      <c r="D134" s="44"/>
      <c r="E134" s="26"/>
      <c r="F134" s="26"/>
      <c r="G134" s="18"/>
      <c r="H134" s="18"/>
      <c r="I134" s="18"/>
    </row>
    <row r="135" spans="1:9" ht="14.25" customHeight="1" x14ac:dyDescent="0.35">
      <c r="A135" s="26"/>
      <c r="B135" s="26"/>
      <c r="C135" s="46"/>
      <c r="D135" s="44"/>
      <c r="E135" s="26"/>
      <c r="F135" s="26"/>
      <c r="G135" s="18"/>
      <c r="H135" s="18"/>
      <c r="I135" s="18"/>
    </row>
    <row r="136" spans="1:9" ht="14.25" customHeight="1" x14ac:dyDescent="0.35">
      <c r="A136" s="26"/>
      <c r="B136" s="26"/>
      <c r="C136" s="46"/>
      <c r="D136" s="44"/>
      <c r="E136" s="26"/>
      <c r="F136" s="26"/>
      <c r="G136" s="18"/>
      <c r="H136" s="18"/>
      <c r="I136" s="18"/>
    </row>
    <row r="137" spans="1:9" ht="14.25" customHeight="1" x14ac:dyDescent="0.35">
      <c r="A137" s="26"/>
      <c r="B137" s="26"/>
      <c r="C137" s="46"/>
      <c r="D137" s="44"/>
      <c r="E137" s="26"/>
      <c r="F137" s="26"/>
      <c r="G137" s="18"/>
      <c r="H137" s="18"/>
      <c r="I137" s="18"/>
    </row>
    <row r="138" spans="1:9" ht="14.25" customHeight="1" x14ac:dyDescent="0.35">
      <c r="A138" s="26"/>
      <c r="B138" s="26"/>
      <c r="C138" s="46"/>
      <c r="D138" s="44"/>
      <c r="E138" s="26"/>
      <c r="F138" s="26"/>
      <c r="G138" s="18"/>
      <c r="H138" s="18"/>
      <c r="I138" s="18"/>
    </row>
    <row r="139" spans="1:9" ht="14.25" customHeight="1" x14ac:dyDescent="0.35">
      <c r="A139" s="26"/>
      <c r="B139" s="26"/>
      <c r="C139" s="46"/>
      <c r="D139" s="44"/>
      <c r="E139" s="26"/>
      <c r="F139" s="26"/>
      <c r="G139" s="18"/>
      <c r="H139" s="18"/>
      <c r="I139" s="18"/>
    </row>
    <row r="140" spans="1:9" ht="14.25" customHeight="1" x14ac:dyDescent="0.35">
      <c r="A140" s="26"/>
      <c r="B140" s="26"/>
      <c r="C140" s="46"/>
      <c r="D140" s="44"/>
      <c r="E140" s="26"/>
      <c r="F140" s="26"/>
      <c r="G140" s="18"/>
      <c r="H140" s="18"/>
      <c r="I140" s="18"/>
    </row>
    <row r="141" spans="1:9" ht="14.25" customHeight="1" x14ac:dyDescent="0.35">
      <c r="A141" s="26"/>
      <c r="B141" s="26"/>
      <c r="C141" s="46"/>
      <c r="D141" s="44"/>
      <c r="E141" s="26"/>
      <c r="F141" s="26"/>
      <c r="G141" s="18"/>
      <c r="H141" s="18"/>
      <c r="I141" s="18"/>
    </row>
    <row r="142" spans="1:9" ht="14.25" customHeight="1" x14ac:dyDescent="0.35">
      <c r="A142" s="26"/>
      <c r="B142" s="26"/>
      <c r="C142" s="46"/>
      <c r="D142" s="44"/>
      <c r="E142" s="26"/>
      <c r="F142" s="26"/>
      <c r="G142" s="18"/>
      <c r="H142" s="18"/>
      <c r="I142" s="18"/>
    </row>
    <row r="143" spans="1:9" ht="14.25" customHeight="1" x14ac:dyDescent="0.35">
      <c r="A143" s="26"/>
      <c r="B143" s="26"/>
      <c r="C143" s="46"/>
      <c r="D143" s="44"/>
      <c r="E143" s="26"/>
      <c r="F143" s="26"/>
      <c r="G143" s="18"/>
      <c r="H143" s="18"/>
      <c r="I143" s="18"/>
    </row>
    <row r="144" spans="1:9" ht="14.25" customHeight="1" x14ac:dyDescent="0.35">
      <c r="A144" s="26"/>
      <c r="B144" s="26"/>
      <c r="C144" s="46"/>
      <c r="D144" s="44"/>
      <c r="E144" s="26"/>
      <c r="F144" s="26"/>
      <c r="G144" s="18"/>
      <c r="H144" s="18"/>
      <c r="I144" s="18"/>
    </row>
    <row r="145" spans="1:9" ht="14.25" customHeight="1" x14ac:dyDescent="0.35">
      <c r="A145" s="26"/>
      <c r="B145" s="26"/>
      <c r="C145" s="46"/>
      <c r="D145" s="44"/>
      <c r="E145" s="26"/>
      <c r="F145" s="26"/>
      <c r="G145" s="18"/>
      <c r="H145" s="18"/>
      <c r="I145" s="18"/>
    </row>
    <row r="146" spans="1:9" ht="14.25" customHeight="1" x14ac:dyDescent="0.35">
      <c r="A146" s="26"/>
      <c r="B146" s="26"/>
      <c r="C146" s="46"/>
      <c r="D146" s="44"/>
      <c r="E146" s="26"/>
      <c r="F146" s="26"/>
      <c r="G146" s="18"/>
      <c r="H146" s="18"/>
      <c r="I146" s="18"/>
    </row>
    <row r="147" spans="1:9" ht="14.25" customHeight="1" x14ac:dyDescent="0.35">
      <c r="A147" s="26"/>
      <c r="B147" s="26"/>
      <c r="C147" s="46"/>
      <c r="D147" s="44"/>
      <c r="E147" s="26"/>
      <c r="F147" s="26"/>
      <c r="G147" s="18"/>
      <c r="H147" s="18"/>
      <c r="I147" s="18"/>
    </row>
    <row r="148" spans="1:9" ht="14.25" customHeight="1" x14ac:dyDescent="0.35">
      <c r="A148" s="26"/>
      <c r="B148" s="26"/>
      <c r="C148" s="46"/>
      <c r="D148" s="44"/>
      <c r="E148" s="26"/>
      <c r="F148" s="26"/>
      <c r="G148" s="18"/>
      <c r="H148" s="18"/>
      <c r="I148" s="18"/>
    </row>
    <row r="149" spans="1:9" ht="14.25" customHeight="1" x14ac:dyDescent="0.35">
      <c r="A149" s="26"/>
      <c r="B149" s="26"/>
      <c r="C149" s="46"/>
      <c r="D149" s="44"/>
      <c r="E149" s="26"/>
      <c r="F149" s="26"/>
      <c r="G149" s="18"/>
      <c r="H149" s="18"/>
      <c r="I149" s="18"/>
    </row>
    <row r="150" spans="1:9" ht="14.25" customHeight="1" x14ac:dyDescent="0.35">
      <c r="A150" s="26"/>
      <c r="B150" s="26"/>
      <c r="C150" s="46"/>
      <c r="D150" s="44"/>
      <c r="E150" s="26"/>
      <c r="F150" s="26"/>
      <c r="G150" s="18"/>
      <c r="H150" s="18"/>
      <c r="I150" s="18"/>
    </row>
    <row r="151" spans="1:9" ht="14.25" customHeight="1" x14ac:dyDescent="0.35">
      <c r="A151" s="26"/>
      <c r="B151" s="26"/>
      <c r="C151" s="46"/>
      <c r="D151" s="44"/>
      <c r="E151" s="26"/>
      <c r="F151" s="26"/>
      <c r="G151" s="18"/>
      <c r="H151" s="18"/>
      <c r="I151" s="18"/>
    </row>
    <row r="152" spans="1:9" ht="14.25" customHeight="1" x14ac:dyDescent="0.35">
      <c r="A152" s="26"/>
      <c r="B152" s="26"/>
      <c r="C152" s="46"/>
      <c r="D152" s="44"/>
      <c r="E152" s="26"/>
      <c r="F152" s="26"/>
      <c r="G152" s="18"/>
      <c r="H152" s="18"/>
      <c r="I152" s="18"/>
    </row>
    <row r="153" spans="1:9" ht="14.25" customHeight="1" x14ac:dyDescent="0.35">
      <c r="A153" s="26"/>
      <c r="B153" s="26"/>
      <c r="C153" s="46"/>
      <c r="D153" s="44"/>
      <c r="E153" s="26"/>
      <c r="F153" s="26"/>
      <c r="G153" s="18"/>
      <c r="H153" s="18"/>
      <c r="I153" s="18"/>
    </row>
    <row r="154" spans="1:9" ht="14.25" customHeight="1" x14ac:dyDescent="0.35">
      <c r="A154" s="26"/>
      <c r="B154" s="26"/>
      <c r="C154" s="46"/>
      <c r="D154" s="44"/>
      <c r="E154" s="26"/>
      <c r="F154" s="26"/>
      <c r="G154" s="18"/>
      <c r="H154" s="18"/>
      <c r="I154" s="18"/>
    </row>
    <row r="155" spans="1:9" ht="14.25" customHeight="1" x14ac:dyDescent="0.35">
      <c r="A155" s="26"/>
      <c r="B155" s="26"/>
      <c r="C155" s="46"/>
      <c r="D155" s="44"/>
      <c r="E155" s="26"/>
      <c r="F155" s="26"/>
      <c r="G155" s="18"/>
      <c r="H155" s="18"/>
      <c r="I155" s="18"/>
    </row>
    <row r="156" spans="1:9" ht="14.25" customHeight="1" x14ac:dyDescent="0.35">
      <c r="A156" s="26"/>
      <c r="B156" s="26"/>
      <c r="C156" s="46"/>
      <c r="D156" s="44"/>
      <c r="E156" s="26"/>
      <c r="F156" s="26"/>
      <c r="G156" s="18"/>
      <c r="H156" s="18"/>
      <c r="I156" s="18"/>
    </row>
    <row r="157" spans="1:9" ht="14.25" customHeight="1" x14ac:dyDescent="0.35">
      <c r="A157" s="26"/>
      <c r="B157" s="26"/>
      <c r="C157" s="46"/>
      <c r="D157" s="44"/>
      <c r="E157" s="26"/>
      <c r="F157" s="26"/>
      <c r="G157" s="18"/>
      <c r="H157" s="18"/>
      <c r="I157" s="18"/>
    </row>
    <row r="158" spans="1:9" ht="13.5" customHeight="1" x14ac:dyDescent="0.35">
      <c r="A158" s="26"/>
      <c r="B158" s="26"/>
      <c r="C158" s="46"/>
      <c r="D158" s="44"/>
      <c r="E158" s="26"/>
      <c r="F158" s="26"/>
      <c r="G158" s="18"/>
      <c r="H158" s="18"/>
      <c r="I158" s="26"/>
    </row>
    <row r="159" spans="1:9" ht="13.5" customHeight="1" x14ac:dyDescent="0.35">
      <c r="A159" s="26"/>
      <c r="B159" s="26"/>
      <c r="C159" s="46"/>
      <c r="D159" s="44"/>
      <c r="E159" s="26"/>
      <c r="F159" s="26"/>
      <c r="G159" s="18"/>
      <c r="H159" s="18"/>
      <c r="I159" s="26"/>
    </row>
    <row r="160" spans="1:9" ht="13.5" customHeight="1" x14ac:dyDescent="0.35">
      <c r="A160" s="26"/>
      <c r="B160" s="26"/>
      <c r="C160" s="46"/>
      <c r="D160" s="44"/>
      <c r="E160" s="26"/>
      <c r="F160" s="26"/>
      <c r="G160" s="18"/>
      <c r="H160" s="18"/>
      <c r="I160" s="26"/>
    </row>
    <row r="161" spans="1:9" ht="13.5" customHeight="1" x14ac:dyDescent="0.35">
      <c r="A161" s="26"/>
      <c r="B161" s="26"/>
      <c r="C161" s="46"/>
      <c r="D161" s="44"/>
      <c r="E161" s="26"/>
      <c r="F161" s="26"/>
      <c r="G161" s="18"/>
      <c r="H161" s="18"/>
      <c r="I161" s="26"/>
    </row>
    <row r="162" spans="1:9" ht="13.5" customHeight="1" x14ac:dyDescent="0.35">
      <c r="A162" s="26"/>
      <c r="B162" s="26"/>
      <c r="C162" s="46"/>
      <c r="D162" s="44"/>
      <c r="E162" s="26"/>
      <c r="F162" s="26"/>
      <c r="G162" s="18"/>
      <c r="H162" s="18"/>
      <c r="I162" s="26"/>
    </row>
    <row r="163" spans="1:9" ht="13.5" customHeight="1" x14ac:dyDescent="0.35">
      <c r="A163" s="26"/>
      <c r="B163" s="26"/>
      <c r="C163" s="46"/>
      <c r="D163" s="44"/>
      <c r="E163" s="26"/>
      <c r="F163" s="26"/>
      <c r="G163" s="18"/>
      <c r="H163" s="18"/>
      <c r="I163" s="26"/>
    </row>
    <row r="164" spans="1:9" ht="13.5" customHeight="1" x14ac:dyDescent="0.35">
      <c r="A164" s="26"/>
      <c r="B164" s="26"/>
      <c r="C164" s="46"/>
      <c r="D164" s="44"/>
      <c r="E164" s="26"/>
      <c r="F164" s="26"/>
      <c r="G164" s="18"/>
      <c r="H164" s="18"/>
      <c r="I164" s="26"/>
    </row>
    <row r="165" spans="1:9" ht="13.5" customHeight="1" x14ac:dyDescent="0.35">
      <c r="A165" s="26"/>
      <c r="B165" s="26"/>
      <c r="C165" s="46"/>
      <c r="D165" s="44"/>
      <c r="E165" s="26"/>
      <c r="F165" s="26"/>
      <c r="G165" s="18"/>
      <c r="H165" s="18"/>
      <c r="I165" s="26"/>
    </row>
    <row r="166" spans="1:9" ht="13.5" customHeight="1" x14ac:dyDescent="0.35">
      <c r="A166" s="26"/>
      <c r="B166" s="26"/>
      <c r="C166" s="46"/>
      <c r="D166" s="44"/>
      <c r="E166" s="26"/>
      <c r="F166" s="26"/>
      <c r="G166" s="18"/>
      <c r="H166" s="18"/>
      <c r="I166" s="26"/>
    </row>
    <row r="167" spans="1:9" ht="13.5" customHeight="1" x14ac:dyDescent="0.35">
      <c r="A167" s="26"/>
      <c r="B167" s="26"/>
      <c r="C167" s="46"/>
      <c r="D167" s="44"/>
      <c r="E167" s="26"/>
      <c r="F167" s="26"/>
      <c r="G167" s="18"/>
      <c r="H167" s="18"/>
      <c r="I167" s="26"/>
    </row>
    <row r="168" spans="1:9" ht="13.5" customHeight="1" x14ac:dyDescent="0.35">
      <c r="A168" s="26"/>
      <c r="B168" s="26"/>
      <c r="C168" s="46"/>
      <c r="D168" s="44"/>
      <c r="E168" s="26"/>
      <c r="F168" s="26"/>
      <c r="G168" s="18"/>
      <c r="H168" s="18"/>
      <c r="I168" s="26"/>
    </row>
    <row r="169" spans="1:9" ht="13.5" customHeight="1" x14ac:dyDescent="0.35">
      <c r="A169" s="26"/>
      <c r="B169" s="26"/>
      <c r="C169" s="46"/>
      <c r="D169" s="44"/>
      <c r="E169" s="26"/>
      <c r="F169" s="26"/>
      <c r="G169" s="18"/>
      <c r="H169" s="18"/>
      <c r="I169" s="26"/>
    </row>
    <row r="170" spans="1:9" ht="13.5" customHeight="1" x14ac:dyDescent="0.35">
      <c r="A170" s="26"/>
      <c r="B170" s="26"/>
      <c r="C170" s="46"/>
      <c r="D170" s="44"/>
      <c r="E170" s="26"/>
      <c r="F170" s="26"/>
      <c r="G170" s="18"/>
      <c r="H170" s="18"/>
      <c r="I170" s="26"/>
    </row>
    <row r="171" spans="1:9" ht="13.5" customHeight="1" x14ac:dyDescent="0.35">
      <c r="A171" s="26"/>
      <c r="B171" s="26"/>
      <c r="C171" s="46"/>
      <c r="D171" s="44"/>
      <c r="E171" s="26"/>
      <c r="F171" s="26"/>
      <c r="G171" s="18"/>
      <c r="H171" s="18"/>
      <c r="I171" s="26"/>
    </row>
    <row r="172" spans="1:9" ht="13.5" customHeight="1" x14ac:dyDescent="0.35">
      <c r="A172" s="26"/>
      <c r="B172" s="26"/>
      <c r="C172" s="46"/>
      <c r="D172" s="44"/>
      <c r="E172" s="26"/>
      <c r="F172" s="26"/>
      <c r="G172" s="18"/>
      <c r="H172" s="18"/>
      <c r="I172" s="26"/>
    </row>
    <row r="173" spans="1:9" ht="13.5" customHeight="1" x14ac:dyDescent="0.35">
      <c r="A173" s="26"/>
      <c r="B173" s="26"/>
      <c r="C173" s="46"/>
      <c r="D173" s="44"/>
      <c r="E173" s="26"/>
      <c r="F173" s="26"/>
      <c r="G173" s="18"/>
      <c r="H173" s="18"/>
      <c r="I173" s="26"/>
    </row>
    <row r="174" spans="1:9" ht="13.5" customHeight="1" x14ac:dyDescent="0.35">
      <c r="A174" s="26"/>
      <c r="B174" s="26"/>
      <c r="C174" s="46"/>
      <c r="D174" s="44"/>
      <c r="E174" s="26"/>
      <c r="F174" s="26"/>
      <c r="G174" s="18"/>
      <c r="H174" s="18"/>
      <c r="I174" s="26"/>
    </row>
    <row r="175" spans="1:9" ht="13.5" customHeight="1" x14ac:dyDescent="0.35">
      <c r="A175" s="26"/>
      <c r="B175" s="26"/>
      <c r="C175" s="46"/>
      <c r="D175" s="44"/>
      <c r="E175" s="26"/>
      <c r="F175" s="26"/>
      <c r="G175" s="18"/>
      <c r="H175" s="18"/>
      <c r="I175" s="26"/>
    </row>
    <row r="176" spans="1:9" ht="13.5" customHeight="1" x14ac:dyDescent="0.35">
      <c r="A176" s="26"/>
      <c r="B176" s="26"/>
      <c r="C176" s="46"/>
      <c r="D176" s="44"/>
      <c r="E176" s="26"/>
      <c r="F176" s="26"/>
      <c r="G176" s="18"/>
      <c r="H176" s="18"/>
      <c r="I176" s="26"/>
    </row>
    <row r="177" spans="1:9" ht="13.5" customHeight="1" x14ac:dyDescent="0.35">
      <c r="A177" s="26"/>
      <c r="B177" s="26"/>
      <c r="C177" s="46"/>
      <c r="D177" s="44"/>
      <c r="E177" s="26"/>
      <c r="F177" s="26"/>
      <c r="G177" s="18"/>
      <c r="H177" s="18"/>
      <c r="I177" s="26"/>
    </row>
    <row r="178" spans="1:9" ht="13.5" customHeight="1" x14ac:dyDescent="0.35">
      <c r="A178" s="26"/>
      <c r="B178" s="26"/>
      <c r="C178" s="46"/>
      <c r="D178" s="44"/>
      <c r="E178" s="26"/>
      <c r="F178" s="26"/>
      <c r="G178" s="18"/>
      <c r="H178" s="18"/>
      <c r="I178" s="26"/>
    </row>
    <row r="179" spans="1:9" ht="13.5" customHeight="1" x14ac:dyDescent="0.35">
      <c r="A179" s="26"/>
      <c r="B179" s="26"/>
      <c r="C179" s="46"/>
      <c r="D179" s="44"/>
      <c r="E179" s="26"/>
      <c r="F179" s="26"/>
      <c r="G179" s="18"/>
      <c r="H179" s="18"/>
      <c r="I179" s="26"/>
    </row>
    <row r="180" spans="1:9" ht="13.5" customHeight="1" x14ac:dyDescent="0.35">
      <c r="A180" s="26"/>
      <c r="B180" s="26"/>
      <c r="C180" s="46"/>
      <c r="D180" s="44"/>
      <c r="E180" s="26"/>
      <c r="F180" s="26"/>
      <c r="G180" s="18"/>
      <c r="H180" s="18"/>
      <c r="I180" s="26"/>
    </row>
    <row r="181" spans="1:9" ht="13.5" customHeight="1" x14ac:dyDescent="0.35">
      <c r="A181" s="26"/>
      <c r="B181" s="26"/>
      <c r="C181" s="46"/>
      <c r="D181" s="44"/>
      <c r="E181" s="26"/>
      <c r="F181" s="26"/>
      <c r="G181" s="18"/>
      <c r="H181" s="18"/>
      <c r="I181" s="26"/>
    </row>
    <row r="182" spans="1:9" ht="13.5" customHeight="1" x14ac:dyDescent="0.35">
      <c r="A182" s="26"/>
      <c r="B182" s="26"/>
      <c r="C182" s="46"/>
      <c r="D182" s="44"/>
      <c r="E182" s="26"/>
      <c r="F182" s="26"/>
      <c r="G182" s="18"/>
      <c r="H182" s="18"/>
      <c r="I182" s="26"/>
    </row>
    <row r="183" spans="1:9" ht="13.5" customHeight="1" x14ac:dyDescent="0.35">
      <c r="A183" s="26"/>
      <c r="B183" s="26"/>
      <c r="C183" s="46"/>
      <c r="D183" s="44"/>
      <c r="E183" s="26"/>
      <c r="F183" s="26"/>
      <c r="G183" s="18"/>
      <c r="H183" s="18"/>
      <c r="I183" s="26"/>
    </row>
    <row r="184" spans="1:9" ht="13.5" customHeight="1" x14ac:dyDescent="0.35">
      <c r="A184" s="26"/>
      <c r="B184" s="26"/>
      <c r="C184" s="46"/>
      <c r="D184" s="44"/>
      <c r="E184" s="26"/>
      <c r="F184" s="26"/>
      <c r="G184" s="18"/>
      <c r="H184" s="18"/>
      <c r="I184" s="26"/>
    </row>
    <row r="185" spans="1:9" ht="13.5" customHeight="1" x14ac:dyDescent="0.35">
      <c r="A185" s="26"/>
      <c r="B185" s="26"/>
      <c r="C185" s="46"/>
      <c r="D185" s="44"/>
      <c r="E185" s="26"/>
      <c r="F185" s="26"/>
      <c r="G185" s="18"/>
      <c r="H185" s="18"/>
      <c r="I185" s="26"/>
    </row>
    <row r="186" spans="1:9" ht="13.5" customHeight="1" x14ac:dyDescent="0.35">
      <c r="A186" s="26"/>
      <c r="B186" s="26"/>
      <c r="C186" s="46"/>
      <c r="D186" s="44"/>
      <c r="E186" s="26"/>
      <c r="F186" s="26"/>
      <c r="G186" s="18"/>
      <c r="H186" s="18"/>
      <c r="I186" s="26"/>
    </row>
    <row r="187" spans="1:9" ht="13.5" customHeight="1" x14ac:dyDescent="0.35">
      <c r="A187" s="26"/>
      <c r="B187" s="26"/>
      <c r="C187" s="46"/>
      <c r="D187" s="44"/>
      <c r="E187" s="26"/>
      <c r="F187" s="26"/>
      <c r="G187" s="18"/>
      <c r="H187" s="18"/>
      <c r="I187" s="26"/>
    </row>
    <row r="188" spans="1:9" ht="13.5" customHeight="1" x14ac:dyDescent="0.35">
      <c r="A188" s="26"/>
      <c r="B188" s="26"/>
      <c r="C188" s="46"/>
      <c r="D188" s="44"/>
      <c r="E188" s="26"/>
      <c r="F188" s="26"/>
      <c r="G188" s="18"/>
      <c r="H188" s="18"/>
      <c r="I188" s="26"/>
    </row>
    <row r="189" spans="1:9" ht="13.5" customHeight="1" x14ac:dyDescent="0.35">
      <c r="A189" s="26"/>
      <c r="B189" s="26"/>
      <c r="C189" s="46"/>
      <c r="D189" s="44"/>
      <c r="E189" s="26"/>
      <c r="F189" s="26"/>
      <c r="G189" s="18"/>
      <c r="H189" s="18"/>
      <c r="I189" s="26"/>
    </row>
    <row r="190" spans="1:9" ht="13.5" customHeight="1" x14ac:dyDescent="0.35">
      <c r="A190" s="26"/>
      <c r="B190" s="26"/>
      <c r="C190" s="46"/>
      <c r="D190" s="44"/>
      <c r="E190" s="26"/>
      <c r="F190" s="26"/>
      <c r="G190" s="18"/>
      <c r="H190" s="18"/>
      <c r="I190" s="26"/>
    </row>
    <row r="191" spans="1:9" ht="13.5" customHeight="1" x14ac:dyDescent="0.35">
      <c r="A191" s="26"/>
      <c r="B191" s="26"/>
      <c r="C191" s="46"/>
      <c r="D191" s="44"/>
      <c r="E191" s="26"/>
      <c r="F191" s="26"/>
      <c r="G191" s="18"/>
      <c r="H191" s="18"/>
      <c r="I191" s="26"/>
    </row>
    <row r="192" spans="1:9" ht="13.5" customHeight="1" x14ac:dyDescent="0.35">
      <c r="A192" s="26"/>
      <c r="B192" s="26"/>
      <c r="C192" s="46"/>
      <c r="D192" s="44"/>
      <c r="E192" s="26"/>
      <c r="F192" s="26"/>
      <c r="G192" s="18"/>
      <c r="H192" s="18"/>
      <c r="I192" s="26"/>
    </row>
    <row r="193" spans="1:9" ht="13.5" customHeight="1" x14ac:dyDescent="0.35">
      <c r="A193" s="26"/>
      <c r="B193" s="26"/>
      <c r="C193" s="46"/>
      <c r="D193" s="44"/>
      <c r="E193" s="26"/>
      <c r="F193" s="26"/>
      <c r="G193" s="18"/>
      <c r="H193" s="18"/>
      <c r="I193" s="26"/>
    </row>
    <row r="194" spans="1:9" ht="13.5" customHeight="1" x14ac:dyDescent="0.35">
      <c r="A194" s="26"/>
      <c r="B194" s="26"/>
      <c r="C194" s="46"/>
      <c r="D194" s="44"/>
      <c r="E194" s="26"/>
      <c r="F194" s="26"/>
      <c r="G194" s="18"/>
      <c r="H194" s="18"/>
      <c r="I194" s="26"/>
    </row>
    <row r="195" spans="1:9" ht="13.5" customHeight="1" x14ac:dyDescent="0.35">
      <c r="A195" s="26"/>
      <c r="B195" s="26"/>
      <c r="C195" s="46"/>
      <c r="D195" s="44"/>
      <c r="E195" s="26"/>
      <c r="F195" s="26"/>
      <c r="G195" s="18"/>
      <c r="H195" s="18"/>
      <c r="I195" s="26"/>
    </row>
    <row r="196" spans="1:9" ht="13.5" customHeight="1" x14ac:dyDescent="0.35">
      <c r="A196" s="26"/>
      <c r="B196" s="26"/>
      <c r="C196" s="46"/>
      <c r="D196" s="44"/>
      <c r="E196" s="26"/>
      <c r="F196" s="26"/>
      <c r="G196" s="18"/>
      <c r="H196" s="18"/>
      <c r="I196" s="26"/>
    </row>
    <row r="197" spans="1:9" ht="13.5" customHeight="1" x14ac:dyDescent="0.35">
      <c r="A197" s="26"/>
      <c r="B197" s="26"/>
      <c r="C197" s="46"/>
      <c r="D197" s="44"/>
      <c r="E197" s="26"/>
      <c r="F197" s="26"/>
      <c r="G197" s="18"/>
      <c r="H197" s="18"/>
      <c r="I197" s="26"/>
    </row>
    <row r="198" spans="1:9" ht="13.5" customHeight="1" x14ac:dyDescent="0.35">
      <c r="A198" s="26"/>
      <c r="B198" s="26"/>
      <c r="C198" s="46"/>
      <c r="D198" s="44"/>
      <c r="E198" s="26"/>
      <c r="F198" s="26"/>
      <c r="G198" s="18"/>
      <c r="H198" s="18"/>
      <c r="I198" s="26"/>
    </row>
    <row r="199" spans="1:9" ht="13.5" customHeight="1" x14ac:dyDescent="0.35">
      <c r="A199" s="26"/>
      <c r="B199" s="26"/>
      <c r="C199" s="46"/>
      <c r="D199" s="44"/>
      <c r="E199" s="26"/>
      <c r="F199" s="26"/>
      <c r="G199" s="18"/>
      <c r="H199" s="18"/>
      <c r="I199" s="26"/>
    </row>
    <row r="200" spans="1:9" ht="13.5" customHeight="1" x14ac:dyDescent="0.35">
      <c r="A200" s="26"/>
      <c r="B200" s="26"/>
      <c r="C200" s="46"/>
      <c r="D200" s="44"/>
      <c r="E200" s="26"/>
      <c r="F200" s="26"/>
      <c r="G200" s="18"/>
      <c r="H200" s="18"/>
      <c r="I200" s="26"/>
    </row>
    <row r="201" spans="1:9" ht="13.5" customHeight="1" x14ac:dyDescent="0.35">
      <c r="A201" s="26"/>
      <c r="B201" s="26"/>
      <c r="C201" s="46"/>
      <c r="D201" s="44"/>
      <c r="E201" s="26"/>
      <c r="F201" s="26"/>
      <c r="G201" s="18"/>
      <c r="H201" s="18"/>
      <c r="I201" s="26"/>
    </row>
    <row r="202" spans="1:9" ht="13.5" customHeight="1" x14ac:dyDescent="0.35">
      <c r="A202" s="26"/>
      <c r="B202" s="26"/>
      <c r="C202" s="46"/>
      <c r="D202" s="44"/>
      <c r="E202" s="26"/>
      <c r="F202" s="26"/>
      <c r="G202" s="18"/>
      <c r="H202" s="18"/>
      <c r="I202" s="26"/>
    </row>
    <row r="203" spans="1:9" ht="13.5" customHeight="1" x14ac:dyDescent="0.35">
      <c r="A203" s="26"/>
      <c r="B203" s="26"/>
      <c r="C203" s="46"/>
      <c r="D203" s="44"/>
      <c r="E203" s="26"/>
      <c r="F203" s="26"/>
      <c r="G203" s="18"/>
      <c r="H203" s="18"/>
      <c r="I203" s="26"/>
    </row>
    <row r="204" spans="1:9" ht="13.5" customHeight="1" x14ac:dyDescent="0.35">
      <c r="A204" s="26"/>
      <c r="B204" s="26"/>
      <c r="C204" s="46"/>
      <c r="D204" s="44"/>
      <c r="E204" s="26"/>
      <c r="F204" s="26"/>
      <c r="G204" s="18"/>
      <c r="H204" s="18"/>
      <c r="I204" s="26"/>
    </row>
    <row r="205" spans="1:9" ht="13.5" customHeight="1" x14ac:dyDescent="0.35">
      <c r="A205" s="26"/>
      <c r="B205" s="26"/>
      <c r="C205" s="46"/>
      <c r="D205" s="44"/>
      <c r="E205" s="26"/>
      <c r="F205" s="26"/>
      <c r="G205" s="18"/>
      <c r="H205" s="18"/>
      <c r="I205" s="26"/>
    </row>
    <row r="206" spans="1:9" ht="13.5" customHeight="1" x14ac:dyDescent="0.35">
      <c r="A206" s="26"/>
      <c r="B206" s="26"/>
      <c r="C206" s="46"/>
      <c r="D206" s="44"/>
      <c r="E206" s="26"/>
      <c r="F206" s="26"/>
      <c r="G206" s="18"/>
      <c r="H206" s="18"/>
      <c r="I206" s="26"/>
    </row>
    <row r="207" spans="1:9" ht="13.5" customHeight="1" x14ac:dyDescent="0.35">
      <c r="A207" s="26"/>
      <c r="B207" s="26"/>
      <c r="C207" s="46"/>
      <c r="D207" s="44"/>
      <c r="E207" s="26"/>
      <c r="F207" s="26"/>
      <c r="G207" s="18"/>
      <c r="H207" s="18"/>
      <c r="I207" s="26"/>
    </row>
    <row r="208" spans="1:9" ht="13.5" customHeight="1" x14ac:dyDescent="0.35">
      <c r="A208" s="26"/>
      <c r="B208" s="26"/>
      <c r="C208" s="46"/>
      <c r="D208" s="44"/>
      <c r="E208" s="26"/>
      <c r="F208" s="26"/>
      <c r="G208" s="18"/>
      <c r="H208" s="18"/>
      <c r="I208" s="26"/>
    </row>
    <row r="209" spans="1:9" ht="13.5" customHeight="1" x14ac:dyDescent="0.35">
      <c r="A209" s="26"/>
      <c r="B209" s="26"/>
      <c r="C209" s="46"/>
      <c r="D209" s="44"/>
      <c r="E209" s="26"/>
      <c r="F209" s="26"/>
      <c r="G209" s="18"/>
      <c r="H209" s="18"/>
      <c r="I209" s="26"/>
    </row>
    <row r="210" spans="1:9" ht="13.5" customHeight="1" x14ac:dyDescent="0.35">
      <c r="A210" s="26"/>
      <c r="B210" s="26"/>
      <c r="C210" s="46"/>
      <c r="D210" s="44"/>
      <c r="E210" s="26"/>
      <c r="F210" s="26"/>
      <c r="G210" s="18"/>
      <c r="H210" s="18"/>
      <c r="I210" s="26"/>
    </row>
    <row r="211" spans="1:9" ht="13.5" customHeight="1" x14ac:dyDescent="0.35">
      <c r="A211" s="26"/>
      <c r="B211" s="26"/>
      <c r="C211" s="46"/>
      <c r="D211" s="44"/>
      <c r="E211" s="26"/>
      <c r="F211" s="26"/>
      <c r="G211" s="18"/>
      <c r="H211" s="18"/>
      <c r="I211" s="26"/>
    </row>
    <row r="212" spans="1:9" ht="13.5" customHeight="1" x14ac:dyDescent="0.35">
      <c r="A212" s="26"/>
      <c r="B212" s="26"/>
      <c r="C212" s="46"/>
      <c r="D212" s="44"/>
      <c r="E212" s="26"/>
      <c r="F212" s="26"/>
      <c r="G212" s="18"/>
      <c r="H212" s="18"/>
      <c r="I212" s="26"/>
    </row>
    <row r="213" spans="1:9" ht="13.5" customHeight="1" x14ac:dyDescent="0.35">
      <c r="A213" s="26"/>
      <c r="B213" s="26"/>
      <c r="C213" s="46"/>
      <c r="D213" s="44"/>
      <c r="E213" s="26"/>
      <c r="F213" s="26"/>
      <c r="G213" s="18"/>
      <c r="H213" s="18"/>
      <c r="I213" s="26"/>
    </row>
    <row r="214" spans="1:9" ht="13.5" customHeight="1" x14ac:dyDescent="0.35">
      <c r="A214" s="26"/>
      <c r="B214" s="26"/>
      <c r="C214" s="46"/>
      <c r="D214" s="44"/>
      <c r="E214" s="26"/>
      <c r="F214" s="26"/>
      <c r="G214" s="18"/>
      <c r="H214" s="18"/>
      <c r="I214" s="26"/>
    </row>
    <row r="215" spans="1:9" ht="13.5" customHeight="1" x14ac:dyDescent="0.35">
      <c r="A215" s="26"/>
      <c r="B215" s="26"/>
      <c r="C215" s="46"/>
      <c r="D215" s="44"/>
      <c r="E215" s="26"/>
      <c r="F215" s="26"/>
      <c r="G215" s="18"/>
      <c r="H215" s="18"/>
      <c r="I215" s="26"/>
    </row>
    <row r="216" spans="1:9" ht="13.5" customHeight="1" x14ac:dyDescent="0.35">
      <c r="A216" s="26"/>
      <c r="B216" s="26"/>
      <c r="C216" s="46"/>
      <c r="D216" s="44"/>
      <c r="E216" s="26"/>
      <c r="F216" s="26"/>
      <c r="G216" s="18"/>
      <c r="H216" s="18"/>
      <c r="I216" s="26"/>
    </row>
    <row r="217" spans="1:9" ht="13.5" customHeight="1" x14ac:dyDescent="0.35">
      <c r="A217" s="26"/>
      <c r="B217" s="26"/>
      <c r="C217" s="46"/>
      <c r="D217" s="44"/>
      <c r="E217" s="26"/>
      <c r="F217" s="26"/>
      <c r="G217" s="18"/>
      <c r="H217" s="18"/>
      <c r="I217" s="26"/>
    </row>
    <row r="218" spans="1:9" ht="13.5" customHeight="1" x14ac:dyDescent="0.35">
      <c r="A218" s="26"/>
      <c r="B218" s="26"/>
      <c r="C218" s="46"/>
      <c r="D218" s="44"/>
      <c r="E218" s="26"/>
      <c r="F218" s="26"/>
      <c r="G218" s="18"/>
      <c r="H218" s="18"/>
      <c r="I218" s="26"/>
    </row>
    <row r="219" spans="1:9" ht="13.5" customHeight="1" x14ac:dyDescent="0.35">
      <c r="A219" s="26"/>
      <c r="B219" s="26"/>
      <c r="C219" s="46"/>
      <c r="D219" s="44"/>
      <c r="E219" s="26"/>
      <c r="F219" s="26"/>
      <c r="G219" s="18"/>
      <c r="H219" s="18"/>
      <c r="I219" s="26"/>
    </row>
    <row r="220" spans="1:9" ht="13.5" customHeight="1" x14ac:dyDescent="0.35">
      <c r="A220" s="26"/>
      <c r="B220" s="26"/>
      <c r="C220" s="46"/>
      <c r="D220" s="44"/>
      <c r="E220" s="26"/>
      <c r="F220" s="26"/>
      <c r="G220" s="18"/>
      <c r="H220" s="18"/>
      <c r="I220" s="26"/>
    </row>
    <row r="221" spans="1:9" ht="15.75" customHeight="1" x14ac:dyDescent="0.35">
      <c r="A221" s="4"/>
      <c r="B221" s="4"/>
      <c r="C221" s="46"/>
      <c r="F221" s="26"/>
    </row>
    <row r="222" spans="1:9" ht="15.75" customHeight="1" x14ac:dyDescent="0.35">
      <c r="A222" s="4"/>
      <c r="B222" s="4"/>
      <c r="C222" s="46"/>
      <c r="F222" s="26"/>
    </row>
    <row r="223" spans="1:9" ht="15.75" customHeight="1" x14ac:dyDescent="0.35">
      <c r="A223" s="4"/>
      <c r="B223" s="4"/>
      <c r="C223" s="46"/>
      <c r="F223" s="26"/>
    </row>
    <row r="224" spans="1:9" ht="15.75" customHeight="1" x14ac:dyDescent="0.35">
      <c r="A224" s="4"/>
      <c r="B224" s="4"/>
      <c r="C224" s="46"/>
      <c r="F224" s="26"/>
    </row>
    <row r="225" spans="1:6" ht="15.75" customHeight="1" x14ac:dyDescent="0.35">
      <c r="A225" s="4"/>
      <c r="B225" s="4"/>
      <c r="C225" s="46"/>
      <c r="F225" s="26"/>
    </row>
    <row r="226" spans="1:6" ht="15.75" customHeight="1" x14ac:dyDescent="0.35">
      <c r="A226" s="4"/>
      <c r="B226" s="4"/>
      <c r="C226" s="46"/>
      <c r="F226" s="26"/>
    </row>
    <row r="227" spans="1:6" ht="15.75" customHeight="1" x14ac:dyDescent="0.35">
      <c r="A227" s="4"/>
      <c r="B227" s="4"/>
      <c r="C227" s="46"/>
      <c r="F227" s="26"/>
    </row>
    <row r="228" spans="1:6" ht="15.75" customHeight="1" x14ac:dyDescent="0.35">
      <c r="A228" s="4"/>
      <c r="B228" s="4"/>
      <c r="C228" s="46"/>
      <c r="F228" s="26"/>
    </row>
    <row r="229" spans="1:6" ht="15.75" customHeight="1" x14ac:dyDescent="0.35">
      <c r="A229" s="4"/>
      <c r="B229" s="4"/>
      <c r="C229" s="46"/>
      <c r="F229" s="26"/>
    </row>
    <row r="230" spans="1:6" ht="15.75" customHeight="1" x14ac:dyDescent="0.35">
      <c r="A230" s="4"/>
      <c r="B230" s="4"/>
      <c r="C230" s="46"/>
      <c r="F230" s="26"/>
    </row>
    <row r="231" spans="1:6" ht="15.75" customHeight="1" x14ac:dyDescent="0.35">
      <c r="A231" s="4"/>
      <c r="B231" s="4"/>
      <c r="C231" s="46"/>
      <c r="F231" s="26"/>
    </row>
    <row r="232" spans="1:6" ht="15.75" customHeight="1" x14ac:dyDescent="0.35">
      <c r="A232" s="4"/>
      <c r="B232" s="4"/>
      <c r="C232" s="46"/>
      <c r="F232" s="26"/>
    </row>
    <row r="233" spans="1:6" ht="15.75" customHeight="1" x14ac:dyDescent="0.35">
      <c r="A233" s="4"/>
      <c r="B233" s="4"/>
      <c r="C233" s="46"/>
      <c r="F233" s="26"/>
    </row>
    <row r="234" spans="1:6" ht="15.75" customHeight="1" x14ac:dyDescent="0.35">
      <c r="A234" s="4"/>
      <c r="B234" s="4"/>
      <c r="C234" s="46"/>
      <c r="F234" s="26"/>
    </row>
    <row r="235" spans="1:6" ht="15.75" customHeight="1" x14ac:dyDescent="0.35">
      <c r="A235" s="4"/>
      <c r="B235" s="4"/>
      <c r="C235" s="46"/>
      <c r="F235" s="26"/>
    </row>
    <row r="236" spans="1:6" ht="15.75" customHeight="1" x14ac:dyDescent="0.35">
      <c r="A236" s="4"/>
      <c r="B236" s="4"/>
      <c r="C236" s="46"/>
      <c r="F236" s="26"/>
    </row>
    <row r="237" spans="1:6" ht="15.75" customHeight="1" x14ac:dyDescent="0.35">
      <c r="A237" s="4"/>
      <c r="B237" s="4"/>
      <c r="C237" s="46"/>
      <c r="F237" s="26"/>
    </row>
    <row r="238" spans="1:6" ht="15.75" customHeight="1" x14ac:dyDescent="0.35">
      <c r="A238" s="4"/>
      <c r="B238" s="4"/>
      <c r="C238" s="46"/>
      <c r="F238" s="26"/>
    </row>
    <row r="239" spans="1:6" ht="15.75" customHeight="1" x14ac:dyDescent="0.35">
      <c r="A239" s="4"/>
      <c r="B239" s="4"/>
      <c r="C239" s="46"/>
      <c r="F239" s="26"/>
    </row>
    <row r="240" spans="1:6" ht="15.75" customHeight="1" x14ac:dyDescent="0.35">
      <c r="A240" s="4"/>
      <c r="B240" s="4"/>
      <c r="C240" s="46"/>
      <c r="F240" s="26"/>
    </row>
    <row r="241" spans="1:6" ht="15.75" customHeight="1" x14ac:dyDescent="0.35">
      <c r="A241" s="4"/>
      <c r="B241" s="4"/>
      <c r="C241" s="46"/>
      <c r="F241" s="26"/>
    </row>
    <row r="242" spans="1:6" ht="15.75" customHeight="1" x14ac:dyDescent="0.35">
      <c r="A242" s="4"/>
      <c r="B242" s="4"/>
      <c r="C242" s="46"/>
      <c r="F242" s="26"/>
    </row>
    <row r="243" spans="1:6" ht="15.75" customHeight="1" x14ac:dyDescent="0.35">
      <c r="A243" s="4"/>
      <c r="B243" s="4"/>
      <c r="C243" s="46"/>
      <c r="F243" s="26"/>
    </row>
    <row r="244" spans="1:6" ht="15.75" customHeight="1" x14ac:dyDescent="0.35">
      <c r="A244" s="4"/>
      <c r="B244" s="4"/>
      <c r="C244" s="46"/>
      <c r="F244" s="26"/>
    </row>
    <row r="245" spans="1:6" ht="15.75" customHeight="1" x14ac:dyDescent="0.35">
      <c r="A245" s="4"/>
      <c r="B245" s="4"/>
      <c r="C245" s="46"/>
      <c r="F245" s="26"/>
    </row>
    <row r="246" spans="1:6" ht="15.75" customHeight="1" x14ac:dyDescent="0.35">
      <c r="A246" s="4"/>
      <c r="B246" s="4"/>
      <c r="C246" s="46"/>
      <c r="F246" s="26"/>
    </row>
    <row r="247" spans="1:6" ht="15.75" customHeight="1" x14ac:dyDescent="0.35">
      <c r="A247" s="4"/>
      <c r="B247" s="4"/>
      <c r="C247" s="46"/>
      <c r="F247" s="26"/>
    </row>
    <row r="248" spans="1:6" ht="15.75" customHeight="1" x14ac:dyDescent="0.35">
      <c r="A248" s="4"/>
      <c r="B248" s="4"/>
      <c r="C248" s="46"/>
      <c r="F248" s="26"/>
    </row>
    <row r="249" spans="1:6" ht="15.75" customHeight="1" x14ac:dyDescent="0.35">
      <c r="A249" s="4"/>
      <c r="B249" s="4"/>
      <c r="C249" s="46"/>
      <c r="F249" s="26"/>
    </row>
    <row r="250" spans="1:6" ht="15.75" customHeight="1" x14ac:dyDescent="0.35">
      <c r="A250" s="4"/>
      <c r="B250" s="4"/>
      <c r="C250" s="46"/>
      <c r="F250" s="26"/>
    </row>
    <row r="251" spans="1:6" ht="15.75" customHeight="1" x14ac:dyDescent="0.35">
      <c r="A251" s="4"/>
      <c r="B251" s="4"/>
      <c r="C251" s="46"/>
      <c r="F251" s="26"/>
    </row>
    <row r="252" spans="1:6" ht="15.75" customHeight="1" x14ac:dyDescent="0.35">
      <c r="A252" s="4"/>
      <c r="B252" s="4"/>
      <c r="C252" s="46"/>
      <c r="F252" s="26"/>
    </row>
    <row r="253" spans="1:6" ht="15.75" customHeight="1" x14ac:dyDescent="0.35">
      <c r="A253" s="4"/>
      <c r="B253" s="4"/>
      <c r="C253" s="46"/>
      <c r="F253" s="26"/>
    </row>
    <row r="254" spans="1:6" ht="15.75" customHeight="1" x14ac:dyDescent="0.35">
      <c r="A254" s="4"/>
      <c r="B254" s="4"/>
      <c r="C254" s="46"/>
      <c r="F254" s="26"/>
    </row>
    <row r="255" spans="1:6" ht="15.75" customHeight="1" x14ac:dyDescent="0.35">
      <c r="A255" s="4"/>
      <c r="B255" s="4"/>
      <c r="C255" s="46"/>
      <c r="F255" s="26"/>
    </row>
    <row r="256" spans="1:6" ht="15.75" customHeight="1" x14ac:dyDescent="0.35">
      <c r="A256" s="4"/>
      <c r="B256" s="4"/>
      <c r="C256" s="46"/>
      <c r="F256" s="26"/>
    </row>
    <row r="257" spans="1:6" ht="15.75" customHeight="1" x14ac:dyDescent="0.35">
      <c r="A257" s="4"/>
      <c r="B257" s="4"/>
      <c r="C257" s="46"/>
      <c r="F257" s="26"/>
    </row>
    <row r="258" spans="1:6" ht="15.75" customHeight="1" x14ac:dyDescent="0.35">
      <c r="A258" s="4"/>
      <c r="B258" s="4"/>
      <c r="C258" s="46"/>
      <c r="F258" s="26"/>
    </row>
    <row r="259" spans="1:6" ht="15.75" customHeight="1" x14ac:dyDescent="0.35">
      <c r="A259" s="4"/>
      <c r="B259" s="4"/>
      <c r="C259" s="46"/>
      <c r="F259" s="26"/>
    </row>
    <row r="260" spans="1:6" ht="15.75" customHeight="1" x14ac:dyDescent="0.35">
      <c r="A260" s="4"/>
      <c r="B260" s="4"/>
      <c r="C260" s="46"/>
      <c r="F260" s="26"/>
    </row>
    <row r="261" spans="1:6" ht="15.75" customHeight="1" x14ac:dyDescent="0.35">
      <c r="A261" s="4"/>
      <c r="B261" s="4"/>
      <c r="C261" s="46"/>
      <c r="F261" s="26"/>
    </row>
    <row r="262" spans="1:6" ht="15.75" customHeight="1" x14ac:dyDescent="0.35">
      <c r="A262" s="4"/>
      <c r="B262" s="4"/>
      <c r="C262" s="46"/>
      <c r="F262" s="26"/>
    </row>
    <row r="263" spans="1:6" ht="15.75" customHeight="1" x14ac:dyDescent="0.35">
      <c r="A263" s="4"/>
      <c r="B263" s="4"/>
      <c r="C263" s="46"/>
      <c r="F263" s="26"/>
    </row>
    <row r="264" spans="1:6" ht="15.75" customHeight="1" x14ac:dyDescent="0.35">
      <c r="A264" s="4"/>
      <c r="B264" s="4"/>
      <c r="C264" s="46"/>
      <c r="F264" s="26"/>
    </row>
    <row r="265" spans="1:6" ht="15.75" customHeight="1" x14ac:dyDescent="0.35">
      <c r="A265" s="4"/>
      <c r="B265" s="4"/>
      <c r="C265" s="46"/>
      <c r="F265" s="26"/>
    </row>
    <row r="266" spans="1:6" ht="15.75" customHeight="1" x14ac:dyDescent="0.35">
      <c r="A266" s="4"/>
      <c r="B266" s="4"/>
      <c r="C266" s="46"/>
      <c r="F266" s="26"/>
    </row>
    <row r="267" spans="1:6" ht="15.75" customHeight="1" x14ac:dyDescent="0.35">
      <c r="A267" s="4"/>
      <c r="B267" s="4"/>
      <c r="C267" s="46"/>
      <c r="F267" s="26"/>
    </row>
    <row r="268" spans="1:6" ht="15.75" customHeight="1" x14ac:dyDescent="0.35">
      <c r="A268" s="4"/>
      <c r="B268" s="4"/>
      <c r="C268" s="46"/>
      <c r="F268" s="26"/>
    </row>
    <row r="269" spans="1:6" ht="15.75" customHeight="1" x14ac:dyDescent="0.35">
      <c r="A269" s="4"/>
      <c r="B269" s="4"/>
      <c r="C269" s="46"/>
      <c r="F269" s="26"/>
    </row>
    <row r="270" spans="1:6" ht="15.75" customHeight="1" x14ac:dyDescent="0.35">
      <c r="A270" s="4"/>
      <c r="B270" s="4"/>
      <c r="C270" s="46"/>
      <c r="F270" s="26"/>
    </row>
    <row r="271" spans="1:6" ht="15.75" customHeight="1" x14ac:dyDescent="0.35">
      <c r="A271" s="4"/>
      <c r="B271" s="4"/>
      <c r="C271" s="46"/>
      <c r="F271" s="26"/>
    </row>
    <row r="272" spans="1:6" ht="15.75" customHeight="1" x14ac:dyDescent="0.35">
      <c r="A272" s="4"/>
      <c r="B272" s="4"/>
      <c r="C272" s="46"/>
      <c r="F272" s="26"/>
    </row>
    <row r="273" spans="1:6" ht="15.75" customHeight="1" x14ac:dyDescent="0.35">
      <c r="A273" s="4"/>
      <c r="B273" s="4"/>
      <c r="C273" s="46"/>
      <c r="F273" s="26"/>
    </row>
    <row r="274" spans="1:6" ht="15.75" customHeight="1" x14ac:dyDescent="0.35">
      <c r="A274" s="4"/>
      <c r="B274" s="4"/>
      <c r="C274" s="46"/>
      <c r="F274" s="26"/>
    </row>
    <row r="275" spans="1:6" ht="15.75" customHeight="1" x14ac:dyDescent="0.35">
      <c r="A275" s="4"/>
      <c r="B275" s="4"/>
      <c r="C275" s="46"/>
      <c r="F275" s="26"/>
    </row>
    <row r="276" spans="1:6" ht="15.75" customHeight="1" x14ac:dyDescent="0.35">
      <c r="A276" s="4"/>
      <c r="B276" s="4"/>
      <c r="C276" s="46"/>
      <c r="F276" s="26"/>
    </row>
    <row r="277" spans="1:6" ht="15.75" customHeight="1" x14ac:dyDescent="0.35">
      <c r="A277" s="4"/>
      <c r="B277" s="4"/>
      <c r="C277" s="46"/>
      <c r="F277" s="26"/>
    </row>
    <row r="278" spans="1:6" ht="15.75" customHeight="1" x14ac:dyDescent="0.35">
      <c r="A278" s="4"/>
      <c r="B278" s="4"/>
      <c r="C278" s="46"/>
      <c r="F278" s="26"/>
    </row>
    <row r="279" spans="1:6" ht="15.75" customHeight="1" x14ac:dyDescent="0.35">
      <c r="A279" s="4"/>
      <c r="B279" s="4"/>
      <c r="C279" s="46"/>
      <c r="F279" s="26"/>
    </row>
    <row r="280" spans="1:6" ht="15.75" customHeight="1" x14ac:dyDescent="0.35">
      <c r="A280" s="4"/>
      <c r="B280" s="4"/>
      <c r="C280" s="46"/>
      <c r="F280" s="26"/>
    </row>
    <row r="281" spans="1:6" ht="15.75" customHeight="1" x14ac:dyDescent="0.35">
      <c r="A281" s="4"/>
      <c r="B281" s="4"/>
      <c r="C281" s="46"/>
      <c r="F281" s="26"/>
    </row>
    <row r="282" spans="1:6" ht="15.75" customHeight="1" x14ac:dyDescent="0.35">
      <c r="A282" s="4"/>
      <c r="B282" s="4"/>
      <c r="C282" s="46"/>
      <c r="F282" s="26"/>
    </row>
    <row r="283" spans="1:6" ht="15.75" customHeight="1" x14ac:dyDescent="0.35">
      <c r="A283" s="4"/>
      <c r="B283" s="4"/>
      <c r="C283" s="46"/>
      <c r="F283" s="26"/>
    </row>
    <row r="284" spans="1:6" ht="15.75" customHeight="1" x14ac:dyDescent="0.35">
      <c r="A284" s="4"/>
      <c r="B284" s="4"/>
      <c r="C284" s="46"/>
      <c r="F284" s="26"/>
    </row>
    <row r="285" spans="1:6" ht="15.75" customHeight="1" x14ac:dyDescent="0.35">
      <c r="A285" s="4"/>
      <c r="B285" s="4"/>
      <c r="C285" s="46"/>
      <c r="F285" s="26"/>
    </row>
    <row r="286" spans="1:6" ht="15.75" customHeight="1" x14ac:dyDescent="0.35">
      <c r="A286" s="4"/>
      <c r="B286" s="4"/>
      <c r="C286" s="46"/>
      <c r="F286" s="26"/>
    </row>
    <row r="287" spans="1:6" ht="15.75" customHeight="1" x14ac:dyDescent="0.35">
      <c r="A287" s="4"/>
      <c r="B287" s="4"/>
      <c r="C287" s="46"/>
      <c r="F287" s="26"/>
    </row>
    <row r="288" spans="1:6" ht="15.75" customHeight="1" x14ac:dyDescent="0.35">
      <c r="A288" s="4"/>
      <c r="B288" s="4"/>
      <c r="C288" s="46"/>
      <c r="F288" s="26"/>
    </row>
    <row r="289" spans="1:6" ht="15.75" customHeight="1" x14ac:dyDescent="0.35">
      <c r="A289" s="4"/>
      <c r="B289" s="4"/>
      <c r="C289" s="46"/>
      <c r="F289" s="26"/>
    </row>
    <row r="290" spans="1:6" ht="15.75" customHeight="1" x14ac:dyDescent="0.35">
      <c r="A290" s="4"/>
      <c r="B290" s="4"/>
      <c r="C290" s="46"/>
      <c r="F290" s="26"/>
    </row>
    <row r="291" spans="1:6" ht="15.75" customHeight="1" x14ac:dyDescent="0.35">
      <c r="A291" s="4"/>
      <c r="B291" s="4"/>
      <c r="C291" s="46"/>
      <c r="F291" s="26"/>
    </row>
    <row r="292" spans="1:6" ht="15.75" customHeight="1" x14ac:dyDescent="0.35">
      <c r="A292" s="4"/>
      <c r="B292" s="4"/>
      <c r="C292" s="46"/>
      <c r="F292" s="26"/>
    </row>
    <row r="293" spans="1:6" ht="15.75" customHeight="1" x14ac:dyDescent="0.35">
      <c r="A293" s="4"/>
      <c r="B293" s="4"/>
      <c r="C293" s="46"/>
      <c r="F293" s="26"/>
    </row>
    <row r="294" spans="1:6" ht="15.75" customHeight="1" x14ac:dyDescent="0.35">
      <c r="A294" s="4"/>
      <c r="B294" s="4"/>
      <c r="C294" s="46"/>
      <c r="F294" s="26"/>
    </row>
    <row r="295" spans="1:6" ht="15.75" customHeight="1" x14ac:dyDescent="0.35">
      <c r="A295" s="4"/>
      <c r="B295" s="4"/>
      <c r="C295" s="46"/>
      <c r="F295" s="26"/>
    </row>
    <row r="296" spans="1:6" ht="15.75" customHeight="1" x14ac:dyDescent="0.35">
      <c r="A296" s="4"/>
      <c r="B296" s="4"/>
      <c r="C296" s="46"/>
      <c r="F296" s="26"/>
    </row>
    <row r="297" spans="1:6" ht="15.75" customHeight="1" x14ac:dyDescent="0.35">
      <c r="A297" s="4"/>
      <c r="B297" s="4"/>
      <c r="C297" s="46"/>
      <c r="F297" s="26"/>
    </row>
    <row r="298" spans="1:6" ht="15.75" customHeight="1" x14ac:dyDescent="0.35">
      <c r="A298" s="4"/>
      <c r="B298" s="4"/>
      <c r="C298" s="46"/>
      <c r="F298" s="26"/>
    </row>
    <row r="299" spans="1:6" ht="15.75" customHeight="1" x14ac:dyDescent="0.35">
      <c r="A299" s="4"/>
      <c r="B299" s="4"/>
      <c r="C299" s="46"/>
      <c r="F299" s="26"/>
    </row>
    <row r="300" spans="1:6" ht="15.75" customHeight="1" x14ac:dyDescent="0.35">
      <c r="A300" s="4"/>
      <c r="B300" s="4"/>
      <c r="C300" s="46"/>
      <c r="F300" s="26"/>
    </row>
    <row r="301" spans="1:6" ht="15.75" customHeight="1" x14ac:dyDescent="0.35">
      <c r="A301" s="4"/>
      <c r="B301" s="4"/>
      <c r="C301" s="46"/>
      <c r="F301" s="26"/>
    </row>
    <row r="302" spans="1:6" ht="15.75" customHeight="1" x14ac:dyDescent="0.35">
      <c r="A302" s="4"/>
      <c r="B302" s="4"/>
      <c r="C302" s="46"/>
      <c r="F302" s="26"/>
    </row>
    <row r="303" spans="1:6" ht="15.75" customHeight="1" x14ac:dyDescent="0.35">
      <c r="A303" s="4"/>
      <c r="B303" s="4"/>
      <c r="C303" s="46"/>
      <c r="F303" s="26"/>
    </row>
    <row r="304" spans="1:6" ht="15.75" customHeight="1" x14ac:dyDescent="0.35">
      <c r="A304" s="4"/>
      <c r="B304" s="4"/>
      <c r="C304" s="46"/>
      <c r="F304" s="26"/>
    </row>
    <row r="305" spans="1:6" ht="15.75" customHeight="1" x14ac:dyDescent="0.35">
      <c r="A305" s="4"/>
      <c r="B305" s="4"/>
      <c r="C305" s="46"/>
      <c r="F305" s="26"/>
    </row>
    <row r="306" spans="1:6" ht="15.75" customHeight="1" x14ac:dyDescent="0.35">
      <c r="A306" s="4"/>
      <c r="B306" s="4"/>
      <c r="C306" s="46"/>
      <c r="F306" s="26"/>
    </row>
    <row r="307" spans="1:6" ht="15.75" customHeight="1" x14ac:dyDescent="0.35">
      <c r="A307" s="4"/>
      <c r="B307" s="4"/>
      <c r="C307" s="46"/>
      <c r="F307" s="26"/>
    </row>
    <row r="308" spans="1:6" ht="15.75" customHeight="1" x14ac:dyDescent="0.35">
      <c r="A308" s="4"/>
      <c r="B308" s="4"/>
      <c r="C308" s="46"/>
      <c r="F308" s="26"/>
    </row>
    <row r="309" spans="1:6" ht="15.75" customHeight="1" x14ac:dyDescent="0.35">
      <c r="A309" s="4"/>
      <c r="B309" s="4"/>
      <c r="C309" s="46"/>
      <c r="F309" s="26"/>
    </row>
    <row r="310" spans="1:6" ht="15.75" customHeight="1" x14ac:dyDescent="0.35">
      <c r="A310" s="4"/>
      <c r="B310" s="4"/>
      <c r="C310" s="46"/>
      <c r="F310" s="26"/>
    </row>
    <row r="311" spans="1:6" ht="15.75" customHeight="1" x14ac:dyDescent="0.35">
      <c r="A311" s="4"/>
      <c r="B311" s="4"/>
      <c r="C311" s="46"/>
      <c r="F311" s="26"/>
    </row>
    <row r="312" spans="1:6" ht="15.75" customHeight="1" x14ac:dyDescent="0.35">
      <c r="A312" s="4"/>
      <c r="B312" s="4"/>
      <c r="C312" s="46"/>
      <c r="F312" s="26"/>
    </row>
    <row r="313" spans="1:6" ht="15.75" customHeight="1" x14ac:dyDescent="0.35">
      <c r="A313" s="4"/>
      <c r="B313" s="4"/>
      <c r="C313" s="46"/>
      <c r="F313" s="26"/>
    </row>
    <row r="314" spans="1:6" ht="15.75" customHeight="1" x14ac:dyDescent="0.35">
      <c r="A314" s="4"/>
      <c r="B314" s="4"/>
      <c r="C314" s="46"/>
      <c r="F314" s="26"/>
    </row>
    <row r="315" spans="1:6" ht="15.75" customHeight="1" x14ac:dyDescent="0.35">
      <c r="A315" s="4"/>
      <c r="B315" s="4"/>
      <c r="C315" s="46"/>
      <c r="F315" s="26"/>
    </row>
    <row r="316" spans="1:6" ht="15.75" customHeight="1" x14ac:dyDescent="0.35">
      <c r="A316" s="4"/>
      <c r="B316" s="4"/>
      <c r="C316" s="46"/>
      <c r="F316" s="26"/>
    </row>
    <row r="317" spans="1:6" ht="15.75" customHeight="1" x14ac:dyDescent="0.35">
      <c r="A317" s="4"/>
      <c r="B317" s="4"/>
      <c r="C317" s="46"/>
      <c r="F317" s="26"/>
    </row>
    <row r="318" spans="1:6" ht="15.75" customHeight="1" x14ac:dyDescent="0.35">
      <c r="A318" s="4"/>
      <c r="B318" s="4"/>
      <c r="C318" s="46"/>
      <c r="F318" s="26"/>
    </row>
    <row r="319" spans="1:6" ht="15.75" customHeight="1" x14ac:dyDescent="0.35">
      <c r="A319" s="4"/>
      <c r="B319" s="4"/>
      <c r="C319" s="46"/>
      <c r="F319" s="26"/>
    </row>
    <row r="320" spans="1:6" ht="15.75" customHeight="1" x14ac:dyDescent="0.35">
      <c r="A320" s="4"/>
      <c r="B320" s="4"/>
      <c r="C320" s="46"/>
      <c r="F320" s="26"/>
    </row>
    <row r="321" spans="1:6" ht="15.75" customHeight="1" x14ac:dyDescent="0.35">
      <c r="A321" s="4"/>
      <c r="B321" s="4"/>
      <c r="C321" s="46"/>
      <c r="F321" s="26"/>
    </row>
    <row r="322" spans="1:6" ht="15.75" customHeight="1" x14ac:dyDescent="0.35">
      <c r="A322" s="4"/>
      <c r="B322" s="4"/>
      <c r="C322" s="46"/>
      <c r="F322" s="26"/>
    </row>
    <row r="323" spans="1:6" ht="15.75" customHeight="1" x14ac:dyDescent="0.35">
      <c r="A323" s="4"/>
      <c r="B323" s="4"/>
      <c r="C323" s="46"/>
      <c r="F323" s="26"/>
    </row>
    <row r="324" spans="1:6" ht="15.75" customHeight="1" x14ac:dyDescent="0.35">
      <c r="A324" s="4"/>
      <c r="B324" s="4"/>
      <c r="C324" s="46"/>
      <c r="F324" s="26"/>
    </row>
    <row r="325" spans="1:6" ht="15.75" customHeight="1" x14ac:dyDescent="0.35">
      <c r="A325" s="4"/>
      <c r="B325" s="4"/>
      <c r="C325" s="46"/>
      <c r="F325" s="26"/>
    </row>
    <row r="326" spans="1:6" ht="15.75" customHeight="1" x14ac:dyDescent="0.35">
      <c r="A326" s="4"/>
      <c r="B326" s="4"/>
      <c r="C326" s="46"/>
      <c r="F326" s="26"/>
    </row>
    <row r="327" spans="1:6" ht="15.75" customHeight="1" x14ac:dyDescent="0.35">
      <c r="A327" s="4"/>
      <c r="B327" s="4"/>
      <c r="C327" s="46"/>
      <c r="F327" s="26"/>
    </row>
    <row r="328" spans="1:6" ht="15.75" customHeight="1" x14ac:dyDescent="0.35">
      <c r="A328" s="4"/>
      <c r="B328" s="4"/>
      <c r="C328" s="46"/>
      <c r="F328" s="26"/>
    </row>
    <row r="329" spans="1:6" ht="15.75" customHeight="1" x14ac:dyDescent="0.35">
      <c r="A329" s="4"/>
      <c r="B329" s="4"/>
      <c r="C329" s="46"/>
      <c r="F329" s="26"/>
    </row>
    <row r="330" spans="1:6" ht="15.75" customHeight="1" x14ac:dyDescent="0.35">
      <c r="A330" s="4"/>
      <c r="B330" s="4"/>
      <c r="C330" s="46"/>
      <c r="F330" s="26"/>
    </row>
    <row r="331" spans="1:6" ht="15.75" customHeight="1" x14ac:dyDescent="0.35">
      <c r="A331" s="4"/>
      <c r="B331" s="4"/>
      <c r="C331" s="46"/>
      <c r="F331" s="26"/>
    </row>
    <row r="332" spans="1:6" ht="15.75" customHeight="1" x14ac:dyDescent="0.35">
      <c r="A332" s="4"/>
      <c r="B332" s="4"/>
      <c r="C332" s="46"/>
      <c r="F332" s="26"/>
    </row>
    <row r="333" spans="1:6" ht="15.75" customHeight="1" x14ac:dyDescent="0.35">
      <c r="A333" s="4"/>
      <c r="B333" s="4"/>
      <c r="C333" s="46"/>
      <c r="F333" s="26"/>
    </row>
    <row r="334" spans="1:6" ht="15.75" customHeight="1" x14ac:dyDescent="0.35">
      <c r="A334" s="4"/>
      <c r="B334" s="4"/>
      <c r="C334" s="46"/>
      <c r="F334" s="26"/>
    </row>
    <row r="335" spans="1:6" ht="15.75" customHeight="1" x14ac:dyDescent="0.35">
      <c r="A335" s="4"/>
      <c r="B335" s="4"/>
      <c r="C335" s="46"/>
      <c r="F335" s="26"/>
    </row>
    <row r="336" spans="1:6" ht="15.75" customHeight="1" x14ac:dyDescent="0.35">
      <c r="A336" s="4"/>
      <c r="B336" s="4"/>
      <c r="C336" s="46"/>
      <c r="F336" s="26"/>
    </row>
    <row r="337" spans="1:6" ht="15.75" customHeight="1" x14ac:dyDescent="0.35">
      <c r="A337" s="4"/>
      <c r="B337" s="4"/>
      <c r="C337" s="46"/>
      <c r="F337" s="26"/>
    </row>
    <row r="338" spans="1:6" ht="15.75" customHeight="1" x14ac:dyDescent="0.35">
      <c r="A338" s="4"/>
      <c r="B338" s="4"/>
      <c r="C338" s="46"/>
      <c r="F338" s="26"/>
    </row>
    <row r="339" spans="1:6" ht="15.75" customHeight="1" x14ac:dyDescent="0.35">
      <c r="A339" s="4"/>
      <c r="B339" s="4"/>
      <c r="C339" s="46"/>
      <c r="F339" s="26"/>
    </row>
    <row r="340" spans="1:6" ht="15.75" customHeight="1" x14ac:dyDescent="0.35">
      <c r="A340" s="4"/>
      <c r="B340" s="4"/>
      <c r="C340" s="46"/>
      <c r="F340" s="26"/>
    </row>
    <row r="341" spans="1:6" ht="15.75" customHeight="1" x14ac:dyDescent="0.35">
      <c r="A341" s="4"/>
      <c r="B341" s="4"/>
      <c r="C341" s="46"/>
      <c r="F341" s="26"/>
    </row>
    <row r="342" spans="1:6" ht="15.75" customHeight="1" x14ac:dyDescent="0.35">
      <c r="A342" s="4"/>
      <c r="B342" s="4"/>
      <c r="C342" s="46"/>
      <c r="F342" s="26"/>
    </row>
    <row r="343" spans="1:6" ht="15.75" customHeight="1" x14ac:dyDescent="0.35">
      <c r="A343" s="4"/>
      <c r="B343" s="4"/>
      <c r="C343" s="46"/>
      <c r="F343" s="26"/>
    </row>
    <row r="344" spans="1:6" ht="15.75" customHeight="1" x14ac:dyDescent="0.35">
      <c r="A344" s="4"/>
      <c r="B344" s="4"/>
      <c r="C344" s="46"/>
      <c r="F344" s="26"/>
    </row>
    <row r="345" spans="1:6" ht="15.75" customHeight="1" x14ac:dyDescent="0.35">
      <c r="A345" s="4"/>
      <c r="B345" s="4"/>
      <c r="C345" s="46"/>
      <c r="F345" s="26"/>
    </row>
    <row r="346" spans="1:6" ht="15.75" customHeight="1" x14ac:dyDescent="0.35">
      <c r="A346" s="4"/>
      <c r="B346" s="4"/>
      <c r="C346" s="46"/>
      <c r="F346" s="26"/>
    </row>
    <row r="347" spans="1:6" ht="15.75" customHeight="1" x14ac:dyDescent="0.35">
      <c r="A347" s="4"/>
      <c r="B347" s="4"/>
      <c r="C347" s="46"/>
      <c r="F347" s="26"/>
    </row>
    <row r="348" spans="1:6" ht="15.75" customHeight="1" x14ac:dyDescent="0.35">
      <c r="A348" s="4"/>
      <c r="B348" s="4"/>
      <c r="C348" s="46"/>
      <c r="F348" s="26"/>
    </row>
    <row r="349" spans="1:6" ht="15.75" customHeight="1" x14ac:dyDescent="0.35">
      <c r="A349" s="4"/>
      <c r="B349" s="4"/>
      <c r="C349" s="46"/>
      <c r="F349" s="26"/>
    </row>
    <row r="350" spans="1:6" ht="15.75" customHeight="1" x14ac:dyDescent="0.35">
      <c r="A350" s="4"/>
      <c r="B350" s="4"/>
      <c r="C350" s="46"/>
      <c r="F350" s="26"/>
    </row>
    <row r="351" spans="1:6" ht="15.75" customHeight="1" x14ac:dyDescent="0.35">
      <c r="A351" s="4"/>
      <c r="B351" s="4"/>
      <c r="C351" s="46"/>
      <c r="F351" s="26"/>
    </row>
    <row r="352" spans="1:6" ht="15.75" customHeight="1" x14ac:dyDescent="0.35">
      <c r="A352" s="4"/>
      <c r="B352" s="4"/>
      <c r="C352" s="46"/>
      <c r="F352" s="26"/>
    </row>
    <row r="353" spans="1:6" ht="15.75" customHeight="1" x14ac:dyDescent="0.35">
      <c r="A353" s="4"/>
      <c r="B353" s="4"/>
      <c r="C353" s="46"/>
      <c r="F353" s="26"/>
    </row>
    <row r="354" spans="1:6" ht="15.75" customHeight="1" x14ac:dyDescent="0.35">
      <c r="A354" s="4"/>
      <c r="B354" s="4"/>
      <c r="C354" s="46"/>
      <c r="F354" s="26"/>
    </row>
    <row r="355" spans="1:6" ht="15.75" customHeight="1" x14ac:dyDescent="0.35">
      <c r="A355" s="4"/>
      <c r="B355" s="4"/>
      <c r="C355" s="46"/>
      <c r="F355" s="26"/>
    </row>
    <row r="356" spans="1:6" ht="15.75" customHeight="1" x14ac:dyDescent="0.35">
      <c r="A356" s="4"/>
      <c r="B356" s="4"/>
      <c r="C356" s="46"/>
      <c r="F356" s="26"/>
    </row>
    <row r="357" spans="1:6" ht="15.75" customHeight="1" x14ac:dyDescent="0.35">
      <c r="A357" s="4"/>
      <c r="B357" s="4"/>
      <c r="C357" s="46"/>
      <c r="F357" s="26"/>
    </row>
    <row r="358" spans="1:6" ht="15.75" customHeight="1" x14ac:dyDescent="0.35">
      <c r="A358" s="4"/>
      <c r="B358" s="4"/>
      <c r="C358" s="46"/>
      <c r="F358" s="26"/>
    </row>
    <row r="359" spans="1:6" ht="15.75" customHeight="1" x14ac:dyDescent="0.35">
      <c r="A359" s="4"/>
      <c r="B359" s="4"/>
      <c r="C359" s="46"/>
      <c r="F359" s="26"/>
    </row>
    <row r="360" spans="1:6" ht="15.75" customHeight="1" x14ac:dyDescent="0.35">
      <c r="A360" s="4"/>
      <c r="B360" s="4"/>
      <c r="C360" s="46"/>
      <c r="F360" s="26"/>
    </row>
    <row r="361" spans="1:6" ht="15.75" customHeight="1" x14ac:dyDescent="0.35">
      <c r="A361" s="4"/>
      <c r="B361" s="4"/>
      <c r="C361" s="46"/>
      <c r="F361" s="26"/>
    </row>
    <row r="362" spans="1:6" ht="15.75" customHeight="1" x14ac:dyDescent="0.35">
      <c r="A362" s="4"/>
      <c r="B362" s="4"/>
      <c r="C362" s="46"/>
      <c r="F362" s="26"/>
    </row>
    <row r="363" spans="1:6" ht="15.75" customHeight="1" x14ac:dyDescent="0.35">
      <c r="A363" s="4"/>
      <c r="B363" s="4"/>
      <c r="C363" s="46"/>
      <c r="F363" s="26"/>
    </row>
    <row r="364" spans="1:6" ht="15.75" customHeight="1" x14ac:dyDescent="0.35">
      <c r="A364" s="4"/>
      <c r="B364" s="4"/>
      <c r="C364" s="46"/>
      <c r="F364" s="26"/>
    </row>
    <row r="365" spans="1:6" ht="15.75" customHeight="1" x14ac:dyDescent="0.35">
      <c r="A365" s="4"/>
      <c r="B365" s="4"/>
      <c r="C365" s="46"/>
      <c r="F365" s="26"/>
    </row>
    <row r="366" spans="1:6" ht="15.75" customHeight="1" x14ac:dyDescent="0.35">
      <c r="A366" s="4"/>
      <c r="B366" s="4"/>
      <c r="C366" s="46"/>
      <c r="F366" s="26"/>
    </row>
    <row r="367" spans="1:6" ht="15.75" customHeight="1" x14ac:dyDescent="0.35">
      <c r="A367" s="4"/>
      <c r="B367" s="4"/>
      <c r="C367" s="46"/>
      <c r="F367" s="26"/>
    </row>
    <row r="368" spans="1:6" ht="15.75" customHeight="1" x14ac:dyDescent="0.35">
      <c r="A368" s="4"/>
      <c r="B368" s="4"/>
      <c r="C368" s="46"/>
      <c r="F368" s="26"/>
    </row>
    <row r="369" spans="1:6" ht="15.75" customHeight="1" x14ac:dyDescent="0.35">
      <c r="A369" s="4"/>
      <c r="B369" s="4"/>
      <c r="C369" s="46"/>
      <c r="F369" s="26"/>
    </row>
    <row r="370" spans="1:6" ht="15.75" customHeight="1" x14ac:dyDescent="0.35">
      <c r="A370" s="4"/>
      <c r="B370" s="4"/>
      <c r="C370" s="46"/>
      <c r="F370" s="26"/>
    </row>
    <row r="371" spans="1:6" ht="15.75" customHeight="1" x14ac:dyDescent="0.35">
      <c r="A371" s="4"/>
      <c r="B371" s="4"/>
      <c r="C371" s="46"/>
      <c r="F371" s="26"/>
    </row>
    <row r="372" spans="1:6" ht="15.75" customHeight="1" x14ac:dyDescent="0.35">
      <c r="A372" s="4"/>
      <c r="B372" s="4"/>
      <c r="C372" s="46"/>
      <c r="F372" s="26"/>
    </row>
    <row r="373" spans="1:6" ht="15.75" customHeight="1" x14ac:dyDescent="0.35">
      <c r="A373" s="4"/>
      <c r="B373" s="4"/>
      <c r="C373" s="46"/>
      <c r="F373" s="26"/>
    </row>
    <row r="374" spans="1:6" ht="15.75" customHeight="1" x14ac:dyDescent="0.35">
      <c r="A374" s="4"/>
      <c r="B374" s="4"/>
      <c r="C374" s="46"/>
      <c r="F374" s="26"/>
    </row>
    <row r="375" spans="1:6" ht="15.75" customHeight="1" x14ac:dyDescent="0.35">
      <c r="A375" s="4"/>
      <c r="B375" s="4"/>
      <c r="C375" s="46"/>
      <c r="F375" s="26"/>
    </row>
    <row r="376" spans="1:6" ht="15.75" customHeight="1" x14ac:dyDescent="0.35">
      <c r="A376" s="4"/>
      <c r="B376" s="4"/>
      <c r="C376" s="46"/>
      <c r="F376" s="26"/>
    </row>
    <row r="377" spans="1:6" ht="15.75" customHeight="1" x14ac:dyDescent="0.35">
      <c r="A377" s="4"/>
      <c r="B377" s="4"/>
      <c r="C377" s="46"/>
      <c r="F377" s="26"/>
    </row>
    <row r="378" spans="1:6" ht="15.75" customHeight="1" x14ac:dyDescent="0.35">
      <c r="A378" s="4"/>
      <c r="B378" s="4"/>
      <c r="C378" s="46"/>
      <c r="F378" s="26"/>
    </row>
    <row r="379" spans="1:6" ht="15.75" customHeight="1" x14ac:dyDescent="0.35">
      <c r="A379" s="4"/>
      <c r="B379" s="4"/>
      <c r="C379" s="46"/>
      <c r="F379" s="26"/>
    </row>
    <row r="380" spans="1:6" ht="15.75" customHeight="1" x14ac:dyDescent="0.35">
      <c r="A380" s="4"/>
      <c r="B380" s="4"/>
      <c r="C380" s="46"/>
      <c r="F380" s="26"/>
    </row>
    <row r="381" spans="1:6" ht="15.75" customHeight="1" x14ac:dyDescent="0.35">
      <c r="A381" s="4"/>
      <c r="B381" s="4"/>
      <c r="C381" s="46"/>
      <c r="F381" s="26"/>
    </row>
    <row r="382" spans="1:6" ht="15.75" customHeight="1" x14ac:dyDescent="0.35">
      <c r="A382" s="4"/>
      <c r="B382" s="4"/>
      <c r="C382" s="46"/>
      <c r="F382" s="26"/>
    </row>
    <row r="383" spans="1:6" ht="15.75" customHeight="1" x14ac:dyDescent="0.35">
      <c r="A383" s="4"/>
      <c r="B383" s="4"/>
      <c r="C383" s="46"/>
      <c r="F383" s="26"/>
    </row>
    <row r="384" spans="1:6" ht="15.75" customHeight="1" x14ac:dyDescent="0.35">
      <c r="A384" s="4"/>
      <c r="B384" s="4"/>
      <c r="C384" s="46"/>
      <c r="F384" s="26"/>
    </row>
    <row r="385" spans="1:6" ht="15.75" customHeight="1" x14ac:dyDescent="0.35">
      <c r="A385" s="4"/>
      <c r="B385" s="4"/>
      <c r="C385" s="46"/>
      <c r="F385" s="26"/>
    </row>
    <row r="386" spans="1:6" ht="15.75" customHeight="1" x14ac:dyDescent="0.35">
      <c r="A386" s="4"/>
      <c r="B386" s="4"/>
      <c r="C386" s="46"/>
      <c r="F386" s="26"/>
    </row>
    <row r="387" spans="1:6" ht="15.75" customHeight="1" x14ac:dyDescent="0.35">
      <c r="A387" s="4"/>
      <c r="B387" s="4"/>
      <c r="C387" s="46"/>
      <c r="F387" s="26"/>
    </row>
    <row r="388" spans="1:6" ht="15.75" customHeight="1" x14ac:dyDescent="0.35">
      <c r="A388" s="4"/>
      <c r="B388" s="4"/>
      <c r="C388" s="46"/>
      <c r="F388" s="26"/>
    </row>
    <row r="389" spans="1:6" ht="15.75" customHeight="1" x14ac:dyDescent="0.35">
      <c r="A389" s="4"/>
      <c r="B389" s="4"/>
      <c r="C389" s="46"/>
      <c r="F389" s="26"/>
    </row>
    <row r="390" spans="1:6" ht="15.75" customHeight="1" x14ac:dyDescent="0.35">
      <c r="A390" s="4"/>
      <c r="B390" s="4"/>
      <c r="C390" s="46"/>
      <c r="F390" s="26"/>
    </row>
    <row r="391" spans="1:6" ht="15.75" customHeight="1" x14ac:dyDescent="0.35">
      <c r="A391" s="4"/>
      <c r="B391" s="4"/>
      <c r="C391" s="46"/>
      <c r="F391" s="26"/>
    </row>
    <row r="392" spans="1:6" ht="15.75" customHeight="1" x14ac:dyDescent="0.35">
      <c r="A392" s="4"/>
      <c r="B392" s="4"/>
      <c r="C392" s="46"/>
      <c r="F392" s="26"/>
    </row>
    <row r="393" spans="1:6" ht="15.75" customHeight="1" x14ac:dyDescent="0.35">
      <c r="A393" s="4"/>
      <c r="B393" s="4"/>
      <c r="C393" s="46"/>
      <c r="F393" s="26"/>
    </row>
    <row r="394" spans="1:6" ht="15.75" customHeight="1" x14ac:dyDescent="0.35">
      <c r="A394" s="4"/>
      <c r="B394" s="4"/>
      <c r="C394" s="46"/>
      <c r="F394" s="26"/>
    </row>
    <row r="395" spans="1:6" ht="15.75" customHeight="1" x14ac:dyDescent="0.35">
      <c r="A395" s="4"/>
      <c r="B395" s="4"/>
      <c r="C395" s="46"/>
      <c r="F395" s="26"/>
    </row>
    <row r="396" spans="1:6" ht="15.75" customHeight="1" x14ac:dyDescent="0.35">
      <c r="A396" s="4"/>
      <c r="B396" s="4"/>
      <c r="C396" s="46"/>
      <c r="F396" s="26"/>
    </row>
    <row r="397" spans="1:6" ht="15.75" customHeight="1" x14ac:dyDescent="0.35">
      <c r="A397" s="4"/>
      <c r="B397" s="4"/>
      <c r="C397" s="46"/>
      <c r="F397" s="26"/>
    </row>
    <row r="398" spans="1:6" ht="15.75" customHeight="1" x14ac:dyDescent="0.35">
      <c r="A398" s="4"/>
      <c r="B398" s="4"/>
      <c r="C398" s="46"/>
      <c r="F398" s="26"/>
    </row>
    <row r="399" spans="1:6" ht="15.75" customHeight="1" x14ac:dyDescent="0.35">
      <c r="A399" s="4"/>
      <c r="B399" s="4"/>
      <c r="C399" s="46"/>
      <c r="F399" s="26"/>
    </row>
    <row r="400" spans="1:6" ht="15.75" customHeight="1" x14ac:dyDescent="0.35">
      <c r="A400" s="4"/>
      <c r="B400" s="4"/>
      <c r="C400" s="46"/>
      <c r="F400" s="26"/>
    </row>
    <row r="401" spans="1:6" ht="15.75" customHeight="1" x14ac:dyDescent="0.35">
      <c r="A401" s="4"/>
      <c r="B401" s="4"/>
      <c r="C401" s="46"/>
      <c r="F401" s="26"/>
    </row>
    <row r="402" spans="1:6" ht="15.75" customHeight="1" x14ac:dyDescent="0.35">
      <c r="A402" s="4"/>
      <c r="B402" s="4"/>
      <c r="C402" s="46"/>
      <c r="F402" s="26"/>
    </row>
    <row r="403" spans="1:6" ht="15.75" customHeight="1" x14ac:dyDescent="0.35">
      <c r="A403" s="4"/>
      <c r="B403" s="4"/>
      <c r="C403" s="46"/>
      <c r="F403" s="26"/>
    </row>
    <row r="404" spans="1:6" ht="15.75" customHeight="1" x14ac:dyDescent="0.35">
      <c r="A404" s="4"/>
      <c r="B404" s="4"/>
      <c r="C404" s="46"/>
      <c r="F404" s="26"/>
    </row>
    <row r="405" spans="1:6" ht="15.75" customHeight="1" x14ac:dyDescent="0.35">
      <c r="A405" s="4"/>
      <c r="B405" s="4"/>
      <c r="C405" s="46"/>
      <c r="F405" s="26"/>
    </row>
    <row r="406" spans="1:6" ht="15.75" customHeight="1" x14ac:dyDescent="0.35">
      <c r="A406" s="4"/>
      <c r="B406" s="4"/>
      <c r="C406" s="46"/>
      <c r="F406" s="26"/>
    </row>
    <row r="407" spans="1:6" ht="15.75" customHeight="1" x14ac:dyDescent="0.35">
      <c r="A407" s="4"/>
      <c r="B407" s="4"/>
      <c r="C407" s="46"/>
      <c r="F407" s="26"/>
    </row>
    <row r="408" spans="1:6" ht="15.75" customHeight="1" x14ac:dyDescent="0.35">
      <c r="A408" s="4"/>
      <c r="B408" s="4"/>
      <c r="C408" s="46"/>
      <c r="F408" s="26"/>
    </row>
    <row r="409" spans="1:6" ht="15.75" customHeight="1" x14ac:dyDescent="0.35">
      <c r="A409" s="4"/>
      <c r="B409" s="4"/>
      <c r="C409" s="46"/>
      <c r="F409" s="26"/>
    </row>
    <row r="410" spans="1:6" ht="15.75" customHeight="1" x14ac:dyDescent="0.35">
      <c r="A410" s="4"/>
      <c r="B410" s="4"/>
      <c r="C410" s="46"/>
      <c r="F410" s="26"/>
    </row>
    <row r="411" spans="1:6" ht="15.75" customHeight="1" x14ac:dyDescent="0.35">
      <c r="A411" s="4"/>
      <c r="B411" s="4"/>
      <c r="C411" s="46"/>
      <c r="F411" s="26"/>
    </row>
    <row r="412" spans="1:6" ht="15.75" customHeight="1" x14ac:dyDescent="0.35">
      <c r="A412" s="4"/>
      <c r="B412" s="4"/>
      <c r="C412" s="46"/>
      <c r="F412" s="26"/>
    </row>
    <row r="413" spans="1:6" ht="15.75" customHeight="1" x14ac:dyDescent="0.35">
      <c r="A413" s="4"/>
      <c r="B413" s="4"/>
      <c r="C413" s="46"/>
      <c r="F413" s="26"/>
    </row>
    <row r="414" spans="1:6" ht="15.75" customHeight="1" x14ac:dyDescent="0.35">
      <c r="A414" s="4"/>
      <c r="B414" s="4"/>
      <c r="C414" s="46"/>
      <c r="F414" s="26"/>
    </row>
    <row r="415" spans="1:6" ht="15.75" customHeight="1" x14ac:dyDescent="0.35">
      <c r="A415" s="4"/>
      <c r="B415" s="4"/>
      <c r="C415" s="46"/>
      <c r="F415" s="26"/>
    </row>
    <row r="416" spans="1:6" ht="15.75" customHeight="1" x14ac:dyDescent="0.35">
      <c r="A416" s="4"/>
      <c r="B416" s="4"/>
      <c r="C416" s="46"/>
      <c r="F416" s="26"/>
    </row>
    <row r="417" spans="1:6" ht="15.75" customHeight="1" x14ac:dyDescent="0.35">
      <c r="A417" s="4"/>
      <c r="B417" s="4"/>
      <c r="C417" s="46"/>
      <c r="F417" s="26"/>
    </row>
    <row r="418" spans="1:6" ht="15.75" customHeight="1" x14ac:dyDescent="0.35">
      <c r="A418" s="4"/>
      <c r="B418" s="4"/>
      <c r="C418" s="46"/>
      <c r="F418" s="26"/>
    </row>
    <row r="419" spans="1:6" ht="15.75" customHeight="1" x14ac:dyDescent="0.35">
      <c r="A419" s="4"/>
      <c r="B419" s="4"/>
      <c r="C419" s="46"/>
      <c r="F419" s="26"/>
    </row>
    <row r="420" spans="1:6" ht="15.75" customHeight="1" x14ac:dyDescent="0.35">
      <c r="A420" s="4"/>
      <c r="B420" s="4"/>
      <c r="C420" s="46"/>
      <c r="F420" s="26"/>
    </row>
    <row r="421" spans="1:6" ht="15.75" customHeight="1" x14ac:dyDescent="0.35">
      <c r="A421" s="4"/>
      <c r="B421" s="4"/>
      <c r="C421" s="46"/>
      <c r="F421" s="26"/>
    </row>
    <row r="422" spans="1:6" ht="15.75" customHeight="1" x14ac:dyDescent="0.35">
      <c r="A422" s="4"/>
      <c r="B422" s="4"/>
      <c r="C422" s="46"/>
      <c r="F422" s="26"/>
    </row>
    <row r="423" spans="1:6" ht="15.75" customHeight="1" x14ac:dyDescent="0.35">
      <c r="A423" s="4"/>
      <c r="B423" s="4"/>
      <c r="C423" s="46"/>
      <c r="F423" s="26"/>
    </row>
    <row r="424" spans="1:6" ht="15.75" customHeight="1" x14ac:dyDescent="0.35">
      <c r="A424" s="4"/>
      <c r="B424" s="4"/>
      <c r="C424" s="46"/>
      <c r="F424" s="26"/>
    </row>
    <row r="425" spans="1:6" ht="15.75" customHeight="1" x14ac:dyDescent="0.35">
      <c r="A425" s="4"/>
      <c r="B425" s="4"/>
      <c r="C425" s="46"/>
      <c r="F425" s="26"/>
    </row>
    <row r="426" spans="1:6" ht="15.75" customHeight="1" x14ac:dyDescent="0.35">
      <c r="A426" s="4"/>
      <c r="B426" s="4"/>
      <c r="C426" s="46"/>
      <c r="F426" s="26"/>
    </row>
    <row r="427" spans="1:6" ht="15.75" customHeight="1" x14ac:dyDescent="0.35">
      <c r="A427" s="4"/>
      <c r="B427" s="4"/>
      <c r="C427" s="46"/>
      <c r="F427" s="26"/>
    </row>
    <row r="428" spans="1:6" ht="15.75" customHeight="1" x14ac:dyDescent="0.35">
      <c r="A428" s="4"/>
      <c r="B428" s="4"/>
      <c r="C428" s="46"/>
      <c r="F428" s="26"/>
    </row>
    <row r="429" spans="1:6" ht="15.75" customHeight="1" x14ac:dyDescent="0.35">
      <c r="A429" s="4"/>
      <c r="B429" s="4"/>
      <c r="C429" s="46"/>
      <c r="F429" s="26"/>
    </row>
    <row r="430" spans="1:6" ht="15.75" customHeight="1" x14ac:dyDescent="0.35">
      <c r="A430" s="4"/>
      <c r="B430" s="4"/>
      <c r="C430" s="46"/>
      <c r="F430" s="26"/>
    </row>
    <row r="431" spans="1:6" ht="15.75" customHeight="1" x14ac:dyDescent="0.35">
      <c r="A431" s="4"/>
      <c r="B431" s="4"/>
      <c r="C431" s="46"/>
      <c r="F431" s="26"/>
    </row>
    <row r="432" spans="1:6" ht="15.75" customHeight="1" x14ac:dyDescent="0.35">
      <c r="A432" s="4"/>
      <c r="B432" s="4"/>
      <c r="C432" s="46"/>
      <c r="F432" s="26"/>
    </row>
    <row r="433" spans="1:6" ht="15.75" customHeight="1" x14ac:dyDescent="0.35">
      <c r="A433" s="4"/>
      <c r="B433" s="4"/>
      <c r="C433" s="46"/>
      <c r="F433" s="26"/>
    </row>
    <row r="434" spans="1:6" ht="15.75" customHeight="1" x14ac:dyDescent="0.35">
      <c r="A434" s="4"/>
      <c r="B434" s="4"/>
      <c r="C434" s="46"/>
      <c r="F434" s="26"/>
    </row>
    <row r="435" spans="1:6" ht="15.75" customHeight="1" x14ac:dyDescent="0.35">
      <c r="A435" s="4"/>
      <c r="B435" s="4"/>
      <c r="C435" s="46"/>
      <c r="F435" s="26"/>
    </row>
    <row r="436" spans="1:6" ht="15.75" customHeight="1" x14ac:dyDescent="0.35">
      <c r="A436" s="4"/>
      <c r="B436" s="4"/>
      <c r="C436" s="46"/>
      <c r="F436" s="26"/>
    </row>
    <row r="437" spans="1:6" ht="15.75" customHeight="1" x14ac:dyDescent="0.35">
      <c r="A437" s="4"/>
      <c r="B437" s="4"/>
      <c r="C437" s="46"/>
      <c r="F437" s="26"/>
    </row>
    <row r="438" spans="1:6" ht="15.75" customHeight="1" x14ac:dyDescent="0.35">
      <c r="A438" s="4"/>
      <c r="B438" s="4"/>
      <c r="C438" s="46"/>
      <c r="F438" s="26"/>
    </row>
    <row r="439" spans="1:6" ht="15.75" customHeight="1" x14ac:dyDescent="0.35">
      <c r="A439" s="4"/>
      <c r="B439" s="4"/>
      <c r="C439" s="46"/>
      <c r="F439" s="26"/>
    </row>
    <row r="440" spans="1:6" ht="15.75" customHeight="1" x14ac:dyDescent="0.35">
      <c r="A440" s="4"/>
      <c r="B440" s="4"/>
      <c r="C440" s="46"/>
      <c r="F440" s="26"/>
    </row>
    <row r="441" spans="1:6" ht="15.75" customHeight="1" x14ac:dyDescent="0.35">
      <c r="A441" s="4"/>
      <c r="B441" s="4"/>
      <c r="C441" s="46"/>
      <c r="F441" s="26"/>
    </row>
    <row r="442" spans="1:6" ht="15.75" customHeight="1" x14ac:dyDescent="0.35">
      <c r="A442" s="4"/>
      <c r="B442" s="4"/>
      <c r="C442" s="46"/>
      <c r="F442" s="26"/>
    </row>
    <row r="443" spans="1:6" ht="15.75" customHeight="1" x14ac:dyDescent="0.35">
      <c r="A443" s="4"/>
      <c r="B443" s="4"/>
      <c r="C443" s="46"/>
      <c r="F443" s="26"/>
    </row>
    <row r="444" spans="1:6" ht="15.75" customHeight="1" x14ac:dyDescent="0.35">
      <c r="A444" s="4"/>
      <c r="B444" s="4"/>
      <c r="C444" s="46"/>
      <c r="F444" s="26"/>
    </row>
    <row r="445" spans="1:6" ht="15.75" customHeight="1" x14ac:dyDescent="0.35">
      <c r="A445" s="4"/>
      <c r="B445" s="4"/>
      <c r="C445" s="46"/>
      <c r="F445" s="26"/>
    </row>
    <row r="446" spans="1:6" ht="15.75" customHeight="1" x14ac:dyDescent="0.35">
      <c r="A446" s="4"/>
      <c r="B446" s="4"/>
      <c r="C446" s="46"/>
      <c r="F446" s="26"/>
    </row>
    <row r="447" spans="1:6" ht="15.75" customHeight="1" x14ac:dyDescent="0.35">
      <c r="A447" s="4"/>
      <c r="B447" s="4"/>
      <c r="C447" s="46"/>
      <c r="F447" s="26"/>
    </row>
    <row r="448" spans="1:6" ht="15.75" customHeight="1" x14ac:dyDescent="0.35">
      <c r="A448" s="4"/>
      <c r="B448" s="4"/>
      <c r="C448" s="46"/>
      <c r="F448" s="26"/>
    </row>
    <row r="449" spans="1:6" ht="15.75" customHeight="1" x14ac:dyDescent="0.35">
      <c r="A449" s="4"/>
      <c r="B449" s="4"/>
      <c r="C449" s="46"/>
      <c r="F449" s="26"/>
    </row>
    <row r="450" spans="1:6" ht="15.75" customHeight="1" x14ac:dyDescent="0.35">
      <c r="A450" s="4"/>
      <c r="B450" s="4"/>
      <c r="C450" s="46"/>
      <c r="F450" s="26"/>
    </row>
    <row r="451" spans="1:6" ht="15.75" customHeight="1" x14ac:dyDescent="0.35">
      <c r="A451" s="4"/>
      <c r="B451" s="4"/>
      <c r="C451" s="46"/>
      <c r="F451" s="26"/>
    </row>
    <row r="452" spans="1:6" ht="15.75" customHeight="1" x14ac:dyDescent="0.35">
      <c r="A452" s="4"/>
      <c r="B452" s="4"/>
      <c r="C452" s="46"/>
      <c r="F452" s="26"/>
    </row>
    <row r="453" spans="1:6" ht="15.75" customHeight="1" x14ac:dyDescent="0.35">
      <c r="A453" s="4"/>
      <c r="B453" s="4"/>
      <c r="C453" s="46"/>
      <c r="F453" s="26"/>
    </row>
    <row r="454" spans="1:6" ht="15.75" customHeight="1" x14ac:dyDescent="0.35">
      <c r="A454" s="4"/>
      <c r="B454" s="4"/>
      <c r="C454" s="46"/>
      <c r="F454" s="26"/>
    </row>
    <row r="455" spans="1:6" ht="15.75" customHeight="1" x14ac:dyDescent="0.35">
      <c r="A455" s="4"/>
      <c r="B455" s="4"/>
      <c r="C455" s="46"/>
      <c r="F455" s="26"/>
    </row>
    <row r="456" spans="1:6" ht="15.75" customHeight="1" x14ac:dyDescent="0.35">
      <c r="A456" s="4"/>
      <c r="B456" s="4"/>
      <c r="C456" s="46"/>
      <c r="F456" s="26"/>
    </row>
    <row r="457" spans="1:6" ht="15.75" customHeight="1" x14ac:dyDescent="0.35">
      <c r="A457" s="4"/>
      <c r="B457" s="4"/>
      <c r="C457" s="46"/>
      <c r="F457" s="26"/>
    </row>
    <row r="458" spans="1:6" ht="15.75" customHeight="1" x14ac:dyDescent="0.35">
      <c r="A458" s="4"/>
      <c r="B458" s="4"/>
      <c r="C458" s="46"/>
      <c r="F458" s="26"/>
    </row>
    <row r="459" spans="1:6" ht="15.75" customHeight="1" x14ac:dyDescent="0.35">
      <c r="A459" s="4"/>
      <c r="B459" s="4"/>
      <c r="C459" s="46"/>
      <c r="F459" s="26"/>
    </row>
    <row r="460" spans="1:6" ht="15.75" customHeight="1" x14ac:dyDescent="0.35">
      <c r="A460" s="4"/>
      <c r="B460" s="4"/>
      <c r="C460" s="46"/>
      <c r="F460" s="26"/>
    </row>
    <row r="461" spans="1:6" ht="15.75" customHeight="1" x14ac:dyDescent="0.35">
      <c r="A461" s="4"/>
      <c r="B461" s="4"/>
      <c r="C461" s="46"/>
      <c r="F461" s="26"/>
    </row>
    <row r="462" spans="1:6" ht="15.75" customHeight="1" x14ac:dyDescent="0.35">
      <c r="A462" s="4"/>
      <c r="B462" s="4"/>
      <c r="C462" s="46"/>
      <c r="F462" s="26"/>
    </row>
    <row r="463" spans="1:6" ht="15.75" customHeight="1" x14ac:dyDescent="0.35">
      <c r="A463" s="4"/>
      <c r="B463" s="4"/>
      <c r="C463" s="46"/>
      <c r="F463" s="26"/>
    </row>
    <row r="464" spans="1:6" ht="15.75" customHeight="1" x14ac:dyDescent="0.35">
      <c r="A464" s="4"/>
      <c r="B464" s="4"/>
      <c r="C464" s="46"/>
      <c r="F464" s="26"/>
    </row>
    <row r="465" spans="1:6" ht="15.75" customHeight="1" x14ac:dyDescent="0.35">
      <c r="A465" s="4"/>
      <c r="B465" s="4"/>
      <c r="C465" s="46"/>
      <c r="F465" s="26"/>
    </row>
    <row r="466" spans="1:6" ht="15.75" customHeight="1" x14ac:dyDescent="0.35">
      <c r="A466" s="4"/>
      <c r="B466" s="4"/>
      <c r="C466" s="46"/>
      <c r="F466" s="26"/>
    </row>
    <row r="467" spans="1:6" ht="15.75" customHeight="1" x14ac:dyDescent="0.35">
      <c r="A467" s="4"/>
      <c r="B467" s="4"/>
      <c r="C467" s="46"/>
      <c r="F467" s="26"/>
    </row>
    <row r="468" spans="1:6" ht="15.75" customHeight="1" x14ac:dyDescent="0.35">
      <c r="A468" s="4"/>
      <c r="B468" s="4"/>
      <c r="C468" s="46"/>
      <c r="F468" s="26"/>
    </row>
    <row r="469" spans="1:6" ht="15.75" customHeight="1" x14ac:dyDescent="0.35">
      <c r="A469" s="4"/>
      <c r="B469" s="4"/>
      <c r="C469" s="46"/>
      <c r="F469" s="26"/>
    </row>
    <row r="470" spans="1:6" ht="15.75" customHeight="1" x14ac:dyDescent="0.35">
      <c r="A470" s="4"/>
      <c r="B470" s="4"/>
      <c r="C470" s="46"/>
      <c r="F470" s="26"/>
    </row>
    <row r="471" spans="1:6" ht="15.75" customHeight="1" x14ac:dyDescent="0.35">
      <c r="A471" s="4"/>
      <c r="B471" s="4"/>
      <c r="C471" s="46"/>
      <c r="F471" s="26"/>
    </row>
    <row r="472" spans="1:6" ht="15.75" customHeight="1" x14ac:dyDescent="0.35">
      <c r="A472" s="4"/>
      <c r="B472" s="4"/>
      <c r="C472" s="46"/>
      <c r="F472" s="26"/>
    </row>
    <row r="473" spans="1:6" ht="15.75" customHeight="1" x14ac:dyDescent="0.35">
      <c r="A473" s="4"/>
      <c r="B473" s="4"/>
      <c r="C473" s="46"/>
      <c r="F473" s="26"/>
    </row>
    <row r="474" spans="1:6" ht="15.75" customHeight="1" x14ac:dyDescent="0.35">
      <c r="A474" s="4"/>
      <c r="B474" s="4"/>
      <c r="C474" s="46"/>
      <c r="F474" s="26"/>
    </row>
    <row r="475" spans="1:6" ht="15.75" customHeight="1" x14ac:dyDescent="0.35">
      <c r="A475" s="4"/>
      <c r="B475" s="4"/>
      <c r="C475" s="46"/>
      <c r="F475" s="26"/>
    </row>
    <row r="476" spans="1:6" ht="15.75" customHeight="1" x14ac:dyDescent="0.35">
      <c r="A476" s="4"/>
      <c r="B476" s="4"/>
      <c r="C476" s="46"/>
      <c r="F476" s="26"/>
    </row>
    <row r="477" spans="1:6" ht="15.75" customHeight="1" x14ac:dyDescent="0.35">
      <c r="A477" s="4"/>
      <c r="B477" s="4"/>
      <c r="C477" s="46"/>
      <c r="F477" s="26"/>
    </row>
    <row r="478" spans="1:6" ht="15.75" customHeight="1" x14ac:dyDescent="0.35">
      <c r="A478" s="4"/>
      <c r="B478" s="4"/>
      <c r="C478" s="46"/>
      <c r="F478" s="26"/>
    </row>
    <row r="479" spans="1:6" ht="15.75" customHeight="1" x14ac:dyDescent="0.35">
      <c r="A479" s="4"/>
      <c r="B479" s="4"/>
      <c r="C479" s="46"/>
      <c r="F479" s="26"/>
    </row>
    <row r="480" spans="1:6" ht="15.75" customHeight="1" x14ac:dyDescent="0.35">
      <c r="A480" s="4"/>
      <c r="B480" s="4"/>
      <c r="C480" s="46"/>
      <c r="F480" s="26"/>
    </row>
    <row r="481" spans="1:6" ht="15.75" customHeight="1" x14ac:dyDescent="0.35">
      <c r="A481" s="4"/>
      <c r="B481" s="4"/>
      <c r="C481" s="46"/>
      <c r="F481" s="26"/>
    </row>
    <row r="482" spans="1:6" ht="15.75" customHeight="1" x14ac:dyDescent="0.35">
      <c r="A482" s="4"/>
      <c r="B482" s="4"/>
      <c r="C482" s="46"/>
      <c r="F482" s="26"/>
    </row>
    <row r="483" spans="1:6" ht="15.75" customHeight="1" x14ac:dyDescent="0.35">
      <c r="A483" s="4"/>
      <c r="B483" s="4"/>
      <c r="C483" s="46"/>
      <c r="F483" s="26"/>
    </row>
    <row r="484" spans="1:6" ht="15.75" customHeight="1" x14ac:dyDescent="0.35">
      <c r="A484" s="4"/>
      <c r="B484" s="4"/>
      <c r="C484" s="46"/>
      <c r="F484" s="26"/>
    </row>
    <row r="485" spans="1:6" ht="15.75" customHeight="1" x14ac:dyDescent="0.35">
      <c r="A485" s="4"/>
      <c r="B485" s="4"/>
      <c r="C485" s="46"/>
      <c r="F485" s="26"/>
    </row>
    <row r="486" spans="1:6" ht="15.75" customHeight="1" x14ac:dyDescent="0.35">
      <c r="A486" s="4"/>
      <c r="B486" s="4"/>
      <c r="C486" s="46"/>
      <c r="F486" s="26"/>
    </row>
    <row r="487" spans="1:6" ht="15.75" customHeight="1" x14ac:dyDescent="0.35">
      <c r="A487" s="4"/>
      <c r="B487" s="4"/>
      <c r="C487" s="46"/>
      <c r="F487" s="26"/>
    </row>
    <row r="488" spans="1:6" ht="15.75" customHeight="1" x14ac:dyDescent="0.35">
      <c r="A488" s="4"/>
      <c r="B488" s="4"/>
      <c r="C488" s="46"/>
      <c r="F488" s="26"/>
    </row>
    <row r="489" spans="1:6" ht="15.75" customHeight="1" x14ac:dyDescent="0.35">
      <c r="A489" s="4"/>
      <c r="B489" s="4"/>
      <c r="C489" s="46"/>
      <c r="F489" s="26"/>
    </row>
    <row r="490" spans="1:6" ht="15.75" customHeight="1" x14ac:dyDescent="0.35">
      <c r="A490" s="4"/>
      <c r="B490" s="4"/>
      <c r="C490" s="46"/>
      <c r="F490" s="26"/>
    </row>
    <row r="491" spans="1:6" ht="15.75" customHeight="1" x14ac:dyDescent="0.35">
      <c r="A491" s="4"/>
      <c r="B491" s="4"/>
      <c r="C491" s="46"/>
      <c r="F491" s="26"/>
    </row>
    <row r="492" spans="1:6" ht="15.75" customHeight="1" x14ac:dyDescent="0.35">
      <c r="A492" s="4"/>
      <c r="B492" s="4"/>
      <c r="C492" s="46"/>
      <c r="F492" s="26"/>
    </row>
    <row r="493" spans="1:6" ht="15.75" customHeight="1" x14ac:dyDescent="0.35">
      <c r="A493" s="4"/>
      <c r="B493" s="4"/>
      <c r="C493" s="46"/>
      <c r="F493" s="26"/>
    </row>
    <row r="494" spans="1:6" ht="15.75" customHeight="1" x14ac:dyDescent="0.35">
      <c r="A494" s="4"/>
      <c r="B494" s="4"/>
      <c r="C494" s="46"/>
      <c r="F494" s="26"/>
    </row>
    <row r="495" spans="1:6" ht="15.75" customHeight="1" x14ac:dyDescent="0.35">
      <c r="A495" s="4"/>
      <c r="B495" s="4"/>
      <c r="C495" s="46"/>
      <c r="F495" s="26"/>
    </row>
    <row r="496" spans="1:6" ht="15.75" customHeight="1" x14ac:dyDescent="0.35">
      <c r="A496" s="4"/>
      <c r="B496" s="4"/>
      <c r="C496" s="46"/>
      <c r="F496" s="26"/>
    </row>
    <row r="497" spans="1:6" ht="15.75" customHeight="1" x14ac:dyDescent="0.35">
      <c r="A497" s="4"/>
      <c r="B497" s="4"/>
      <c r="C497" s="46"/>
      <c r="F497" s="26"/>
    </row>
    <row r="498" spans="1:6" ht="15.75" customHeight="1" x14ac:dyDescent="0.35">
      <c r="A498" s="4"/>
      <c r="B498" s="4"/>
      <c r="C498" s="46"/>
      <c r="F498" s="26"/>
    </row>
    <row r="499" spans="1:6" ht="15.75" customHeight="1" x14ac:dyDescent="0.35">
      <c r="A499" s="4"/>
      <c r="B499" s="4"/>
      <c r="C499" s="46"/>
      <c r="F499" s="26"/>
    </row>
    <row r="500" spans="1:6" ht="15.75" customHeight="1" x14ac:dyDescent="0.35">
      <c r="A500" s="4"/>
      <c r="B500" s="4"/>
      <c r="C500" s="46"/>
      <c r="F500" s="26"/>
    </row>
    <row r="501" spans="1:6" ht="15.75" customHeight="1" x14ac:dyDescent="0.35">
      <c r="A501" s="4"/>
      <c r="B501" s="4"/>
      <c r="C501" s="46"/>
      <c r="F501" s="26"/>
    </row>
    <row r="502" spans="1:6" ht="15.75" customHeight="1" x14ac:dyDescent="0.35">
      <c r="A502" s="4"/>
      <c r="B502" s="4"/>
      <c r="C502" s="46"/>
      <c r="F502" s="26"/>
    </row>
    <row r="503" spans="1:6" ht="15.75" customHeight="1" x14ac:dyDescent="0.35">
      <c r="A503" s="4"/>
      <c r="B503" s="4"/>
      <c r="C503" s="46"/>
      <c r="F503" s="26"/>
    </row>
    <row r="504" spans="1:6" ht="15.75" customHeight="1" x14ac:dyDescent="0.35">
      <c r="A504" s="4"/>
      <c r="B504" s="4"/>
      <c r="C504" s="46"/>
      <c r="F504" s="26"/>
    </row>
    <row r="505" spans="1:6" ht="15.75" customHeight="1" x14ac:dyDescent="0.35">
      <c r="A505" s="4"/>
      <c r="B505" s="4"/>
      <c r="C505" s="46"/>
      <c r="F505" s="26"/>
    </row>
    <row r="506" spans="1:6" ht="15.75" customHeight="1" x14ac:dyDescent="0.35">
      <c r="A506" s="4"/>
      <c r="B506" s="4"/>
      <c r="C506" s="46"/>
      <c r="F506" s="26"/>
    </row>
    <row r="507" spans="1:6" ht="15.75" customHeight="1" x14ac:dyDescent="0.35">
      <c r="A507" s="4"/>
      <c r="B507" s="4"/>
      <c r="C507" s="46"/>
      <c r="F507" s="26"/>
    </row>
    <row r="508" spans="1:6" ht="15.75" customHeight="1" x14ac:dyDescent="0.35">
      <c r="A508" s="4"/>
      <c r="B508" s="4"/>
      <c r="C508" s="46"/>
      <c r="F508" s="26"/>
    </row>
    <row r="509" spans="1:6" ht="15.75" customHeight="1" x14ac:dyDescent="0.35">
      <c r="A509" s="4"/>
      <c r="B509" s="4"/>
      <c r="C509" s="46"/>
      <c r="F509" s="26"/>
    </row>
    <row r="510" spans="1:6" ht="15.75" customHeight="1" x14ac:dyDescent="0.35">
      <c r="A510" s="4"/>
      <c r="B510" s="4"/>
      <c r="C510" s="46"/>
      <c r="F510" s="26"/>
    </row>
    <row r="511" spans="1:6" ht="15.75" customHeight="1" x14ac:dyDescent="0.35">
      <c r="A511" s="4"/>
      <c r="B511" s="4"/>
      <c r="C511" s="46"/>
      <c r="F511" s="26"/>
    </row>
    <row r="512" spans="1:6" ht="15.75" customHeight="1" x14ac:dyDescent="0.35">
      <c r="A512" s="4"/>
      <c r="B512" s="4"/>
      <c r="C512" s="46"/>
      <c r="F512" s="26"/>
    </row>
    <row r="513" spans="1:6" ht="15.75" customHeight="1" x14ac:dyDescent="0.35">
      <c r="A513" s="4"/>
      <c r="B513" s="4"/>
      <c r="C513" s="46"/>
      <c r="F513" s="26"/>
    </row>
    <row r="514" spans="1:6" ht="15.75" customHeight="1" x14ac:dyDescent="0.35">
      <c r="A514" s="4"/>
      <c r="B514" s="4"/>
      <c r="C514" s="46"/>
      <c r="F514" s="26"/>
    </row>
    <row r="515" spans="1:6" ht="15.75" customHeight="1" x14ac:dyDescent="0.35">
      <c r="A515" s="4"/>
      <c r="B515" s="4"/>
      <c r="C515" s="46"/>
      <c r="F515" s="26"/>
    </row>
    <row r="516" spans="1:6" ht="15.75" customHeight="1" x14ac:dyDescent="0.35">
      <c r="A516" s="4"/>
      <c r="B516" s="4"/>
      <c r="C516" s="46"/>
      <c r="F516" s="26"/>
    </row>
    <row r="517" spans="1:6" ht="15.75" customHeight="1" x14ac:dyDescent="0.35">
      <c r="A517" s="4"/>
      <c r="B517" s="4"/>
      <c r="C517" s="46"/>
      <c r="F517" s="26"/>
    </row>
    <row r="518" spans="1:6" ht="15.75" customHeight="1" x14ac:dyDescent="0.35">
      <c r="A518" s="4"/>
      <c r="B518" s="4"/>
      <c r="C518" s="46"/>
      <c r="F518" s="26"/>
    </row>
    <row r="519" spans="1:6" ht="15.75" customHeight="1" x14ac:dyDescent="0.35">
      <c r="A519" s="4"/>
      <c r="B519" s="4"/>
      <c r="C519" s="46"/>
      <c r="F519" s="26"/>
    </row>
    <row r="520" spans="1:6" ht="15.75" customHeight="1" x14ac:dyDescent="0.35">
      <c r="A520" s="4"/>
      <c r="B520" s="4"/>
      <c r="C520" s="46"/>
      <c r="F520" s="26"/>
    </row>
    <row r="521" spans="1:6" ht="15.75" customHeight="1" x14ac:dyDescent="0.35">
      <c r="A521" s="4"/>
      <c r="B521" s="4"/>
      <c r="C521" s="46"/>
      <c r="F521" s="26"/>
    </row>
    <row r="522" spans="1:6" ht="15.75" customHeight="1" x14ac:dyDescent="0.35">
      <c r="A522" s="4"/>
      <c r="B522" s="4"/>
      <c r="C522" s="46"/>
      <c r="F522" s="26"/>
    </row>
    <row r="523" spans="1:6" ht="15.75" customHeight="1" x14ac:dyDescent="0.35">
      <c r="A523" s="4"/>
      <c r="B523" s="4"/>
      <c r="C523" s="46"/>
      <c r="F523" s="26"/>
    </row>
    <row r="524" spans="1:6" ht="15.75" customHeight="1" x14ac:dyDescent="0.35">
      <c r="A524" s="4"/>
      <c r="B524" s="4"/>
      <c r="C524" s="46"/>
      <c r="F524" s="26"/>
    </row>
    <row r="525" spans="1:6" ht="15.75" customHeight="1" x14ac:dyDescent="0.35">
      <c r="A525" s="4"/>
      <c r="B525" s="4"/>
      <c r="C525" s="46"/>
      <c r="F525" s="26"/>
    </row>
    <row r="526" spans="1:6" ht="15.75" customHeight="1" x14ac:dyDescent="0.35">
      <c r="A526" s="4"/>
      <c r="B526" s="4"/>
      <c r="C526" s="46"/>
      <c r="F526" s="26"/>
    </row>
    <row r="527" spans="1:6" ht="15.75" customHeight="1" x14ac:dyDescent="0.35">
      <c r="A527" s="4"/>
      <c r="B527" s="4"/>
      <c r="C527" s="46"/>
      <c r="F527" s="26"/>
    </row>
    <row r="528" spans="1:6" ht="15.75" customHeight="1" x14ac:dyDescent="0.35">
      <c r="A528" s="4"/>
      <c r="B528" s="4"/>
      <c r="C528" s="46"/>
      <c r="F528" s="26"/>
    </row>
    <row r="529" spans="1:6" ht="15.75" customHeight="1" x14ac:dyDescent="0.35">
      <c r="A529" s="4"/>
      <c r="B529" s="4"/>
      <c r="C529" s="46"/>
      <c r="F529" s="26"/>
    </row>
    <row r="530" spans="1:6" ht="15.75" customHeight="1" x14ac:dyDescent="0.35">
      <c r="A530" s="4"/>
      <c r="B530" s="4"/>
      <c r="C530" s="46"/>
      <c r="F530" s="26"/>
    </row>
    <row r="531" spans="1:6" ht="15.75" customHeight="1" x14ac:dyDescent="0.35">
      <c r="A531" s="4"/>
      <c r="B531" s="4"/>
      <c r="C531" s="46"/>
      <c r="F531" s="26"/>
    </row>
    <row r="532" spans="1:6" ht="15.75" customHeight="1" x14ac:dyDescent="0.35">
      <c r="A532" s="4"/>
      <c r="B532" s="4"/>
      <c r="C532" s="46"/>
      <c r="F532" s="26"/>
    </row>
    <row r="533" spans="1:6" ht="15.75" customHeight="1" x14ac:dyDescent="0.35">
      <c r="A533" s="4"/>
      <c r="B533" s="4"/>
      <c r="C533" s="46"/>
      <c r="F533" s="26"/>
    </row>
    <row r="534" spans="1:6" ht="15.75" customHeight="1" x14ac:dyDescent="0.35">
      <c r="A534" s="4"/>
      <c r="B534" s="4"/>
      <c r="C534" s="46"/>
      <c r="F534" s="26"/>
    </row>
    <row r="535" spans="1:6" ht="15.75" customHeight="1" x14ac:dyDescent="0.35">
      <c r="A535" s="4"/>
      <c r="B535" s="4"/>
      <c r="C535" s="46"/>
      <c r="F535" s="26"/>
    </row>
    <row r="536" spans="1:6" ht="15.75" customHeight="1" x14ac:dyDescent="0.35">
      <c r="A536" s="4"/>
      <c r="B536" s="4"/>
      <c r="C536" s="46"/>
      <c r="F536" s="26"/>
    </row>
    <row r="537" spans="1:6" ht="15.75" customHeight="1" x14ac:dyDescent="0.35">
      <c r="A537" s="4"/>
      <c r="B537" s="4"/>
      <c r="C537" s="46"/>
      <c r="F537" s="26"/>
    </row>
    <row r="538" spans="1:6" ht="15.75" customHeight="1" x14ac:dyDescent="0.35">
      <c r="A538" s="4"/>
      <c r="B538" s="4"/>
      <c r="C538" s="46"/>
      <c r="F538" s="26"/>
    </row>
    <row r="539" spans="1:6" ht="15.75" customHeight="1" x14ac:dyDescent="0.35">
      <c r="A539" s="4"/>
      <c r="B539" s="4"/>
      <c r="C539" s="46"/>
      <c r="F539" s="26"/>
    </row>
    <row r="540" spans="1:6" ht="15.75" customHeight="1" x14ac:dyDescent="0.35">
      <c r="A540" s="4"/>
      <c r="B540" s="4"/>
      <c r="C540" s="46"/>
      <c r="F540" s="26"/>
    </row>
    <row r="541" spans="1:6" ht="15.75" customHeight="1" x14ac:dyDescent="0.35">
      <c r="A541" s="4"/>
      <c r="B541" s="4"/>
      <c r="C541" s="46"/>
      <c r="F541" s="26"/>
    </row>
    <row r="542" spans="1:6" ht="15.75" customHeight="1" x14ac:dyDescent="0.35">
      <c r="A542" s="4"/>
      <c r="B542" s="4"/>
      <c r="C542" s="46"/>
      <c r="F542" s="26"/>
    </row>
    <row r="543" spans="1:6" ht="15.75" customHeight="1" x14ac:dyDescent="0.35">
      <c r="A543" s="4"/>
      <c r="B543" s="4"/>
      <c r="C543" s="46"/>
      <c r="F543" s="26"/>
    </row>
    <row r="544" spans="1:6" ht="15.75" customHeight="1" x14ac:dyDescent="0.35">
      <c r="A544" s="4"/>
      <c r="B544" s="4"/>
      <c r="C544" s="46"/>
      <c r="F544" s="26"/>
    </row>
    <row r="545" spans="1:6" ht="15.75" customHeight="1" x14ac:dyDescent="0.35">
      <c r="A545" s="4"/>
      <c r="B545" s="4"/>
      <c r="C545" s="46"/>
      <c r="F545" s="26"/>
    </row>
    <row r="546" spans="1:6" ht="15.75" customHeight="1" x14ac:dyDescent="0.35">
      <c r="A546" s="4"/>
      <c r="B546" s="4"/>
      <c r="C546" s="46"/>
      <c r="F546" s="26"/>
    </row>
    <row r="547" spans="1:6" ht="15.75" customHeight="1" x14ac:dyDescent="0.35">
      <c r="A547" s="4"/>
      <c r="B547" s="4"/>
      <c r="C547" s="46"/>
      <c r="F547" s="26"/>
    </row>
    <row r="548" spans="1:6" ht="15.75" customHeight="1" x14ac:dyDescent="0.35">
      <c r="A548" s="4"/>
      <c r="B548" s="4"/>
      <c r="C548" s="46"/>
      <c r="F548" s="26"/>
    </row>
    <row r="549" spans="1:6" ht="15.75" customHeight="1" x14ac:dyDescent="0.35">
      <c r="A549" s="4"/>
      <c r="B549" s="4"/>
      <c r="C549" s="46"/>
      <c r="F549" s="26"/>
    </row>
    <row r="550" spans="1:6" ht="15.75" customHeight="1" x14ac:dyDescent="0.35">
      <c r="A550" s="4"/>
      <c r="B550" s="4"/>
      <c r="C550" s="46"/>
      <c r="F550" s="26"/>
    </row>
    <row r="551" spans="1:6" ht="15.75" customHeight="1" x14ac:dyDescent="0.35">
      <c r="A551" s="4"/>
      <c r="B551" s="4"/>
      <c r="C551" s="46"/>
      <c r="F551" s="26"/>
    </row>
    <row r="552" spans="1:6" ht="15.75" customHeight="1" x14ac:dyDescent="0.35">
      <c r="A552" s="4"/>
      <c r="B552" s="4"/>
      <c r="C552" s="46"/>
      <c r="F552" s="26"/>
    </row>
    <row r="553" spans="1:6" ht="15.75" customHeight="1" x14ac:dyDescent="0.35">
      <c r="A553" s="4"/>
      <c r="B553" s="4"/>
      <c r="C553" s="46"/>
      <c r="F553" s="26"/>
    </row>
    <row r="554" spans="1:6" ht="15.75" customHeight="1" x14ac:dyDescent="0.35">
      <c r="A554" s="4"/>
      <c r="B554" s="4"/>
      <c r="C554" s="46"/>
      <c r="F554" s="26"/>
    </row>
    <row r="555" spans="1:6" ht="15.75" customHeight="1" x14ac:dyDescent="0.35">
      <c r="A555" s="4"/>
      <c r="B555" s="4"/>
      <c r="C555" s="46"/>
      <c r="F555" s="26"/>
    </row>
    <row r="556" spans="1:6" ht="15.75" customHeight="1" x14ac:dyDescent="0.35">
      <c r="A556" s="4"/>
      <c r="B556" s="4"/>
      <c r="C556" s="46"/>
      <c r="F556" s="26"/>
    </row>
    <row r="557" spans="1:6" ht="15.75" customHeight="1" x14ac:dyDescent="0.35">
      <c r="A557" s="4"/>
      <c r="B557" s="4"/>
      <c r="C557" s="46"/>
      <c r="F557" s="26"/>
    </row>
    <row r="558" spans="1:6" ht="15.75" customHeight="1" x14ac:dyDescent="0.35">
      <c r="A558" s="4"/>
      <c r="B558" s="4"/>
      <c r="C558" s="46"/>
      <c r="F558" s="26"/>
    </row>
    <row r="559" spans="1:6" ht="15.75" customHeight="1" x14ac:dyDescent="0.35">
      <c r="A559" s="4"/>
      <c r="B559" s="4"/>
      <c r="C559" s="46"/>
      <c r="F559" s="26"/>
    </row>
    <row r="560" spans="1:6" ht="15.75" customHeight="1" x14ac:dyDescent="0.35">
      <c r="A560" s="4"/>
      <c r="B560" s="4"/>
      <c r="C560" s="46"/>
      <c r="F560" s="26"/>
    </row>
    <row r="561" spans="1:6" ht="15.75" customHeight="1" x14ac:dyDescent="0.35">
      <c r="A561" s="4"/>
      <c r="B561" s="4"/>
      <c r="C561" s="46"/>
      <c r="F561" s="26"/>
    </row>
    <row r="562" spans="1:6" ht="15.75" customHeight="1" x14ac:dyDescent="0.35">
      <c r="A562" s="4"/>
      <c r="B562" s="4"/>
      <c r="C562" s="46"/>
      <c r="F562" s="26"/>
    </row>
    <row r="563" spans="1:6" ht="15.75" customHeight="1" x14ac:dyDescent="0.35">
      <c r="A563" s="4"/>
      <c r="B563" s="4"/>
      <c r="C563" s="46"/>
      <c r="F563" s="26"/>
    </row>
    <row r="564" spans="1:6" ht="15.75" customHeight="1" x14ac:dyDescent="0.35">
      <c r="A564" s="4"/>
      <c r="B564" s="4"/>
      <c r="C564" s="46"/>
      <c r="F564" s="26"/>
    </row>
    <row r="565" spans="1:6" ht="15.75" customHeight="1" x14ac:dyDescent="0.35">
      <c r="A565" s="4"/>
      <c r="B565" s="4"/>
      <c r="C565" s="46"/>
      <c r="F565" s="26"/>
    </row>
    <row r="566" spans="1:6" ht="15.75" customHeight="1" x14ac:dyDescent="0.35">
      <c r="A566" s="4"/>
      <c r="B566" s="4"/>
      <c r="C566" s="46"/>
      <c r="F566" s="26"/>
    </row>
    <row r="567" spans="1:6" ht="15.75" customHeight="1" x14ac:dyDescent="0.35">
      <c r="A567" s="4"/>
      <c r="B567" s="4"/>
      <c r="C567" s="46"/>
      <c r="F567" s="26"/>
    </row>
    <row r="568" spans="1:6" ht="15.75" customHeight="1" x14ac:dyDescent="0.35">
      <c r="A568" s="4"/>
      <c r="B568" s="4"/>
      <c r="C568" s="46"/>
      <c r="F568" s="26"/>
    </row>
    <row r="569" spans="1:6" ht="15.75" customHeight="1" x14ac:dyDescent="0.35">
      <c r="A569" s="4"/>
      <c r="B569" s="4"/>
      <c r="C569" s="46"/>
      <c r="F569" s="26"/>
    </row>
    <row r="570" spans="1:6" ht="15.75" customHeight="1" x14ac:dyDescent="0.35">
      <c r="A570" s="4"/>
      <c r="B570" s="4"/>
      <c r="C570" s="46"/>
      <c r="F570" s="26"/>
    </row>
    <row r="571" spans="1:6" ht="15.75" customHeight="1" x14ac:dyDescent="0.35">
      <c r="A571" s="4"/>
      <c r="B571" s="4"/>
      <c r="C571" s="46"/>
      <c r="F571" s="26"/>
    </row>
    <row r="572" spans="1:6" ht="15.75" customHeight="1" x14ac:dyDescent="0.35">
      <c r="A572" s="4"/>
      <c r="B572" s="4"/>
      <c r="C572" s="46"/>
      <c r="F572" s="26"/>
    </row>
    <row r="573" spans="1:6" ht="15.75" customHeight="1" x14ac:dyDescent="0.35">
      <c r="A573" s="4"/>
      <c r="B573" s="4"/>
      <c r="C573" s="46"/>
      <c r="F573" s="26"/>
    </row>
    <row r="574" spans="1:6" ht="15.75" customHeight="1" x14ac:dyDescent="0.35">
      <c r="A574" s="4"/>
      <c r="B574" s="4"/>
      <c r="C574" s="46"/>
      <c r="F574" s="26"/>
    </row>
    <row r="575" spans="1:6" ht="15.75" customHeight="1" x14ac:dyDescent="0.35">
      <c r="A575" s="4"/>
      <c r="B575" s="4"/>
      <c r="C575" s="46"/>
      <c r="F575" s="26"/>
    </row>
    <row r="576" spans="1:6" ht="15.75" customHeight="1" x14ac:dyDescent="0.35">
      <c r="A576" s="4"/>
      <c r="B576" s="4"/>
      <c r="C576" s="46"/>
      <c r="F576" s="26"/>
    </row>
    <row r="577" spans="1:6" ht="15.75" customHeight="1" x14ac:dyDescent="0.35">
      <c r="A577" s="4"/>
      <c r="B577" s="4"/>
      <c r="C577" s="46"/>
      <c r="F577" s="26"/>
    </row>
    <row r="578" spans="1:6" ht="15.75" customHeight="1" x14ac:dyDescent="0.35">
      <c r="A578" s="4"/>
      <c r="B578" s="4"/>
      <c r="C578" s="46"/>
      <c r="F578" s="26"/>
    </row>
    <row r="579" spans="1:6" ht="15.75" customHeight="1" x14ac:dyDescent="0.35">
      <c r="A579" s="4"/>
      <c r="B579" s="4"/>
      <c r="C579" s="46"/>
      <c r="F579" s="26"/>
    </row>
    <row r="580" spans="1:6" ht="15.75" customHeight="1" x14ac:dyDescent="0.35">
      <c r="A580" s="4"/>
      <c r="B580" s="4"/>
      <c r="C580" s="46"/>
      <c r="F580" s="26"/>
    </row>
    <row r="581" spans="1:6" ht="15.75" customHeight="1" x14ac:dyDescent="0.35">
      <c r="A581" s="4"/>
      <c r="B581" s="4"/>
      <c r="C581" s="46"/>
      <c r="F581" s="26"/>
    </row>
    <row r="582" spans="1:6" ht="15.75" customHeight="1" x14ac:dyDescent="0.35">
      <c r="A582" s="4"/>
      <c r="B582" s="4"/>
      <c r="C582" s="46"/>
      <c r="F582" s="26"/>
    </row>
    <row r="583" spans="1:6" ht="15.75" customHeight="1" x14ac:dyDescent="0.35">
      <c r="A583" s="4"/>
      <c r="B583" s="4"/>
      <c r="C583" s="46"/>
      <c r="F583" s="26"/>
    </row>
    <row r="584" spans="1:6" ht="15.75" customHeight="1" x14ac:dyDescent="0.35">
      <c r="A584" s="4"/>
      <c r="B584" s="4"/>
      <c r="C584" s="46"/>
      <c r="F584" s="26"/>
    </row>
    <row r="585" spans="1:6" ht="15.75" customHeight="1" x14ac:dyDescent="0.35">
      <c r="A585" s="4"/>
      <c r="B585" s="4"/>
      <c r="C585" s="46"/>
      <c r="F585" s="26"/>
    </row>
    <row r="586" spans="1:6" ht="15.75" customHeight="1" x14ac:dyDescent="0.35">
      <c r="A586" s="4"/>
      <c r="B586" s="4"/>
      <c r="C586" s="46"/>
      <c r="F586" s="26"/>
    </row>
    <row r="587" spans="1:6" ht="15.75" customHeight="1" x14ac:dyDescent="0.35">
      <c r="A587" s="4"/>
      <c r="B587" s="4"/>
      <c r="C587" s="46"/>
      <c r="F587" s="26"/>
    </row>
    <row r="588" spans="1:6" ht="15.75" customHeight="1" x14ac:dyDescent="0.35">
      <c r="A588" s="4"/>
      <c r="B588" s="4"/>
      <c r="C588" s="46"/>
      <c r="F588" s="26"/>
    </row>
    <row r="589" spans="1:6" ht="15.75" customHeight="1" x14ac:dyDescent="0.35">
      <c r="A589" s="4"/>
      <c r="B589" s="4"/>
      <c r="C589" s="46"/>
      <c r="F589" s="26"/>
    </row>
    <row r="590" spans="1:6" ht="15.75" customHeight="1" x14ac:dyDescent="0.35">
      <c r="A590" s="4"/>
      <c r="B590" s="4"/>
      <c r="C590" s="46"/>
      <c r="F590" s="26"/>
    </row>
    <row r="591" spans="1:6" ht="15.75" customHeight="1" x14ac:dyDescent="0.35">
      <c r="A591" s="4"/>
      <c r="B591" s="4"/>
      <c r="C591" s="46"/>
      <c r="F591" s="26"/>
    </row>
    <row r="592" spans="1:6" ht="15.75" customHeight="1" x14ac:dyDescent="0.35">
      <c r="A592" s="4"/>
      <c r="B592" s="4"/>
      <c r="C592" s="46"/>
      <c r="F592" s="26"/>
    </row>
    <row r="593" spans="1:6" ht="15.75" customHeight="1" x14ac:dyDescent="0.35">
      <c r="A593" s="4"/>
      <c r="B593" s="4"/>
      <c r="C593" s="46"/>
      <c r="F593" s="26"/>
    </row>
    <row r="594" spans="1:6" ht="15.75" customHeight="1" x14ac:dyDescent="0.35">
      <c r="A594" s="4"/>
      <c r="B594" s="4"/>
      <c r="C594" s="46"/>
      <c r="F594" s="26"/>
    </row>
    <row r="595" spans="1:6" ht="15.75" customHeight="1" x14ac:dyDescent="0.35">
      <c r="A595" s="4"/>
      <c r="B595" s="4"/>
      <c r="C595" s="46"/>
      <c r="F595" s="26"/>
    </row>
    <row r="596" spans="1:6" ht="15.75" customHeight="1" x14ac:dyDescent="0.35">
      <c r="A596" s="4"/>
      <c r="B596" s="4"/>
      <c r="C596" s="46"/>
      <c r="F596" s="26"/>
    </row>
    <row r="597" spans="1:6" ht="15.75" customHeight="1" x14ac:dyDescent="0.35">
      <c r="A597" s="4"/>
      <c r="B597" s="4"/>
      <c r="C597" s="46"/>
      <c r="F597" s="26"/>
    </row>
    <row r="598" spans="1:6" ht="15.75" customHeight="1" x14ac:dyDescent="0.35">
      <c r="A598" s="4"/>
      <c r="B598" s="4"/>
      <c r="C598" s="46"/>
      <c r="F598" s="26"/>
    </row>
    <row r="599" spans="1:6" ht="15.75" customHeight="1" x14ac:dyDescent="0.35">
      <c r="A599" s="4"/>
      <c r="B599" s="4"/>
      <c r="C599" s="46"/>
      <c r="F599" s="26"/>
    </row>
    <row r="600" spans="1:6" ht="15.75" customHeight="1" x14ac:dyDescent="0.35">
      <c r="A600" s="4"/>
      <c r="B600" s="4"/>
      <c r="C600" s="46"/>
      <c r="F600" s="26"/>
    </row>
    <row r="601" spans="1:6" ht="15.75" customHeight="1" x14ac:dyDescent="0.35">
      <c r="A601" s="4"/>
      <c r="B601" s="4"/>
      <c r="C601" s="46"/>
      <c r="F601" s="26"/>
    </row>
    <row r="602" spans="1:6" ht="15.75" customHeight="1" x14ac:dyDescent="0.35">
      <c r="A602" s="4"/>
      <c r="B602" s="4"/>
      <c r="C602" s="46"/>
      <c r="F602" s="26"/>
    </row>
    <row r="603" spans="1:6" ht="15.75" customHeight="1" x14ac:dyDescent="0.35">
      <c r="A603" s="4"/>
      <c r="B603" s="4"/>
      <c r="C603" s="46"/>
      <c r="F603" s="26"/>
    </row>
    <row r="604" spans="1:6" ht="15.75" customHeight="1" x14ac:dyDescent="0.35">
      <c r="A604" s="4"/>
      <c r="B604" s="4"/>
      <c r="C604" s="46"/>
      <c r="F604" s="26"/>
    </row>
    <row r="605" spans="1:6" ht="15.75" customHeight="1" x14ac:dyDescent="0.35">
      <c r="A605" s="4"/>
      <c r="B605" s="4"/>
      <c r="C605" s="46"/>
      <c r="F605" s="26"/>
    </row>
    <row r="606" spans="1:6" ht="15.75" customHeight="1" x14ac:dyDescent="0.35">
      <c r="A606" s="4"/>
      <c r="B606" s="4"/>
      <c r="C606" s="46"/>
      <c r="F606" s="26"/>
    </row>
    <row r="607" spans="1:6" ht="15.75" customHeight="1" x14ac:dyDescent="0.35">
      <c r="A607" s="4"/>
      <c r="B607" s="4"/>
      <c r="C607" s="46"/>
      <c r="F607" s="26"/>
    </row>
    <row r="608" spans="1:6" ht="15.75" customHeight="1" x14ac:dyDescent="0.35">
      <c r="A608" s="4"/>
      <c r="B608" s="4"/>
      <c r="C608" s="46"/>
      <c r="F608" s="26"/>
    </row>
    <row r="609" spans="1:6" ht="15.75" customHeight="1" x14ac:dyDescent="0.35">
      <c r="A609" s="4"/>
      <c r="B609" s="4"/>
      <c r="C609" s="46"/>
      <c r="F609" s="26"/>
    </row>
    <row r="610" spans="1:6" ht="15.75" customHeight="1" x14ac:dyDescent="0.35">
      <c r="A610" s="4"/>
      <c r="B610" s="4"/>
      <c r="C610" s="46"/>
      <c r="F610" s="26"/>
    </row>
    <row r="611" spans="1:6" ht="15.75" customHeight="1" x14ac:dyDescent="0.35">
      <c r="A611" s="4"/>
      <c r="B611" s="4"/>
      <c r="C611" s="46"/>
      <c r="F611" s="26"/>
    </row>
    <row r="612" spans="1:6" ht="15.75" customHeight="1" x14ac:dyDescent="0.35">
      <c r="A612" s="4"/>
      <c r="B612" s="4"/>
      <c r="C612" s="46"/>
      <c r="F612" s="26"/>
    </row>
    <row r="613" spans="1:6" ht="15.75" customHeight="1" x14ac:dyDescent="0.35">
      <c r="A613" s="4"/>
      <c r="B613" s="4"/>
      <c r="C613" s="46"/>
      <c r="F613" s="26"/>
    </row>
    <row r="614" spans="1:6" ht="15.75" customHeight="1" x14ac:dyDescent="0.35">
      <c r="A614" s="4"/>
      <c r="B614" s="4"/>
      <c r="C614" s="46"/>
      <c r="F614" s="26"/>
    </row>
    <row r="615" spans="1:6" ht="15.75" customHeight="1" x14ac:dyDescent="0.35">
      <c r="A615" s="4"/>
      <c r="B615" s="4"/>
      <c r="C615" s="46"/>
      <c r="F615" s="26"/>
    </row>
    <row r="616" spans="1:6" ht="15.75" customHeight="1" x14ac:dyDescent="0.35">
      <c r="A616" s="4"/>
      <c r="B616" s="4"/>
      <c r="C616" s="46"/>
      <c r="F616" s="26"/>
    </row>
    <row r="617" spans="1:6" ht="15.75" customHeight="1" x14ac:dyDescent="0.35">
      <c r="A617" s="4"/>
      <c r="B617" s="4"/>
      <c r="C617" s="46"/>
      <c r="F617" s="26"/>
    </row>
    <row r="618" spans="1:6" ht="15.75" customHeight="1" x14ac:dyDescent="0.35">
      <c r="A618" s="4"/>
      <c r="B618" s="4"/>
      <c r="C618" s="46"/>
      <c r="F618" s="26"/>
    </row>
    <row r="619" spans="1:6" ht="15.75" customHeight="1" x14ac:dyDescent="0.35">
      <c r="A619" s="4"/>
      <c r="B619" s="4"/>
      <c r="C619" s="46"/>
      <c r="F619" s="26"/>
    </row>
    <row r="620" spans="1:6" ht="15.75" customHeight="1" x14ac:dyDescent="0.35">
      <c r="A620" s="4"/>
      <c r="B620" s="4"/>
      <c r="C620" s="46"/>
      <c r="F620" s="26"/>
    </row>
    <row r="621" spans="1:6" ht="15.75" customHeight="1" x14ac:dyDescent="0.35">
      <c r="A621" s="4"/>
      <c r="B621" s="4"/>
      <c r="C621" s="46"/>
      <c r="F621" s="26"/>
    </row>
    <row r="622" spans="1:6" ht="15.75" customHeight="1" x14ac:dyDescent="0.35">
      <c r="A622" s="4"/>
      <c r="B622" s="4"/>
      <c r="C622" s="46"/>
      <c r="F622" s="26"/>
    </row>
    <row r="623" spans="1:6" ht="15.75" customHeight="1" x14ac:dyDescent="0.35">
      <c r="A623" s="4"/>
      <c r="B623" s="4"/>
      <c r="C623" s="46"/>
      <c r="F623" s="26"/>
    </row>
    <row r="624" spans="1:6" ht="15.75" customHeight="1" x14ac:dyDescent="0.35">
      <c r="A624" s="4"/>
      <c r="B624" s="4"/>
      <c r="C624" s="46"/>
      <c r="F624" s="26"/>
    </row>
    <row r="625" spans="1:6" ht="15.75" customHeight="1" x14ac:dyDescent="0.35">
      <c r="A625" s="4"/>
      <c r="B625" s="4"/>
      <c r="C625" s="46"/>
      <c r="F625" s="26"/>
    </row>
    <row r="626" spans="1:6" ht="15.75" customHeight="1" x14ac:dyDescent="0.35">
      <c r="A626" s="4"/>
      <c r="B626" s="4"/>
      <c r="C626" s="46"/>
      <c r="F626" s="26"/>
    </row>
    <row r="627" spans="1:6" ht="15.75" customHeight="1" x14ac:dyDescent="0.35">
      <c r="A627" s="4"/>
      <c r="B627" s="4"/>
      <c r="C627" s="46"/>
      <c r="F627" s="26"/>
    </row>
    <row r="628" spans="1:6" ht="15.75" customHeight="1" x14ac:dyDescent="0.35">
      <c r="A628" s="4"/>
      <c r="B628" s="4"/>
      <c r="C628" s="46"/>
      <c r="F628" s="26"/>
    </row>
    <row r="629" spans="1:6" ht="15.75" customHeight="1" x14ac:dyDescent="0.35">
      <c r="A629" s="4"/>
      <c r="B629" s="4"/>
      <c r="C629" s="46"/>
      <c r="F629" s="26"/>
    </row>
    <row r="630" spans="1:6" ht="15.75" customHeight="1" x14ac:dyDescent="0.35">
      <c r="A630" s="4"/>
      <c r="B630" s="4"/>
      <c r="C630" s="46"/>
      <c r="F630" s="26"/>
    </row>
    <row r="631" spans="1:6" ht="15.75" customHeight="1" x14ac:dyDescent="0.35">
      <c r="A631" s="4"/>
      <c r="B631" s="4"/>
      <c r="C631" s="46"/>
      <c r="F631" s="26"/>
    </row>
    <row r="632" spans="1:6" ht="15.75" customHeight="1" x14ac:dyDescent="0.35">
      <c r="A632" s="4"/>
      <c r="B632" s="4"/>
      <c r="C632" s="46"/>
      <c r="F632" s="26"/>
    </row>
    <row r="633" spans="1:6" ht="15.75" customHeight="1" x14ac:dyDescent="0.35">
      <c r="A633" s="4"/>
      <c r="B633" s="4"/>
      <c r="C633" s="46"/>
      <c r="F633" s="26"/>
    </row>
    <row r="634" spans="1:6" ht="15.75" customHeight="1" x14ac:dyDescent="0.35">
      <c r="A634" s="4"/>
      <c r="B634" s="4"/>
      <c r="C634" s="46"/>
      <c r="F634" s="26"/>
    </row>
    <row r="635" spans="1:6" ht="15.75" customHeight="1" x14ac:dyDescent="0.35">
      <c r="A635" s="4"/>
      <c r="B635" s="4"/>
      <c r="C635" s="46"/>
      <c r="F635" s="26"/>
    </row>
    <row r="636" spans="1:6" ht="15.75" customHeight="1" x14ac:dyDescent="0.35">
      <c r="A636" s="4"/>
      <c r="B636" s="4"/>
      <c r="C636" s="46"/>
      <c r="F636" s="26"/>
    </row>
    <row r="637" spans="1:6" ht="15.75" customHeight="1" x14ac:dyDescent="0.35">
      <c r="A637" s="4"/>
      <c r="B637" s="4"/>
      <c r="C637" s="46"/>
      <c r="F637" s="26"/>
    </row>
    <row r="638" spans="1:6" ht="15.75" customHeight="1" x14ac:dyDescent="0.35">
      <c r="A638" s="4"/>
      <c r="B638" s="4"/>
      <c r="C638" s="46"/>
      <c r="F638" s="26"/>
    </row>
    <row r="639" spans="1:6" ht="15.75" customHeight="1" x14ac:dyDescent="0.35">
      <c r="A639" s="4"/>
      <c r="B639" s="4"/>
      <c r="C639" s="46"/>
      <c r="F639" s="26"/>
    </row>
    <row r="640" spans="1:6" ht="15.75" customHeight="1" x14ac:dyDescent="0.35">
      <c r="A640" s="4"/>
      <c r="B640" s="4"/>
      <c r="C640" s="46"/>
      <c r="F640" s="26"/>
    </row>
    <row r="641" spans="1:6" ht="15.75" customHeight="1" x14ac:dyDescent="0.35">
      <c r="A641" s="4"/>
      <c r="B641" s="4"/>
      <c r="C641" s="46"/>
      <c r="F641" s="26"/>
    </row>
    <row r="642" spans="1:6" ht="15.75" customHeight="1" x14ac:dyDescent="0.35">
      <c r="A642" s="4"/>
      <c r="B642" s="4"/>
      <c r="C642" s="46"/>
      <c r="F642" s="26"/>
    </row>
    <row r="643" spans="1:6" ht="15.75" customHeight="1" x14ac:dyDescent="0.35">
      <c r="A643" s="4"/>
      <c r="B643" s="4"/>
      <c r="C643" s="46"/>
      <c r="F643" s="26"/>
    </row>
    <row r="644" spans="1:6" ht="15.75" customHeight="1" x14ac:dyDescent="0.35">
      <c r="A644" s="4"/>
      <c r="B644" s="4"/>
      <c r="C644" s="46"/>
      <c r="F644" s="26"/>
    </row>
    <row r="645" spans="1:6" ht="15.75" customHeight="1" x14ac:dyDescent="0.35">
      <c r="A645" s="4"/>
      <c r="B645" s="4"/>
      <c r="C645" s="46"/>
      <c r="F645" s="26"/>
    </row>
    <row r="646" spans="1:6" ht="15.75" customHeight="1" x14ac:dyDescent="0.35">
      <c r="A646" s="4"/>
      <c r="B646" s="4"/>
      <c r="C646" s="46"/>
      <c r="F646" s="26"/>
    </row>
    <row r="647" spans="1:6" ht="15.75" customHeight="1" x14ac:dyDescent="0.35">
      <c r="A647" s="4"/>
      <c r="B647" s="4"/>
      <c r="C647" s="46"/>
      <c r="F647" s="26"/>
    </row>
    <row r="648" spans="1:6" ht="15.75" customHeight="1" x14ac:dyDescent="0.35">
      <c r="A648" s="4"/>
      <c r="B648" s="4"/>
      <c r="C648" s="46"/>
      <c r="F648" s="26"/>
    </row>
    <row r="649" spans="1:6" ht="15.75" customHeight="1" x14ac:dyDescent="0.35">
      <c r="A649" s="4"/>
      <c r="B649" s="4"/>
      <c r="C649" s="46"/>
      <c r="F649" s="26"/>
    </row>
    <row r="650" spans="1:6" ht="15.75" customHeight="1" x14ac:dyDescent="0.35">
      <c r="A650" s="4"/>
      <c r="B650" s="4"/>
      <c r="C650" s="46"/>
      <c r="F650" s="26"/>
    </row>
    <row r="651" spans="1:6" ht="15.75" customHeight="1" x14ac:dyDescent="0.35">
      <c r="A651" s="4"/>
      <c r="B651" s="4"/>
      <c r="C651" s="46"/>
      <c r="F651" s="26"/>
    </row>
    <row r="652" spans="1:6" ht="15.75" customHeight="1" x14ac:dyDescent="0.35">
      <c r="A652" s="4"/>
      <c r="B652" s="4"/>
      <c r="C652" s="46"/>
      <c r="F652" s="26"/>
    </row>
    <row r="653" spans="1:6" ht="15.75" customHeight="1" x14ac:dyDescent="0.35">
      <c r="A653" s="4"/>
      <c r="B653" s="4"/>
      <c r="C653" s="46"/>
      <c r="F653" s="26"/>
    </row>
    <row r="654" spans="1:6" ht="15.75" customHeight="1" x14ac:dyDescent="0.35">
      <c r="A654" s="4"/>
      <c r="B654" s="4"/>
      <c r="C654" s="46"/>
      <c r="F654" s="26"/>
    </row>
    <row r="655" spans="1:6" ht="15.75" customHeight="1" x14ac:dyDescent="0.35">
      <c r="A655" s="4"/>
      <c r="B655" s="4"/>
      <c r="C655" s="46"/>
      <c r="F655" s="26"/>
    </row>
    <row r="656" spans="1:6" ht="15.75" customHeight="1" x14ac:dyDescent="0.35">
      <c r="A656" s="4"/>
      <c r="B656" s="4"/>
      <c r="C656" s="46"/>
      <c r="F656" s="26"/>
    </row>
    <row r="657" spans="1:6" ht="15.75" customHeight="1" x14ac:dyDescent="0.35">
      <c r="A657" s="4"/>
      <c r="B657" s="4"/>
      <c r="C657" s="46"/>
      <c r="F657" s="26"/>
    </row>
    <row r="658" spans="1:6" ht="15.75" customHeight="1" x14ac:dyDescent="0.35">
      <c r="A658" s="4"/>
      <c r="B658" s="4"/>
      <c r="C658" s="46"/>
      <c r="F658" s="26"/>
    </row>
    <row r="659" spans="1:6" ht="15.75" customHeight="1" x14ac:dyDescent="0.35">
      <c r="A659" s="4"/>
      <c r="B659" s="4"/>
      <c r="C659" s="46"/>
      <c r="F659" s="26"/>
    </row>
    <row r="660" spans="1:6" ht="15.75" customHeight="1" x14ac:dyDescent="0.35">
      <c r="A660" s="4"/>
      <c r="B660" s="4"/>
      <c r="C660" s="46"/>
      <c r="F660" s="26"/>
    </row>
    <row r="661" spans="1:6" ht="15.75" customHeight="1" x14ac:dyDescent="0.35">
      <c r="A661" s="4"/>
      <c r="B661" s="4"/>
      <c r="C661" s="46"/>
      <c r="F661" s="26"/>
    </row>
    <row r="662" spans="1:6" ht="15.75" customHeight="1" x14ac:dyDescent="0.35">
      <c r="A662" s="4"/>
      <c r="B662" s="4"/>
      <c r="C662" s="46"/>
      <c r="F662" s="26"/>
    </row>
    <row r="663" spans="1:6" ht="15.75" customHeight="1" x14ac:dyDescent="0.35">
      <c r="A663" s="4"/>
      <c r="B663" s="4"/>
      <c r="C663" s="46"/>
      <c r="F663" s="26"/>
    </row>
    <row r="664" spans="1:6" ht="15.75" customHeight="1" x14ac:dyDescent="0.35">
      <c r="A664" s="4"/>
      <c r="B664" s="4"/>
      <c r="C664" s="46"/>
      <c r="F664" s="26"/>
    </row>
    <row r="665" spans="1:6" ht="15.75" customHeight="1" x14ac:dyDescent="0.35">
      <c r="A665" s="4"/>
      <c r="B665" s="4"/>
      <c r="C665" s="46"/>
      <c r="F665" s="26"/>
    </row>
    <row r="666" spans="1:6" ht="15.75" customHeight="1" x14ac:dyDescent="0.35">
      <c r="A666" s="4"/>
      <c r="B666" s="4"/>
      <c r="C666" s="46"/>
      <c r="F666" s="26"/>
    </row>
    <row r="667" spans="1:6" ht="15.75" customHeight="1" x14ac:dyDescent="0.35">
      <c r="A667" s="4"/>
      <c r="B667" s="4"/>
      <c r="C667" s="46"/>
      <c r="F667" s="26"/>
    </row>
    <row r="668" spans="1:6" ht="15.75" customHeight="1" x14ac:dyDescent="0.35">
      <c r="A668" s="4"/>
      <c r="B668" s="4"/>
      <c r="C668" s="46"/>
      <c r="F668" s="26"/>
    </row>
    <row r="669" spans="1:6" ht="15.75" customHeight="1" x14ac:dyDescent="0.35">
      <c r="A669" s="4"/>
      <c r="B669" s="4"/>
      <c r="C669" s="46"/>
      <c r="F669" s="26"/>
    </row>
    <row r="670" spans="1:6" ht="15.75" customHeight="1" x14ac:dyDescent="0.35">
      <c r="A670" s="4"/>
      <c r="B670" s="4"/>
      <c r="C670" s="46"/>
      <c r="F670" s="26"/>
    </row>
    <row r="671" spans="1:6" ht="15.75" customHeight="1" x14ac:dyDescent="0.35">
      <c r="A671" s="4"/>
      <c r="B671" s="4"/>
      <c r="C671" s="46"/>
      <c r="F671" s="26"/>
    </row>
    <row r="672" spans="1:6" ht="15.75" customHeight="1" x14ac:dyDescent="0.35">
      <c r="A672" s="4"/>
      <c r="B672" s="4"/>
      <c r="C672" s="46"/>
      <c r="F672" s="26"/>
    </row>
    <row r="673" spans="1:6" ht="15.75" customHeight="1" x14ac:dyDescent="0.35">
      <c r="A673" s="4"/>
      <c r="B673" s="4"/>
      <c r="C673" s="46"/>
      <c r="F673" s="26"/>
    </row>
    <row r="674" spans="1:6" ht="15.75" customHeight="1" x14ac:dyDescent="0.35">
      <c r="A674" s="4"/>
      <c r="B674" s="4"/>
      <c r="C674" s="46"/>
      <c r="F674" s="26"/>
    </row>
    <row r="675" spans="1:6" ht="15.75" customHeight="1" x14ac:dyDescent="0.35">
      <c r="A675" s="4"/>
      <c r="B675" s="4"/>
      <c r="C675" s="46"/>
      <c r="F675" s="26"/>
    </row>
    <row r="676" spans="1:6" ht="15.75" customHeight="1" x14ac:dyDescent="0.35">
      <c r="A676" s="4"/>
      <c r="B676" s="4"/>
      <c r="C676" s="46"/>
      <c r="F676" s="26"/>
    </row>
    <row r="677" spans="1:6" ht="15.75" customHeight="1" x14ac:dyDescent="0.35">
      <c r="A677" s="4"/>
      <c r="B677" s="4"/>
      <c r="C677" s="46"/>
      <c r="F677" s="26"/>
    </row>
    <row r="678" spans="1:6" ht="15.75" customHeight="1" x14ac:dyDescent="0.35">
      <c r="A678" s="4"/>
      <c r="B678" s="4"/>
      <c r="C678" s="46"/>
      <c r="F678" s="26"/>
    </row>
    <row r="679" spans="1:6" ht="15.75" customHeight="1" x14ac:dyDescent="0.35">
      <c r="A679" s="4"/>
      <c r="B679" s="4"/>
      <c r="C679" s="46"/>
      <c r="F679" s="26"/>
    </row>
    <row r="680" spans="1:6" ht="15.75" customHeight="1" x14ac:dyDescent="0.35">
      <c r="A680" s="4"/>
      <c r="B680" s="4"/>
      <c r="C680" s="46"/>
      <c r="F680" s="26"/>
    </row>
    <row r="681" spans="1:6" ht="15.75" customHeight="1" x14ac:dyDescent="0.35">
      <c r="A681" s="4"/>
      <c r="B681" s="4"/>
      <c r="C681" s="46"/>
      <c r="F681" s="26"/>
    </row>
    <row r="682" spans="1:6" ht="15.75" customHeight="1" x14ac:dyDescent="0.35">
      <c r="A682" s="4"/>
      <c r="B682" s="4"/>
      <c r="C682" s="46"/>
      <c r="F682" s="26"/>
    </row>
    <row r="683" spans="1:6" ht="15.75" customHeight="1" x14ac:dyDescent="0.35">
      <c r="A683" s="4"/>
      <c r="B683" s="4"/>
      <c r="C683" s="46"/>
      <c r="F683" s="26"/>
    </row>
    <row r="684" spans="1:6" ht="15.75" customHeight="1" x14ac:dyDescent="0.35">
      <c r="A684" s="4"/>
      <c r="B684" s="4"/>
      <c r="C684" s="46"/>
      <c r="F684" s="26"/>
    </row>
    <row r="685" spans="1:6" ht="15.75" customHeight="1" x14ac:dyDescent="0.35">
      <c r="A685" s="4"/>
      <c r="B685" s="4"/>
      <c r="C685" s="46"/>
      <c r="F685" s="26"/>
    </row>
    <row r="686" spans="1:6" ht="15.75" customHeight="1" x14ac:dyDescent="0.35">
      <c r="A686" s="4"/>
      <c r="B686" s="4"/>
      <c r="C686" s="46"/>
      <c r="F686" s="26"/>
    </row>
    <row r="687" spans="1:6" ht="15.75" customHeight="1" x14ac:dyDescent="0.35">
      <c r="A687" s="4"/>
      <c r="B687" s="4"/>
      <c r="C687" s="46"/>
      <c r="F687" s="26"/>
    </row>
    <row r="688" spans="1:6" ht="15.75" customHeight="1" x14ac:dyDescent="0.35">
      <c r="A688" s="4"/>
      <c r="B688" s="4"/>
      <c r="C688" s="46"/>
      <c r="F688" s="26"/>
    </row>
    <row r="689" spans="1:6" ht="15.75" customHeight="1" x14ac:dyDescent="0.35">
      <c r="A689" s="4"/>
      <c r="B689" s="4"/>
      <c r="C689" s="46"/>
      <c r="F689" s="26"/>
    </row>
    <row r="690" spans="1:6" ht="15.75" customHeight="1" x14ac:dyDescent="0.35">
      <c r="A690" s="4"/>
      <c r="B690" s="4"/>
      <c r="C690" s="46"/>
      <c r="F690" s="26"/>
    </row>
    <row r="691" spans="1:6" ht="15.75" customHeight="1" x14ac:dyDescent="0.35">
      <c r="A691" s="4"/>
      <c r="B691" s="4"/>
      <c r="C691" s="46"/>
      <c r="F691" s="26"/>
    </row>
    <row r="692" spans="1:6" ht="15.75" customHeight="1" x14ac:dyDescent="0.35">
      <c r="A692" s="4"/>
      <c r="B692" s="4"/>
      <c r="C692" s="46"/>
      <c r="F692" s="26"/>
    </row>
    <row r="693" spans="1:6" ht="15.75" customHeight="1" x14ac:dyDescent="0.35">
      <c r="A693" s="4"/>
      <c r="B693" s="4"/>
      <c r="C693" s="46"/>
      <c r="F693" s="26"/>
    </row>
    <row r="694" spans="1:6" ht="15.75" customHeight="1" x14ac:dyDescent="0.35">
      <c r="A694" s="4"/>
      <c r="B694" s="4"/>
      <c r="C694" s="46"/>
      <c r="F694" s="26"/>
    </row>
    <row r="695" spans="1:6" ht="15.75" customHeight="1" x14ac:dyDescent="0.35">
      <c r="A695" s="4"/>
      <c r="B695" s="4"/>
      <c r="C695" s="46"/>
      <c r="F695" s="26"/>
    </row>
    <row r="696" spans="1:6" ht="15.75" customHeight="1" x14ac:dyDescent="0.35">
      <c r="A696" s="4"/>
      <c r="B696" s="4"/>
      <c r="C696" s="46"/>
      <c r="F696" s="26"/>
    </row>
    <row r="697" spans="1:6" ht="15.75" customHeight="1" x14ac:dyDescent="0.35">
      <c r="A697" s="4"/>
      <c r="B697" s="4"/>
      <c r="C697" s="46"/>
      <c r="F697" s="26"/>
    </row>
    <row r="698" spans="1:6" ht="15.75" customHeight="1" x14ac:dyDescent="0.35">
      <c r="A698" s="4"/>
      <c r="B698" s="4"/>
      <c r="C698" s="46"/>
      <c r="F698" s="26"/>
    </row>
    <row r="699" spans="1:6" ht="15.75" customHeight="1" x14ac:dyDescent="0.35">
      <c r="A699" s="4"/>
      <c r="B699" s="4"/>
      <c r="C699" s="46"/>
      <c r="F699" s="26"/>
    </row>
    <row r="700" spans="1:6" ht="15.75" customHeight="1" x14ac:dyDescent="0.35">
      <c r="A700" s="4"/>
      <c r="B700" s="4"/>
      <c r="C700" s="46"/>
      <c r="F700" s="26"/>
    </row>
    <row r="701" spans="1:6" ht="15.75" customHeight="1" x14ac:dyDescent="0.35">
      <c r="A701" s="4"/>
      <c r="B701" s="4"/>
      <c r="C701" s="46"/>
      <c r="F701" s="26"/>
    </row>
    <row r="702" spans="1:6" ht="15.75" customHeight="1" x14ac:dyDescent="0.35">
      <c r="A702" s="4"/>
      <c r="B702" s="4"/>
      <c r="C702" s="46"/>
      <c r="F702" s="26"/>
    </row>
    <row r="703" spans="1:6" ht="15.75" customHeight="1" x14ac:dyDescent="0.35">
      <c r="A703" s="4"/>
      <c r="B703" s="4"/>
      <c r="C703" s="46"/>
      <c r="F703" s="26"/>
    </row>
    <row r="704" spans="1:6" ht="15.75" customHeight="1" x14ac:dyDescent="0.35">
      <c r="A704" s="4"/>
      <c r="B704" s="4"/>
      <c r="C704" s="46"/>
      <c r="F704" s="26"/>
    </row>
    <row r="705" spans="1:6" ht="15.75" customHeight="1" x14ac:dyDescent="0.35">
      <c r="A705" s="4"/>
      <c r="B705" s="4"/>
      <c r="C705" s="46"/>
      <c r="F705" s="26"/>
    </row>
    <row r="706" spans="1:6" ht="15.75" customHeight="1" x14ac:dyDescent="0.35">
      <c r="A706" s="4"/>
      <c r="B706" s="4"/>
      <c r="C706" s="46"/>
      <c r="F706" s="26"/>
    </row>
    <row r="707" spans="1:6" ht="15.75" customHeight="1" x14ac:dyDescent="0.35">
      <c r="A707" s="4"/>
      <c r="B707" s="4"/>
      <c r="C707" s="46"/>
      <c r="F707" s="26"/>
    </row>
    <row r="708" spans="1:6" ht="15.75" customHeight="1" x14ac:dyDescent="0.35">
      <c r="A708" s="4"/>
      <c r="B708" s="4"/>
      <c r="C708" s="46"/>
      <c r="F708" s="26"/>
    </row>
    <row r="709" spans="1:6" ht="15.75" customHeight="1" x14ac:dyDescent="0.35">
      <c r="A709" s="4"/>
      <c r="B709" s="4"/>
      <c r="C709" s="46"/>
      <c r="F709" s="26"/>
    </row>
    <row r="710" spans="1:6" ht="15.75" customHeight="1" x14ac:dyDescent="0.35">
      <c r="A710" s="4"/>
      <c r="B710" s="4"/>
      <c r="C710" s="46"/>
      <c r="F710" s="26"/>
    </row>
    <row r="711" spans="1:6" ht="15.75" customHeight="1" x14ac:dyDescent="0.35">
      <c r="A711" s="4"/>
      <c r="B711" s="4"/>
      <c r="C711" s="46"/>
      <c r="F711" s="26"/>
    </row>
    <row r="712" spans="1:6" ht="15.75" customHeight="1" x14ac:dyDescent="0.35">
      <c r="A712" s="4"/>
      <c r="B712" s="4"/>
      <c r="C712" s="46"/>
      <c r="F712" s="26"/>
    </row>
    <row r="713" spans="1:6" ht="15.75" customHeight="1" x14ac:dyDescent="0.35">
      <c r="A713" s="4"/>
      <c r="B713" s="4"/>
      <c r="C713" s="46"/>
      <c r="F713" s="26"/>
    </row>
    <row r="714" spans="1:6" ht="15.75" customHeight="1" x14ac:dyDescent="0.35">
      <c r="A714" s="4"/>
      <c r="B714" s="4"/>
      <c r="C714" s="46"/>
      <c r="F714" s="26"/>
    </row>
    <row r="715" spans="1:6" ht="15.75" customHeight="1" x14ac:dyDescent="0.35">
      <c r="A715" s="4"/>
      <c r="B715" s="4"/>
      <c r="C715" s="46"/>
      <c r="F715" s="26"/>
    </row>
    <row r="716" spans="1:6" ht="15.75" customHeight="1" x14ac:dyDescent="0.35">
      <c r="A716" s="4"/>
      <c r="B716" s="4"/>
      <c r="C716" s="46"/>
      <c r="F716" s="26"/>
    </row>
    <row r="717" spans="1:6" ht="15.75" customHeight="1" x14ac:dyDescent="0.35">
      <c r="A717" s="4"/>
      <c r="B717" s="4"/>
      <c r="C717" s="46"/>
      <c r="F717" s="26"/>
    </row>
    <row r="718" spans="1:6" ht="15.75" customHeight="1" x14ac:dyDescent="0.35">
      <c r="A718" s="4"/>
      <c r="B718" s="4"/>
      <c r="C718" s="46"/>
      <c r="F718" s="26"/>
    </row>
    <row r="719" spans="1:6" ht="15.75" customHeight="1" x14ac:dyDescent="0.35">
      <c r="A719" s="4"/>
      <c r="B719" s="4"/>
      <c r="C719" s="46"/>
      <c r="F719" s="26"/>
    </row>
    <row r="720" spans="1:6" ht="15.75" customHeight="1" x14ac:dyDescent="0.35">
      <c r="A720" s="4"/>
      <c r="B720" s="4"/>
      <c r="C720" s="46"/>
      <c r="F720" s="26"/>
    </row>
    <row r="721" spans="1:6" ht="15.75" customHeight="1" x14ac:dyDescent="0.35">
      <c r="A721" s="4"/>
      <c r="B721" s="4"/>
      <c r="C721" s="46"/>
      <c r="F721" s="26"/>
    </row>
    <row r="722" spans="1:6" ht="15.75" customHeight="1" x14ac:dyDescent="0.35">
      <c r="A722" s="4"/>
      <c r="B722" s="4"/>
      <c r="C722" s="46"/>
      <c r="F722" s="26"/>
    </row>
    <row r="723" spans="1:6" ht="15.75" customHeight="1" x14ac:dyDescent="0.35">
      <c r="A723" s="4"/>
      <c r="B723" s="4"/>
      <c r="C723" s="46"/>
      <c r="F723" s="26"/>
    </row>
    <row r="724" spans="1:6" ht="15.75" customHeight="1" x14ac:dyDescent="0.35">
      <c r="A724" s="4"/>
      <c r="B724" s="4"/>
      <c r="C724" s="46"/>
      <c r="F724" s="26"/>
    </row>
    <row r="725" spans="1:6" ht="15.75" customHeight="1" x14ac:dyDescent="0.35">
      <c r="A725" s="4"/>
      <c r="B725" s="4"/>
      <c r="C725" s="46"/>
      <c r="F725" s="26"/>
    </row>
    <row r="726" spans="1:6" ht="15.75" customHeight="1" x14ac:dyDescent="0.35">
      <c r="A726" s="4"/>
      <c r="B726" s="4"/>
      <c r="C726" s="46"/>
      <c r="F726" s="26"/>
    </row>
    <row r="727" spans="1:6" ht="15.75" customHeight="1" x14ac:dyDescent="0.35">
      <c r="A727" s="4"/>
      <c r="B727" s="4"/>
      <c r="C727" s="46"/>
      <c r="F727" s="26"/>
    </row>
    <row r="728" spans="1:6" ht="15.75" customHeight="1" x14ac:dyDescent="0.35">
      <c r="A728" s="4"/>
      <c r="B728" s="4"/>
      <c r="C728" s="46"/>
      <c r="F728" s="26"/>
    </row>
    <row r="729" spans="1:6" ht="15.75" customHeight="1" x14ac:dyDescent="0.35">
      <c r="A729" s="4"/>
      <c r="B729" s="4"/>
      <c r="C729" s="46"/>
      <c r="F729" s="26"/>
    </row>
    <row r="730" spans="1:6" ht="15.75" customHeight="1" x14ac:dyDescent="0.35">
      <c r="A730" s="4"/>
      <c r="B730" s="4"/>
      <c r="C730" s="46"/>
      <c r="F730" s="26"/>
    </row>
    <row r="731" spans="1:6" ht="15.75" customHeight="1" x14ac:dyDescent="0.35">
      <c r="A731" s="4"/>
      <c r="B731" s="4"/>
      <c r="C731" s="46"/>
      <c r="F731" s="26"/>
    </row>
    <row r="732" spans="1:6" ht="15.75" customHeight="1" x14ac:dyDescent="0.35">
      <c r="A732" s="4"/>
      <c r="B732" s="4"/>
      <c r="C732" s="46"/>
      <c r="F732" s="26"/>
    </row>
    <row r="733" spans="1:6" ht="15.75" customHeight="1" x14ac:dyDescent="0.35">
      <c r="A733" s="4"/>
      <c r="B733" s="4"/>
      <c r="C733" s="46"/>
      <c r="F733" s="26"/>
    </row>
    <row r="734" spans="1:6" ht="15.75" customHeight="1" x14ac:dyDescent="0.35">
      <c r="A734" s="4"/>
      <c r="B734" s="4"/>
      <c r="C734" s="46"/>
      <c r="F734" s="26"/>
    </row>
    <row r="735" spans="1:6" ht="15.75" customHeight="1" x14ac:dyDescent="0.35">
      <c r="A735" s="4"/>
      <c r="B735" s="4"/>
      <c r="C735" s="46"/>
      <c r="F735" s="26"/>
    </row>
    <row r="736" spans="1:6" ht="15.75" customHeight="1" x14ac:dyDescent="0.35">
      <c r="A736" s="4"/>
      <c r="B736" s="4"/>
      <c r="C736" s="46"/>
      <c r="F736" s="26"/>
    </row>
    <row r="737" spans="1:6" ht="15.75" customHeight="1" x14ac:dyDescent="0.35">
      <c r="A737" s="4"/>
      <c r="B737" s="4"/>
      <c r="C737" s="46"/>
      <c r="F737" s="26"/>
    </row>
    <row r="738" spans="1:6" ht="15.75" customHeight="1" x14ac:dyDescent="0.35">
      <c r="A738" s="4"/>
      <c r="B738" s="4"/>
      <c r="C738" s="46"/>
      <c r="F738" s="26"/>
    </row>
    <row r="739" spans="1:6" ht="15.75" customHeight="1" x14ac:dyDescent="0.35">
      <c r="A739" s="4"/>
      <c r="B739" s="4"/>
      <c r="C739" s="46"/>
      <c r="F739" s="26"/>
    </row>
    <row r="740" spans="1:6" ht="15.75" customHeight="1" x14ac:dyDescent="0.35">
      <c r="A740" s="4"/>
      <c r="B740" s="4"/>
      <c r="C740" s="46"/>
      <c r="F740" s="26"/>
    </row>
    <row r="741" spans="1:6" ht="15.75" customHeight="1" x14ac:dyDescent="0.35">
      <c r="A741" s="4"/>
      <c r="B741" s="4"/>
      <c r="C741" s="46"/>
      <c r="F741" s="26"/>
    </row>
    <row r="742" spans="1:6" ht="15.75" customHeight="1" x14ac:dyDescent="0.35">
      <c r="A742" s="4"/>
      <c r="B742" s="4"/>
      <c r="C742" s="46"/>
      <c r="F742" s="26"/>
    </row>
    <row r="743" spans="1:6" ht="15.75" customHeight="1" x14ac:dyDescent="0.35">
      <c r="A743" s="4"/>
      <c r="B743" s="4"/>
      <c r="C743" s="46"/>
      <c r="F743" s="26"/>
    </row>
    <row r="744" spans="1:6" ht="15.75" customHeight="1" x14ac:dyDescent="0.35">
      <c r="A744" s="4"/>
      <c r="B744" s="4"/>
      <c r="C744" s="46"/>
      <c r="F744" s="26"/>
    </row>
    <row r="745" spans="1:6" ht="15.75" customHeight="1" x14ac:dyDescent="0.35">
      <c r="A745" s="4"/>
      <c r="B745" s="4"/>
      <c r="C745" s="46"/>
      <c r="F745" s="26"/>
    </row>
    <row r="746" spans="1:6" ht="15.75" customHeight="1" x14ac:dyDescent="0.35">
      <c r="A746" s="4"/>
      <c r="B746" s="4"/>
      <c r="C746" s="46"/>
      <c r="F746" s="26"/>
    </row>
    <row r="747" spans="1:6" ht="15.75" customHeight="1" x14ac:dyDescent="0.35">
      <c r="A747" s="4"/>
      <c r="B747" s="4"/>
      <c r="C747" s="46"/>
      <c r="F747" s="26"/>
    </row>
    <row r="748" spans="1:6" ht="15.75" customHeight="1" x14ac:dyDescent="0.35">
      <c r="A748" s="4"/>
      <c r="B748" s="4"/>
      <c r="C748" s="46"/>
      <c r="F748" s="26"/>
    </row>
    <row r="749" spans="1:6" ht="15.75" customHeight="1" x14ac:dyDescent="0.35">
      <c r="A749" s="4"/>
      <c r="B749" s="4"/>
      <c r="C749" s="46"/>
      <c r="F749" s="26"/>
    </row>
    <row r="750" spans="1:6" ht="15.75" customHeight="1" x14ac:dyDescent="0.35">
      <c r="A750" s="4"/>
      <c r="B750" s="4"/>
      <c r="C750" s="46"/>
      <c r="F750" s="26"/>
    </row>
    <row r="751" spans="1:6" ht="15.75" customHeight="1" x14ac:dyDescent="0.35">
      <c r="A751" s="4"/>
      <c r="B751" s="4"/>
      <c r="C751" s="46"/>
      <c r="F751" s="26"/>
    </row>
    <row r="752" spans="1:6" ht="15.75" customHeight="1" x14ac:dyDescent="0.35">
      <c r="A752" s="4"/>
      <c r="B752" s="4"/>
      <c r="C752" s="46"/>
      <c r="F752" s="26"/>
    </row>
    <row r="753" spans="1:6" ht="15.75" customHeight="1" x14ac:dyDescent="0.35">
      <c r="A753" s="4"/>
      <c r="B753" s="4"/>
      <c r="C753" s="46"/>
      <c r="F753" s="26"/>
    </row>
    <row r="754" spans="1:6" ht="15.75" customHeight="1" x14ac:dyDescent="0.35">
      <c r="A754" s="4"/>
      <c r="B754" s="4"/>
      <c r="C754" s="46"/>
      <c r="F754" s="26"/>
    </row>
    <row r="755" spans="1:6" ht="15.75" customHeight="1" x14ac:dyDescent="0.35">
      <c r="A755" s="4"/>
      <c r="B755" s="4"/>
      <c r="C755" s="46"/>
      <c r="F755" s="26"/>
    </row>
    <row r="756" spans="1:6" ht="15.75" customHeight="1" x14ac:dyDescent="0.35">
      <c r="A756" s="4"/>
      <c r="B756" s="4"/>
      <c r="C756" s="46"/>
      <c r="F756" s="26"/>
    </row>
    <row r="757" spans="1:6" ht="15.75" customHeight="1" x14ac:dyDescent="0.35">
      <c r="A757" s="4"/>
      <c r="B757" s="4"/>
      <c r="C757" s="46"/>
      <c r="F757" s="26"/>
    </row>
    <row r="758" spans="1:6" ht="15.75" customHeight="1" x14ac:dyDescent="0.35">
      <c r="A758" s="4"/>
      <c r="B758" s="4"/>
      <c r="C758" s="46"/>
      <c r="F758" s="26"/>
    </row>
    <row r="759" spans="1:6" ht="15.75" customHeight="1" x14ac:dyDescent="0.35">
      <c r="A759" s="4"/>
      <c r="B759" s="4"/>
      <c r="C759" s="46"/>
      <c r="F759" s="26"/>
    </row>
    <row r="760" spans="1:6" ht="15.75" customHeight="1" x14ac:dyDescent="0.35">
      <c r="A760" s="4"/>
      <c r="B760" s="4"/>
      <c r="C760" s="46"/>
      <c r="F760" s="26"/>
    </row>
    <row r="761" spans="1:6" ht="15.75" customHeight="1" x14ac:dyDescent="0.35">
      <c r="A761" s="4"/>
      <c r="B761" s="4"/>
      <c r="C761" s="46"/>
      <c r="F761" s="26"/>
    </row>
    <row r="762" spans="1:6" ht="15.75" customHeight="1" x14ac:dyDescent="0.35">
      <c r="A762" s="4"/>
      <c r="B762" s="4"/>
      <c r="C762" s="46"/>
      <c r="F762" s="26"/>
    </row>
    <row r="763" spans="1:6" ht="15.75" customHeight="1" x14ac:dyDescent="0.35">
      <c r="A763" s="4"/>
      <c r="B763" s="4"/>
      <c r="C763" s="46"/>
      <c r="F763" s="26"/>
    </row>
    <row r="764" spans="1:6" ht="15.75" customHeight="1" x14ac:dyDescent="0.35">
      <c r="A764" s="4"/>
      <c r="B764" s="4"/>
      <c r="C764" s="46"/>
      <c r="F764" s="26"/>
    </row>
    <row r="765" spans="1:6" ht="15.75" customHeight="1" x14ac:dyDescent="0.35">
      <c r="A765" s="4"/>
      <c r="B765" s="4"/>
      <c r="C765" s="46"/>
      <c r="F765" s="26"/>
    </row>
    <row r="766" spans="1:6" ht="15.75" customHeight="1" x14ac:dyDescent="0.35">
      <c r="A766" s="4"/>
      <c r="B766" s="4"/>
      <c r="C766" s="46"/>
      <c r="F766" s="26"/>
    </row>
    <row r="767" spans="1:6" ht="15.75" customHeight="1" x14ac:dyDescent="0.35">
      <c r="A767" s="4"/>
      <c r="B767" s="4"/>
      <c r="C767" s="46"/>
      <c r="F767" s="26"/>
    </row>
    <row r="768" spans="1:6" ht="15.75" customHeight="1" x14ac:dyDescent="0.35">
      <c r="A768" s="4"/>
      <c r="B768" s="4"/>
      <c r="C768" s="46"/>
      <c r="F768" s="26"/>
    </row>
    <row r="769" spans="1:6" ht="15.75" customHeight="1" x14ac:dyDescent="0.35">
      <c r="A769" s="4"/>
      <c r="B769" s="4"/>
      <c r="C769" s="46"/>
      <c r="F769" s="26"/>
    </row>
    <row r="770" spans="1:6" ht="15.75" customHeight="1" x14ac:dyDescent="0.35">
      <c r="A770" s="4"/>
      <c r="B770" s="4"/>
      <c r="C770" s="46"/>
      <c r="F770" s="26"/>
    </row>
    <row r="771" spans="1:6" ht="15.75" customHeight="1" x14ac:dyDescent="0.35">
      <c r="A771" s="4"/>
      <c r="B771" s="4"/>
      <c r="C771" s="46"/>
      <c r="F771" s="26"/>
    </row>
    <row r="772" spans="1:6" ht="15.75" customHeight="1" x14ac:dyDescent="0.35">
      <c r="A772" s="4"/>
      <c r="B772" s="4"/>
      <c r="C772" s="46"/>
      <c r="F772" s="26"/>
    </row>
    <row r="773" spans="1:6" ht="15.75" customHeight="1" x14ac:dyDescent="0.35">
      <c r="A773" s="4"/>
      <c r="B773" s="4"/>
      <c r="C773" s="46"/>
      <c r="F773" s="26"/>
    </row>
    <row r="774" spans="1:6" ht="15.75" customHeight="1" x14ac:dyDescent="0.35">
      <c r="A774" s="4"/>
      <c r="B774" s="4"/>
      <c r="C774" s="46"/>
      <c r="F774" s="26"/>
    </row>
    <row r="775" spans="1:6" ht="15.75" customHeight="1" x14ac:dyDescent="0.35">
      <c r="A775" s="4"/>
      <c r="B775" s="4"/>
      <c r="C775" s="46"/>
      <c r="F775" s="26"/>
    </row>
    <row r="776" spans="1:6" ht="15.75" customHeight="1" x14ac:dyDescent="0.35">
      <c r="A776" s="4"/>
      <c r="B776" s="4"/>
      <c r="C776" s="46"/>
      <c r="F776" s="26"/>
    </row>
    <row r="777" spans="1:6" ht="15.75" customHeight="1" x14ac:dyDescent="0.35">
      <c r="A777" s="4"/>
      <c r="B777" s="4"/>
      <c r="C777" s="46"/>
      <c r="F777" s="26"/>
    </row>
    <row r="778" spans="1:6" ht="15.75" customHeight="1" x14ac:dyDescent="0.35">
      <c r="A778" s="4"/>
      <c r="B778" s="4"/>
      <c r="C778" s="46"/>
      <c r="F778" s="26"/>
    </row>
    <row r="779" spans="1:6" ht="15.75" customHeight="1" x14ac:dyDescent="0.35">
      <c r="A779" s="4"/>
      <c r="B779" s="4"/>
      <c r="C779" s="46"/>
      <c r="F779" s="26"/>
    </row>
    <row r="780" spans="1:6" ht="15.75" customHeight="1" x14ac:dyDescent="0.35">
      <c r="A780" s="4"/>
      <c r="B780" s="4"/>
      <c r="C780" s="46"/>
      <c r="F780" s="26"/>
    </row>
    <row r="781" spans="1:6" ht="15.75" customHeight="1" x14ac:dyDescent="0.35">
      <c r="A781" s="4"/>
      <c r="B781" s="4"/>
      <c r="C781" s="46"/>
      <c r="F781" s="26"/>
    </row>
    <row r="782" spans="1:6" ht="15.75" customHeight="1" x14ac:dyDescent="0.35">
      <c r="A782" s="4"/>
      <c r="B782" s="4"/>
      <c r="C782" s="46"/>
      <c r="F782" s="26"/>
    </row>
    <row r="783" spans="1:6" ht="15.75" customHeight="1" x14ac:dyDescent="0.35">
      <c r="A783" s="4"/>
      <c r="B783" s="4"/>
      <c r="C783" s="46"/>
      <c r="F783" s="26"/>
    </row>
    <row r="784" spans="1:6" ht="15.75" customHeight="1" x14ac:dyDescent="0.35">
      <c r="A784" s="4"/>
      <c r="B784" s="4"/>
      <c r="C784" s="46"/>
      <c r="F784" s="26"/>
    </row>
    <row r="785" spans="1:6" ht="15.75" customHeight="1" x14ac:dyDescent="0.35">
      <c r="A785" s="4"/>
      <c r="B785" s="4"/>
      <c r="C785" s="46"/>
      <c r="F785" s="26"/>
    </row>
    <row r="786" spans="1:6" ht="15.75" customHeight="1" x14ac:dyDescent="0.35">
      <c r="A786" s="4"/>
      <c r="B786" s="4"/>
      <c r="C786" s="46"/>
      <c r="F786" s="26"/>
    </row>
    <row r="787" spans="1:6" ht="15.75" customHeight="1" x14ac:dyDescent="0.35">
      <c r="A787" s="4"/>
      <c r="B787" s="4"/>
      <c r="C787" s="46"/>
      <c r="F787" s="26"/>
    </row>
    <row r="788" spans="1:6" ht="15.75" customHeight="1" x14ac:dyDescent="0.35">
      <c r="A788" s="4"/>
      <c r="B788" s="4"/>
      <c r="C788" s="46"/>
      <c r="F788" s="26"/>
    </row>
    <row r="789" spans="1:6" ht="15.75" customHeight="1" x14ac:dyDescent="0.35">
      <c r="A789" s="4"/>
      <c r="B789" s="4"/>
      <c r="C789" s="46"/>
      <c r="F789" s="26"/>
    </row>
    <row r="790" spans="1:6" ht="15.75" customHeight="1" x14ac:dyDescent="0.35">
      <c r="A790" s="4"/>
      <c r="B790" s="4"/>
      <c r="C790" s="46"/>
      <c r="F790" s="26"/>
    </row>
    <row r="791" spans="1:6" ht="15.75" customHeight="1" x14ac:dyDescent="0.35">
      <c r="A791" s="4"/>
      <c r="B791" s="4"/>
      <c r="C791" s="46"/>
      <c r="F791" s="26"/>
    </row>
    <row r="792" spans="1:6" ht="15.75" customHeight="1" x14ac:dyDescent="0.35">
      <c r="A792" s="4"/>
      <c r="B792" s="4"/>
      <c r="C792" s="46"/>
      <c r="F792" s="26"/>
    </row>
    <row r="793" spans="1:6" ht="15.75" customHeight="1" x14ac:dyDescent="0.35">
      <c r="A793" s="4"/>
      <c r="B793" s="4"/>
      <c r="C793" s="46"/>
      <c r="F793" s="26"/>
    </row>
    <row r="794" spans="1:6" ht="15.75" customHeight="1" x14ac:dyDescent="0.35">
      <c r="A794" s="4"/>
      <c r="B794" s="4"/>
      <c r="C794" s="46"/>
      <c r="F794" s="26"/>
    </row>
    <row r="795" spans="1:6" ht="15.75" customHeight="1" x14ac:dyDescent="0.35">
      <c r="A795" s="4"/>
      <c r="B795" s="4"/>
      <c r="C795" s="46"/>
      <c r="F795" s="26"/>
    </row>
    <row r="796" spans="1:6" ht="15.75" customHeight="1" x14ac:dyDescent="0.35">
      <c r="A796" s="4"/>
      <c r="B796" s="4"/>
      <c r="C796" s="46"/>
      <c r="F796" s="26"/>
    </row>
    <row r="797" spans="1:6" ht="15.75" customHeight="1" x14ac:dyDescent="0.35">
      <c r="A797" s="4"/>
      <c r="B797" s="4"/>
      <c r="C797" s="46"/>
      <c r="F797" s="26"/>
    </row>
    <row r="798" spans="1:6" ht="15.75" customHeight="1" x14ac:dyDescent="0.35">
      <c r="A798" s="4"/>
      <c r="B798" s="4"/>
      <c r="C798" s="46"/>
      <c r="F798" s="26"/>
    </row>
    <row r="799" spans="1:6" ht="15.75" customHeight="1" x14ac:dyDescent="0.35">
      <c r="A799" s="4"/>
      <c r="B799" s="4"/>
      <c r="C799" s="46"/>
      <c r="F799" s="26"/>
    </row>
    <row r="800" spans="1:6" ht="15.75" customHeight="1" x14ac:dyDescent="0.35">
      <c r="A800" s="4"/>
      <c r="B800" s="4"/>
      <c r="C800" s="46"/>
      <c r="F800" s="26"/>
    </row>
    <row r="801" spans="1:6" ht="15.75" customHeight="1" x14ac:dyDescent="0.35">
      <c r="A801" s="4"/>
      <c r="B801" s="4"/>
      <c r="C801" s="46"/>
      <c r="F801" s="26"/>
    </row>
    <row r="802" spans="1:6" ht="15.75" customHeight="1" x14ac:dyDescent="0.35">
      <c r="A802" s="4"/>
      <c r="B802" s="4"/>
      <c r="C802" s="46"/>
      <c r="F802" s="26"/>
    </row>
    <row r="803" spans="1:6" ht="15.75" customHeight="1" x14ac:dyDescent="0.35">
      <c r="A803" s="4"/>
      <c r="B803" s="4"/>
      <c r="C803" s="46"/>
      <c r="F803" s="26"/>
    </row>
    <row r="804" spans="1:6" ht="15.75" customHeight="1" x14ac:dyDescent="0.35">
      <c r="A804" s="4"/>
      <c r="B804" s="4"/>
      <c r="C804" s="46"/>
      <c r="F804" s="26"/>
    </row>
    <row r="805" spans="1:6" ht="15.75" customHeight="1" x14ac:dyDescent="0.35">
      <c r="A805" s="4"/>
      <c r="B805" s="4"/>
      <c r="C805" s="46"/>
      <c r="F805" s="26"/>
    </row>
    <row r="806" spans="1:6" ht="15.75" customHeight="1" x14ac:dyDescent="0.35">
      <c r="A806" s="4"/>
      <c r="B806" s="4"/>
      <c r="C806" s="46"/>
      <c r="F806" s="26"/>
    </row>
    <row r="807" spans="1:6" ht="15.75" customHeight="1" x14ac:dyDescent="0.35">
      <c r="A807" s="4"/>
      <c r="B807" s="4"/>
      <c r="C807" s="46"/>
      <c r="F807" s="26"/>
    </row>
    <row r="808" spans="1:6" ht="15.75" customHeight="1" x14ac:dyDescent="0.35">
      <c r="A808" s="4"/>
      <c r="B808" s="4"/>
      <c r="C808" s="46"/>
      <c r="F808" s="26"/>
    </row>
    <row r="809" spans="1:6" ht="15.75" customHeight="1" x14ac:dyDescent="0.35">
      <c r="A809" s="4"/>
      <c r="B809" s="4"/>
      <c r="C809" s="46"/>
      <c r="F809" s="26"/>
    </row>
    <row r="810" spans="1:6" ht="15.75" customHeight="1" x14ac:dyDescent="0.35">
      <c r="A810" s="4"/>
      <c r="B810" s="4"/>
      <c r="C810" s="46"/>
      <c r="F810" s="26"/>
    </row>
    <row r="811" spans="1:6" ht="15.75" customHeight="1" x14ac:dyDescent="0.35">
      <c r="A811" s="4"/>
      <c r="B811" s="4"/>
      <c r="C811" s="46"/>
      <c r="F811" s="26"/>
    </row>
    <row r="812" spans="1:6" ht="15.75" customHeight="1" x14ac:dyDescent="0.35">
      <c r="A812" s="4"/>
      <c r="B812" s="4"/>
      <c r="C812" s="46"/>
      <c r="F812" s="26"/>
    </row>
    <row r="813" spans="1:6" ht="15.75" customHeight="1" x14ac:dyDescent="0.35">
      <c r="A813" s="4"/>
      <c r="B813" s="4"/>
      <c r="C813" s="46"/>
      <c r="F813" s="26"/>
    </row>
    <row r="814" spans="1:6" ht="15.75" customHeight="1" x14ac:dyDescent="0.35">
      <c r="A814" s="4"/>
      <c r="B814" s="4"/>
      <c r="C814" s="46"/>
      <c r="F814" s="26"/>
    </row>
    <row r="815" spans="1:6" ht="15.75" customHeight="1" x14ac:dyDescent="0.35">
      <c r="A815" s="4"/>
      <c r="B815" s="4"/>
      <c r="C815" s="46"/>
      <c r="F815" s="26"/>
    </row>
    <row r="816" spans="1:6" ht="15.75" customHeight="1" x14ac:dyDescent="0.35">
      <c r="A816" s="4"/>
      <c r="B816" s="4"/>
      <c r="C816" s="46"/>
      <c r="F816" s="26"/>
    </row>
    <row r="817" spans="1:6" ht="15.75" customHeight="1" x14ac:dyDescent="0.35">
      <c r="A817" s="4"/>
      <c r="B817" s="4"/>
      <c r="C817" s="46"/>
      <c r="F817" s="26"/>
    </row>
    <row r="818" spans="1:6" ht="15.75" customHeight="1" x14ac:dyDescent="0.35">
      <c r="A818" s="4"/>
      <c r="B818" s="4"/>
      <c r="C818" s="46"/>
      <c r="F818" s="26"/>
    </row>
    <row r="819" spans="1:6" ht="15.75" customHeight="1" x14ac:dyDescent="0.35">
      <c r="A819" s="4"/>
      <c r="B819" s="4"/>
      <c r="C819" s="46"/>
      <c r="F819" s="26"/>
    </row>
    <row r="820" spans="1:6" ht="15.75" customHeight="1" x14ac:dyDescent="0.35">
      <c r="A820" s="4"/>
      <c r="B820" s="4"/>
      <c r="C820" s="46"/>
      <c r="F820" s="26"/>
    </row>
    <row r="821" spans="1:6" ht="15.75" customHeight="1" x14ac:dyDescent="0.35">
      <c r="A821" s="4"/>
      <c r="B821" s="4"/>
      <c r="C821" s="46"/>
      <c r="F821" s="26"/>
    </row>
    <row r="822" spans="1:6" ht="15.75" customHeight="1" x14ac:dyDescent="0.35">
      <c r="A822" s="4"/>
      <c r="B822" s="4"/>
      <c r="C822" s="46"/>
      <c r="F822" s="26"/>
    </row>
    <row r="823" spans="1:6" ht="15.75" customHeight="1" x14ac:dyDescent="0.35">
      <c r="A823" s="4"/>
      <c r="B823" s="4"/>
      <c r="C823" s="46"/>
      <c r="F823" s="26"/>
    </row>
    <row r="824" spans="1:6" ht="15.75" customHeight="1" x14ac:dyDescent="0.35">
      <c r="A824" s="4"/>
      <c r="B824" s="4"/>
      <c r="C824" s="46"/>
      <c r="F824" s="26"/>
    </row>
    <row r="825" spans="1:6" ht="15.75" customHeight="1" x14ac:dyDescent="0.35">
      <c r="A825" s="4"/>
      <c r="B825" s="4"/>
      <c r="C825" s="46"/>
      <c r="F825" s="26"/>
    </row>
    <row r="826" spans="1:6" ht="15.75" customHeight="1" x14ac:dyDescent="0.35">
      <c r="A826" s="4"/>
      <c r="B826" s="4"/>
      <c r="C826" s="46"/>
      <c r="F826" s="26"/>
    </row>
    <row r="827" spans="1:6" ht="15.75" customHeight="1" x14ac:dyDescent="0.35">
      <c r="A827" s="4"/>
      <c r="B827" s="4"/>
      <c r="C827" s="46"/>
      <c r="F827" s="26"/>
    </row>
    <row r="828" spans="1:6" ht="15.75" customHeight="1" x14ac:dyDescent="0.35">
      <c r="A828" s="4"/>
      <c r="B828" s="4"/>
      <c r="C828" s="46"/>
      <c r="F828" s="26"/>
    </row>
    <row r="829" spans="1:6" ht="15.75" customHeight="1" x14ac:dyDescent="0.35">
      <c r="A829" s="4"/>
      <c r="B829" s="4"/>
      <c r="C829" s="46"/>
      <c r="F829" s="26"/>
    </row>
    <row r="830" spans="1:6" ht="15.75" customHeight="1" x14ac:dyDescent="0.35">
      <c r="A830" s="4"/>
      <c r="B830" s="4"/>
      <c r="C830" s="46"/>
      <c r="F830" s="26"/>
    </row>
    <row r="831" spans="1:6" ht="15.75" customHeight="1" x14ac:dyDescent="0.35">
      <c r="A831" s="4"/>
      <c r="B831" s="4"/>
      <c r="C831" s="46"/>
      <c r="F831" s="26"/>
    </row>
    <row r="832" spans="1:6" ht="15.75" customHeight="1" x14ac:dyDescent="0.35">
      <c r="A832" s="4"/>
      <c r="B832" s="4"/>
      <c r="C832" s="46"/>
      <c r="F832" s="26"/>
    </row>
    <row r="833" spans="1:6" ht="15.75" customHeight="1" x14ac:dyDescent="0.35">
      <c r="A833" s="4"/>
      <c r="B833" s="4"/>
      <c r="C833" s="46"/>
      <c r="F833" s="26"/>
    </row>
    <row r="834" spans="1:6" ht="15.75" customHeight="1" x14ac:dyDescent="0.35">
      <c r="A834" s="4"/>
      <c r="B834" s="4"/>
      <c r="C834" s="46"/>
      <c r="F834" s="26"/>
    </row>
    <row r="835" spans="1:6" ht="15.75" customHeight="1" x14ac:dyDescent="0.35">
      <c r="A835" s="4"/>
      <c r="B835" s="4"/>
      <c r="C835" s="46"/>
      <c r="F835" s="26"/>
    </row>
    <row r="836" spans="1:6" ht="15.75" customHeight="1" x14ac:dyDescent="0.35">
      <c r="A836" s="4"/>
      <c r="B836" s="4"/>
      <c r="C836" s="46"/>
      <c r="F836" s="26"/>
    </row>
    <row r="837" spans="1:6" ht="15.75" customHeight="1" x14ac:dyDescent="0.35">
      <c r="A837" s="4"/>
      <c r="B837" s="4"/>
      <c r="C837" s="46"/>
      <c r="F837" s="26"/>
    </row>
    <row r="838" spans="1:6" ht="15.75" customHeight="1" x14ac:dyDescent="0.35">
      <c r="A838" s="4"/>
      <c r="B838" s="4"/>
      <c r="C838" s="46"/>
      <c r="F838" s="26"/>
    </row>
    <row r="839" spans="1:6" ht="15.75" customHeight="1" x14ac:dyDescent="0.35">
      <c r="A839" s="4"/>
      <c r="B839" s="4"/>
      <c r="C839" s="46"/>
      <c r="F839" s="26"/>
    </row>
    <row r="840" spans="1:6" ht="15.75" customHeight="1" x14ac:dyDescent="0.35">
      <c r="A840" s="4"/>
      <c r="B840" s="4"/>
      <c r="C840" s="46"/>
      <c r="F840" s="26"/>
    </row>
    <row r="841" spans="1:6" ht="15.75" customHeight="1" x14ac:dyDescent="0.35">
      <c r="A841" s="4"/>
      <c r="B841" s="4"/>
      <c r="C841" s="46"/>
      <c r="F841" s="26"/>
    </row>
    <row r="842" spans="1:6" ht="15.75" customHeight="1" x14ac:dyDescent="0.35">
      <c r="A842" s="4"/>
      <c r="B842" s="4"/>
      <c r="C842" s="46"/>
      <c r="F842" s="26"/>
    </row>
    <row r="843" spans="1:6" ht="15.75" customHeight="1" x14ac:dyDescent="0.35">
      <c r="A843" s="4"/>
      <c r="B843" s="4"/>
      <c r="C843" s="46"/>
      <c r="F843" s="26"/>
    </row>
    <row r="844" spans="1:6" ht="15.75" customHeight="1" x14ac:dyDescent="0.35">
      <c r="A844" s="4"/>
      <c r="B844" s="4"/>
      <c r="C844" s="46"/>
      <c r="F844" s="26"/>
    </row>
    <row r="845" spans="1:6" ht="15.75" customHeight="1" x14ac:dyDescent="0.35">
      <c r="A845" s="4"/>
      <c r="B845" s="4"/>
      <c r="C845" s="46"/>
      <c r="F845" s="26"/>
    </row>
    <row r="846" spans="1:6" ht="15.75" customHeight="1" x14ac:dyDescent="0.35">
      <c r="A846" s="4"/>
      <c r="B846" s="4"/>
      <c r="C846" s="46"/>
      <c r="F846" s="26"/>
    </row>
    <row r="847" spans="1:6" ht="15.75" customHeight="1" x14ac:dyDescent="0.35">
      <c r="A847" s="4"/>
      <c r="B847" s="4"/>
      <c r="C847" s="46"/>
      <c r="F847" s="26"/>
    </row>
    <row r="848" spans="1:6" ht="15.75" customHeight="1" x14ac:dyDescent="0.35">
      <c r="A848" s="4"/>
      <c r="B848" s="4"/>
      <c r="C848" s="46"/>
      <c r="F848" s="26"/>
    </row>
    <row r="849" spans="1:6" ht="15.75" customHeight="1" x14ac:dyDescent="0.35">
      <c r="A849" s="4"/>
      <c r="B849" s="4"/>
      <c r="C849" s="46"/>
      <c r="F849" s="26"/>
    </row>
    <row r="850" spans="1:6" ht="15.75" customHeight="1" x14ac:dyDescent="0.35">
      <c r="A850" s="4"/>
      <c r="B850" s="4"/>
      <c r="C850" s="46"/>
      <c r="F850" s="26"/>
    </row>
    <row r="851" spans="1:6" ht="15.75" customHeight="1" x14ac:dyDescent="0.35">
      <c r="A851" s="4"/>
      <c r="B851" s="4"/>
      <c r="C851" s="46"/>
      <c r="F851" s="26"/>
    </row>
    <row r="852" spans="1:6" ht="15.75" customHeight="1" x14ac:dyDescent="0.35">
      <c r="A852" s="4"/>
      <c r="B852" s="4"/>
      <c r="C852" s="46"/>
      <c r="F852" s="26"/>
    </row>
    <row r="853" spans="1:6" ht="15.75" customHeight="1" x14ac:dyDescent="0.35">
      <c r="A853" s="4"/>
      <c r="B853" s="4"/>
      <c r="C853" s="46"/>
      <c r="F853" s="26"/>
    </row>
    <row r="854" spans="1:6" ht="15.75" customHeight="1" x14ac:dyDescent="0.35">
      <c r="A854" s="4"/>
      <c r="B854" s="4"/>
      <c r="C854" s="46"/>
      <c r="F854" s="26"/>
    </row>
    <row r="855" spans="1:6" ht="15.75" customHeight="1" x14ac:dyDescent="0.35">
      <c r="A855" s="4"/>
      <c r="B855" s="4"/>
      <c r="C855" s="46"/>
      <c r="F855" s="26"/>
    </row>
    <row r="856" spans="1:6" ht="15.75" customHeight="1" x14ac:dyDescent="0.35">
      <c r="A856" s="4"/>
      <c r="B856" s="4"/>
      <c r="C856" s="46"/>
      <c r="F856" s="26"/>
    </row>
    <row r="857" spans="1:6" ht="15.75" customHeight="1" x14ac:dyDescent="0.35">
      <c r="A857" s="4"/>
      <c r="B857" s="4"/>
      <c r="C857" s="46"/>
      <c r="F857" s="26"/>
    </row>
    <row r="858" spans="1:6" ht="15.75" customHeight="1" x14ac:dyDescent="0.35">
      <c r="A858" s="4"/>
      <c r="B858" s="4"/>
      <c r="C858" s="46"/>
      <c r="F858" s="26"/>
    </row>
    <row r="859" spans="1:6" ht="15.75" customHeight="1" x14ac:dyDescent="0.35">
      <c r="A859" s="4"/>
      <c r="B859" s="4"/>
      <c r="C859" s="46"/>
      <c r="F859" s="26"/>
    </row>
    <row r="860" spans="1:6" ht="15.75" customHeight="1" x14ac:dyDescent="0.35">
      <c r="A860" s="4"/>
      <c r="B860" s="4"/>
      <c r="C860" s="46"/>
      <c r="F860" s="26"/>
    </row>
    <row r="861" spans="1:6" ht="15.75" customHeight="1" x14ac:dyDescent="0.35">
      <c r="A861" s="4"/>
      <c r="B861" s="4"/>
      <c r="C861" s="46"/>
      <c r="F861" s="26"/>
    </row>
    <row r="862" spans="1:6" ht="15.75" customHeight="1" x14ac:dyDescent="0.35">
      <c r="A862" s="4"/>
      <c r="B862" s="4"/>
      <c r="C862" s="46"/>
      <c r="F862" s="26"/>
    </row>
    <row r="863" spans="1:6" ht="15.75" customHeight="1" x14ac:dyDescent="0.35">
      <c r="A863" s="4"/>
      <c r="B863" s="4"/>
      <c r="C863" s="46"/>
      <c r="F863" s="26"/>
    </row>
    <row r="864" spans="1:6" ht="15.75" customHeight="1" x14ac:dyDescent="0.35">
      <c r="A864" s="4"/>
      <c r="B864" s="4"/>
      <c r="C864" s="46"/>
      <c r="F864" s="26"/>
    </row>
    <row r="865" spans="1:6" ht="15.75" customHeight="1" x14ac:dyDescent="0.35">
      <c r="A865" s="4"/>
      <c r="B865" s="4"/>
      <c r="C865" s="46"/>
      <c r="F865" s="26"/>
    </row>
    <row r="866" spans="1:6" ht="15.75" customHeight="1" x14ac:dyDescent="0.35">
      <c r="A866" s="4"/>
      <c r="B866" s="4"/>
      <c r="C866" s="46"/>
      <c r="F866" s="26"/>
    </row>
    <row r="867" spans="1:6" ht="15.75" customHeight="1" x14ac:dyDescent="0.35">
      <c r="A867" s="4"/>
      <c r="B867" s="4"/>
      <c r="C867" s="46"/>
      <c r="F867" s="26"/>
    </row>
    <row r="868" spans="1:6" ht="15.75" customHeight="1" x14ac:dyDescent="0.35">
      <c r="A868" s="4"/>
      <c r="B868" s="4"/>
      <c r="C868" s="46"/>
      <c r="F868" s="26"/>
    </row>
    <row r="869" spans="1:6" ht="15.75" customHeight="1" x14ac:dyDescent="0.35">
      <c r="A869" s="4"/>
      <c r="B869" s="4"/>
      <c r="C869" s="46"/>
      <c r="F869" s="26"/>
    </row>
    <row r="870" spans="1:6" ht="15.75" customHeight="1" x14ac:dyDescent="0.35">
      <c r="A870" s="4"/>
      <c r="B870" s="4"/>
      <c r="C870" s="46"/>
      <c r="F870" s="26"/>
    </row>
    <row r="871" spans="1:6" ht="15.75" customHeight="1" x14ac:dyDescent="0.35">
      <c r="A871" s="4"/>
      <c r="B871" s="4"/>
      <c r="C871" s="46"/>
      <c r="F871" s="26"/>
    </row>
    <row r="872" spans="1:6" ht="15.75" customHeight="1" x14ac:dyDescent="0.35">
      <c r="A872" s="4"/>
      <c r="B872" s="4"/>
      <c r="C872" s="46"/>
      <c r="F872" s="26"/>
    </row>
    <row r="873" spans="1:6" ht="15.75" customHeight="1" x14ac:dyDescent="0.35">
      <c r="A873" s="4"/>
      <c r="B873" s="4"/>
      <c r="C873" s="46"/>
      <c r="F873" s="26"/>
    </row>
    <row r="874" spans="1:6" ht="15.75" customHeight="1" x14ac:dyDescent="0.35">
      <c r="A874" s="4"/>
      <c r="B874" s="4"/>
      <c r="C874" s="46"/>
      <c r="F874" s="26"/>
    </row>
    <row r="875" spans="1:6" ht="15.75" customHeight="1" x14ac:dyDescent="0.35">
      <c r="A875" s="4"/>
      <c r="B875" s="4"/>
      <c r="C875" s="46"/>
      <c r="F875" s="26"/>
    </row>
    <row r="876" spans="1:6" ht="15.75" customHeight="1" x14ac:dyDescent="0.35">
      <c r="A876" s="4"/>
      <c r="B876" s="4"/>
      <c r="C876" s="46"/>
      <c r="F876" s="26"/>
    </row>
    <row r="877" spans="1:6" ht="15.75" customHeight="1" x14ac:dyDescent="0.35">
      <c r="A877" s="4"/>
      <c r="B877" s="4"/>
      <c r="C877" s="46"/>
      <c r="F877" s="26"/>
    </row>
    <row r="878" spans="1:6" ht="15.75" customHeight="1" x14ac:dyDescent="0.35">
      <c r="A878" s="4"/>
      <c r="B878" s="4"/>
      <c r="C878" s="46"/>
      <c r="F878" s="26"/>
    </row>
    <row r="879" spans="1:6" ht="15.75" customHeight="1" x14ac:dyDescent="0.35">
      <c r="A879" s="4"/>
      <c r="B879" s="4"/>
      <c r="C879" s="46"/>
      <c r="F879" s="26"/>
    </row>
    <row r="880" spans="1:6" ht="15.75" customHeight="1" x14ac:dyDescent="0.35">
      <c r="A880" s="4"/>
      <c r="B880" s="4"/>
      <c r="C880" s="46"/>
      <c r="F880" s="26"/>
    </row>
    <row r="881" spans="1:6" ht="15.75" customHeight="1" x14ac:dyDescent="0.35">
      <c r="A881" s="4"/>
      <c r="B881" s="4"/>
      <c r="C881" s="46"/>
      <c r="F881" s="26"/>
    </row>
    <row r="882" spans="1:6" ht="15.75" customHeight="1" x14ac:dyDescent="0.35">
      <c r="A882" s="4"/>
      <c r="B882" s="4"/>
      <c r="C882" s="46"/>
      <c r="F882" s="26"/>
    </row>
    <row r="883" spans="1:6" ht="15.75" customHeight="1" x14ac:dyDescent="0.35">
      <c r="A883" s="4"/>
      <c r="B883" s="4"/>
      <c r="C883" s="46"/>
      <c r="F883" s="26"/>
    </row>
    <row r="884" spans="1:6" ht="15.75" customHeight="1" x14ac:dyDescent="0.35">
      <c r="A884" s="4"/>
      <c r="B884" s="4"/>
      <c r="C884" s="46"/>
      <c r="F884" s="26"/>
    </row>
    <row r="885" spans="1:6" ht="15.75" customHeight="1" x14ac:dyDescent="0.35">
      <c r="A885" s="4"/>
      <c r="B885" s="4"/>
      <c r="C885" s="46"/>
      <c r="F885" s="26"/>
    </row>
    <row r="886" spans="1:6" ht="15.75" customHeight="1" x14ac:dyDescent="0.35">
      <c r="A886" s="4"/>
      <c r="B886" s="4"/>
      <c r="C886" s="46"/>
      <c r="F886" s="26"/>
    </row>
    <row r="887" spans="1:6" ht="15.75" customHeight="1" x14ac:dyDescent="0.35">
      <c r="A887" s="4"/>
      <c r="B887" s="4"/>
      <c r="C887" s="46"/>
      <c r="F887" s="26"/>
    </row>
    <row r="888" spans="1:6" ht="15.75" customHeight="1" x14ac:dyDescent="0.35">
      <c r="A888" s="4"/>
      <c r="B888" s="4"/>
      <c r="C888" s="46"/>
      <c r="F888" s="26"/>
    </row>
    <row r="889" spans="1:6" ht="15.75" customHeight="1" x14ac:dyDescent="0.35">
      <c r="A889" s="4"/>
      <c r="B889" s="4"/>
      <c r="C889" s="46"/>
      <c r="F889" s="26"/>
    </row>
    <row r="890" spans="1:6" ht="15.75" customHeight="1" x14ac:dyDescent="0.35">
      <c r="A890" s="4"/>
      <c r="B890" s="4"/>
      <c r="C890" s="46"/>
      <c r="F890" s="26"/>
    </row>
    <row r="891" spans="1:6" ht="15.75" customHeight="1" x14ac:dyDescent="0.35">
      <c r="A891" s="4"/>
      <c r="B891" s="4"/>
      <c r="C891" s="46"/>
      <c r="F891" s="26"/>
    </row>
    <row r="892" spans="1:6" ht="15.75" customHeight="1" x14ac:dyDescent="0.35">
      <c r="A892" s="4"/>
      <c r="B892" s="4"/>
      <c r="C892" s="46"/>
      <c r="F892" s="26"/>
    </row>
    <row r="893" spans="1:6" ht="15.75" customHeight="1" x14ac:dyDescent="0.35">
      <c r="A893" s="4"/>
      <c r="B893" s="4"/>
      <c r="C893" s="46"/>
      <c r="F893" s="26"/>
    </row>
    <row r="894" spans="1:6" ht="15.75" customHeight="1" x14ac:dyDescent="0.35">
      <c r="A894" s="4"/>
      <c r="B894" s="4"/>
      <c r="C894" s="46"/>
      <c r="F894" s="26"/>
    </row>
    <row r="895" spans="1:6" ht="15.75" customHeight="1" x14ac:dyDescent="0.35">
      <c r="A895" s="4"/>
      <c r="B895" s="4"/>
      <c r="C895" s="46"/>
      <c r="F895" s="26"/>
    </row>
    <row r="896" spans="1:6" ht="15.75" customHeight="1" x14ac:dyDescent="0.35">
      <c r="A896" s="4"/>
      <c r="B896" s="4"/>
      <c r="C896" s="46"/>
      <c r="F896" s="26"/>
    </row>
    <row r="897" spans="1:6" ht="15.75" customHeight="1" x14ac:dyDescent="0.35">
      <c r="A897" s="4"/>
      <c r="B897" s="4"/>
      <c r="C897" s="46"/>
      <c r="F897" s="26"/>
    </row>
    <row r="898" spans="1:6" ht="15.75" customHeight="1" x14ac:dyDescent="0.35">
      <c r="A898" s="4"/>
      <c r="B898" s="4"/>
      <c r="C898" s="46"/>
      <c r="F898" s="26"/>
    </row>
    <row r="899" spans="1:6" ht="15.75" customHeight="1" x14ac:dyDescent="0.35">
      <c r="A899" s="4"/>
      <c r="B899" s="4"/>
      <c r="C899" s="46"/>
      <c r="F899" s="26"/>
    </row>
    <row r="900" spans="1:6" ht="15.75" customHeight="1" x14ac:dyDescent="0.35">
      <c r="A900" s="4"/>
      <c r="B900" s="4"/>
      <c r="C900" s="46"/>
      <c r="F900" s="26"/>
    </row>
    <row r="901" spans="1:6" ht="15.75" customHeight="1" x14ac:dyDescent="0.35">
      <c r="A901" s="4"/>
      <c r="B901" s="4"/>
      <c r="C901" s="46"/>
      <c r="F901" s="26"/>
    </row>
    <row r="902" spans="1:6" ht="15.75" customHeight="1" x14ac:dyDescent="0.35">
      <c r="A902" s="4"/>
      <c r="B902" s="4"/>
      <c r="C902" s="46"/>
      <c r="F902" s="26"/>
    </row>
    <row r="903" spans="1:6" ht="15.75" customHeight="1" x14ac:dyDescent="0.35">
      <c r="A903" s="4"/>
      <c r="B903" s="4"/>
      <c r="C903" s="46"/>
      <c r="F903" s="26"/>
    </row>
    <row r="904" spans="1:6" ht="15.75" customHeight="1" x14ac:dyDescent="0.35">
      <c r="A904" s="4"/>
      <c r="B904" s="4"/>
      <c r="C904" s="46"/>
      <c r="F904" s="26"/>
    </row>
    <row r="905" spans="1:6" ht="15.75" customHeight="1" x14ac:dyDescent="0.35">
      <c r="A905" s="4"/>
      <c r="B905" s="4"/>
      <c r="C905" s="46"/>
      <c r="F905" s="26"/>
    </row>
    <row r="906" spans="1:6" ht="15.75" customHeight="1" x14ac:dyDescent="0.35">
      <c r="A906" s="4"/>
      <c r="B906" s="4"/>
      <c r="C906" s="46"/>
      <c r="F906" s="26"/>
    </row>
    <row r="907" spans="1:6" ht="15.75" customHeight="1" x14ac:dyDescent="0.35">
      <c r="A907" s="4"/>
      <c r="B907" s="4"/>
      <c r="C907" s="46"/>
      <c r="F907" s="26"/>
    </row>
    <row r="908" spans="1:6" ht="15.75" customHeight="1" x14ac:dyDescent="0.35">
      <c r="A908" s="4"/>
      <c r="B908" s="4"/>
      <c r="C908" s="46"/>
      <c r="F908" s="26"/>
    </row>
    <row r="909" spans="1:6" ht="15.75" customHeight="1" x14ac:dyDescent="0.35">
      <c r="A909" s="4"/>
      <c r="B909" s="4"/>
      <c r="C909" s="46"/>
      <c r="F909" s="26"/>
    </row>
    <row r="910" spans="1:6" ht="15.75" customHeight="1" x14ac:dyDescent="0.35">
      <c r="A910" s="4"/>
      <c r="B910" s="4"/>
      <c r="C910" s="46"/>
      <c r="F910" s="26"/>
    </row>
    <row r="911" spans="1:6" ht="15.75" customHeight="1" x14ac:dyDescent="0.35">
      <c r="A911" s="4"/>
      <c r="B911" s="4"/>
      <c r="C911" s="46"/>
      <c r="F911" s="26"/>
    </row>
    <row r="912" spans="1:6" ht="15.75" customHeight="1" x14ac:dyDescent="0.35">
      <c r="A912" s="4"/>
      <c r="B912" s="4"/>
      <c r="C912" s="46"/>
      <c r="F912" s="26"/>
    </row>
    <row r="913" spans="1:6" ht="15.75" customHeight="1" x14ac:dyDescent="0.35">
      <c r="A913" s="4"/>
      <c r="B913" s="4"/>
      <c r="C913" s="46"/>
      <c r="F913" s="26"/>
    </row>
    <row r="914" spans="1:6" ht="15.75" customHeight="1" x14ac:dyDescent="0.35">
      <c r="A914" s="4"/>
      <c r="B914" s="4"/>
      <c r="C914" s="46"/>
      <c r="F914" s="26"/>
    </row>
    <row r="915" spans="1:6" ht="15.75" customHeight="1" x14ac:dyDescent="0.35">
      <c r="A915" s="4"/>
      <c r="B915" s="4"/>
      <c r="C915" s="46"/>
      <c r="F915" s="26"/>
    </row>
    <row r="916" spans="1:6" ht="15.75" customHeight="1" x14ac:dyDescent="0.35">
      <c r="A916" s="4"/>
      <c r="B916" s="4"/>
      <c r="C916" s="46"/>
      <c r="F916" s="26"/>
    </row>
    <row r="917" spans="1:6" ht="15.75" customHeight="1" x14ac:dyDescent="0.35">
      <c r="A917" s="4"/>
      <c r="B917" s="4"/>
      <c r="C917" s="46"/>
      <c r="F917" s="26"/>
    </row>
    <row r="918" spans="1:6" ht="15.75" customHeight="1" x14ac:dyDescent="0.35">
      <c r="A918" s="4"/>
      <c r="B918" s="4"/>
      <c r="C918" s="46"/>
      <c r="F918" s="26"/>
    </row>
    <row r="919" spans="1:6" ht="15.75" customHeight="1" x14ac:dyDescent="0.35">
      <c r="A919" s="4"/>
      <c r="B919" s="4"/>
      <c r="C919" s="46"/>
      <c r="F919" s="26"/>
    </row>
    <row r="920" spans="1:6" ht="15.75" customHeight="1" x14ac:dyDescent="0.35">
      <c r="A920" s="4"/>
      <c r="B920" s="4"/>
      <c r="C920" s="46"/>
      <c r="F920" s="26"/>
    </row>
    <row r="921" spans="1:6" ht="15.75" customHeight="1" x14ac:dyDescent="0.35">
      <c r="A921" s="4"/>
      <c r="B921" s="4"/>
      <c r="C921" s="46"/>
      <c r="F921" s="26"/>
    </row>
    <row r="922" spans="1:6" ht="15.75" customHeight="1" x14ac:dyDescent="0.35">
      <c r="A922" s="4"/>
      <c r="B922" s="4"/>
      <c r="C922" s="46"/>
      <c r="F922" s="26"/>
    </row>
    <row r="923" spans="1:6" ht="15.75" customHeight="1" x14ac:dyDescent="0.35">
      <c r="A923" s="4"/>
      <c r="B923" s="4"/>
      <c r="C923" s="46"/>
      <c r="F923" s="26"/>
    </row>
    <row r="924" spans="1:6" ht="15.75" customHeight="1" x14ac:dyDescent="0.35">
      <c r="A924" s="4"/>
      <c r="B924" s="4"/>
      <c r="C924" s="46"/>
      <c r="F924" s="26"/>
    </row>
    <row r="925" spans="1:6" ht="15.75" customHeight="1" x14ac:dyDescent="0.35">
      <c r="A925" s="4"/>
      <c r="B925" s="4"/>
      <c r="C925" s="46"/>
      <c r="F925" s="26"/>
    </row>
    <row r="926" spans="1:6" ht="15.75" customHeight="1" x14ac:dyDescent="0.35">
      <c r="A926" s="4"/>
      <c r="B926" s="4"/>
      <c r="C926" s="46"/>
      <c r="F926" s="26"/>
    </row>
    <row r="927" spans="1:6" ht="15.75" customHeight="1" x14ac:dyDescent="0.35">
      <c r="A927" s="4"/>
      <c r="B927" s="4"/>
      <c r="C927" s="46"/>
      <c r="F927" s="26"/>
    </row>
    <row r="928" spans="1:6" ht="15.75" customHeight="1" x14ac:dyDescent="0.35">
      <c r="A928" s="4"/>
      <c r="B928" s="4"/>
      <c r="C928" s="46"/>
      <c r="F928" s="26"/>
    </row>
    <row r="929" spans="1:6" ht="15.75" customHeight="1" x14ac:dyDescent="0.35">
      <c r="A929" s="4"/>
      <c r="B929" s="4"/>
      <c r="C929" s="46"/>
      <c r="F929" s="26"/>
    </row>
    <row r="930" spans="1:6" ht="15.75" customHeight="1" x14ac:dyDescent="0.35">
      <c r="A930" s="4"/>
      <c r="B930" s="4"/>
      <c r="C930" s="46"/>
      <c r="F930" s="26"/>
    </row>
    <row r="931" spans="1:6" ht="15.75" customHeight="1" x14ac:dyDescent="0.35">
      <c r="A931" s="4"/>
      <c r="B931" s="4"/>
      <c r="C931" s="46"/>
      <c r="F931" s="26"/>
    </row>
    <row r="932" spans="1:6" ht="15.75" customHeight="1" x14ac:dyDescent="0.35">
      <c r="A932" s="4"/>
      <c r="B932" s="4"/>
      <c r="C932" s="46"/>
      <c r="F932" s="26"/>
    </row>
    <row r="933" spans="1:6" ht="15.75" customHeight="1" x14ac:dyDescent="0.35">
      <c r="A933" s="4"/>
      <c r="B933" s="4"/>
      <c r="C933" s="46"/>
      <c r="F933" s="26"/>
    </row>
    <row r="934" spans="1:6" ht="15.75" customHeight="1" x14ac:dyDescent="0.35">
      <c r="A934" s="4"/>
      <c r="B934" s="4"/>
      <c r="C934" s="46"/>
      <c r="F934" s="26"/>
    </row>
    <row r="935" spans="1:6" ht="15.75" customHeight="1" x14ac:dyDescent="0.35">
      <c r="A935" s="4"/>
      <c r="B935" s="4"/>
      <c r="C935" s="46"/>
      <c r="F935" s="26"/>
    </row>
    <row r="936" spans="1:6" ht="15.75" customHeight="1" x14ac:dyDescent="0.35">
      <c r="A936" s="4"/>
      <c r="B936" s="4"/>
      <c r="C936" s="46"/>
      <c r="F936" s="26"/>
    </row>
    <row r="937" spans="1:6" ht="15.75" customHeight="1" x14ac:dyDescent="0.35">
      <c r="A937" s="4"/>
      <c r="B937" s="4"/>
      <c r="C937" s="46"/>
      <c r="F937" s="26"/>
    </row>
    <row r="938" spans="1:6" ht="15.75" customHeight="1" x14ac:dyDescent="0.35">
      <c r="A938" s="4"/>
      <c r="B938" s="4"/>
      <c r="C938" s="46"/>
      <c r="F938" s="26"/>
    </row>
    <row r="939" spans="1:6" ht="15.75" customHeight="1" x14ac:dyDescent="0.35">
      <c r="A939" s="4"/>
      <c r="B939" s="4"/>
      <c r="C939" s="46"/>
      <c r="F939" s="26"/>
    </row>
    <row r="940" spans="1:6" ht="15.75" customHeight="1" x14ac:dyDescent="0.35">
      <c r="A940" s="4"/>
      <c r="B940" s="4"/>
      <c r="C940" s="46"/>
      <c r="F940" s="26"/>
    </row>
    <row r="941" spans="1:6" ht="15.75" customHeight="1" x14ac:dyDescent="0.35">
      <c r="A941" s="4"/>
      <c r="B941" s="4"/>
      <c r="C941" s="46"/>
      <c r="F941" s="26"/>
    </row>
    <row r="942" spans="1:6" ht="15.75" customHeight="1" x14ac:dyDescent="0.35">
      <c r="A942" s="4"/>
      <c r="B942" s="4"/>
      <c r="C942" s="46"/>
      <c r="F942" s="26"/>
    </row>
    <row r="943" spans="1:6" ht="15.75" customHeight="1" x14ac:dyDescent="0.35">
      <c r="A943" s="4"/>
      <c r="B943" s="4"/>
      <c r="C943" s="46"/>
      <c r="F943" s="26"/>
    </row>
    <row r="944" spans="1:6" ht="15.75" customHeight="1" x14ac:dyDescent="0.35">
      <c r="A944" s="4"/>
      <c r="B944" s="4"/>
      <c r="C944" s="46"/>
      <c r="F944" s="26"/>
    </row>
    <row r="945" spans="1:6" ht="15.75" customHeight="1" x14ac:dyDescent="0.35">
      <c r="A945" s="4"/>
      <c r="B945" s="4"/>
      <c r="C945" s="46"/>
      <c r="F945" s="26"/>
    </row>
    <row r="946" spans="1:6" ht="15.75" customHeight="1" x14ac:dyDescent="0.35">
      <c r="A946" s="4"/>
      <c r="B946" s="4"/>
      <c r="C946" s="46"/>
      <c r="F946" s="26"/>
    </row>
    <row r="947" spans="1:6" ht="15.75" customHeight="1" x14ac:dyDescent="0.35">
      <c r="A947" s="4"/>
      <c r="B947" s="4"/>
      <c r="C947" s="46"/>
      <c r="F947" s="26"/>
    </row>
    <row r="948" spans="1:6" ht="15.75" customHeight="1" x14ac:dyDescent="0.35">
      <c r="A948" s="4"/>
      <c r="B948" s="4"/>
      <c r="C948" s="46"/>
      <c r="F948" s="26"/>
    </row>
    <row r="949" spans="1:6" ht="15.75" customHeight="1" x14ac:dyDescent="0.35">
      <c r="A949" s="4"/>
      <c r="B949" s="4"/>
      <c r="C949" s="46"/>
      <c r="F949" s="26"/>
    </row>
    <row r="950" spans="1:6" ht="15.75" customHeight="1" x14ac:dyDescent="0.35">
      <c r="A950" s="4"/>
      <c r="B950" s="4"/>
      <c r="C950" s="46"/>
      <c r="F950" s="26"/>
    </row>
    <row r="951" spans="1:6" ht="15.75" customHeight="1" x14ac:dyDescent="0.35">
      <c r="A951" s="4"/>
      <c r="B951" s="4"/>
      <c r="C951" s="46"/>
      <c r="F951" s="26"/>
    </row>
    <row r="952" spans="1:6" ht="15.75" customHeight="1" x14ac:dyDescent="0.35">
      <c r="A952" s="4"/>
      <c r="B952" s="4"/>
      <c r="C952" s="46"/>
      <c r="F952" s="26"/>
    </row>
    <row r="953" spans="1:6" ht="15.75" customHeight="1" x14ac:dyDescent="0.35">
      <c r="A953" s="4"/>
      <c r="B953" s="4"/>
      <c r="C953" s="46"/>
      <c r="F953" s="26"/>
    </row>
    <row r="954" spans="1:6" ht="15.75" customHeight="1" x14ac:dyDescent="0.35">
      <c r="A954" s="4"/>
      <c r="B954" s="4"/>
      <c r="C954" s="46"/>
      <c r="F954" s="26"/>
    </row>
    <row r="955" spans="1:6" ht="15.75" customHeight="1" x14ac:dyDescent="0.35">
      <c r="A955" s="4"/>
      <c r="B955" s="4"/>
      <c r="C955" s="46"/>
      <c r="F955" s="26"/>
    </row>
    <row r="956" spans="1:6" ht="15.75" customHeight="1" x14ac:dyDescent="0.35">
      <c r="A956" s="4"/>
      <c r="B956" s="4"/>
      <c r="C956" s="46"/>
      <c r="F956" s="26"/>
    </row>
    <row r="957" spans="1:6" ht="15.75" customHeight="1" x14ac:dyDescent="0.35">
      <c r="A957" s="4"/>
      <c r="B957" s="4"/>
      <c r="C957" s="46"/>
      <c r="F957" s="26"/>
    </row>
    <row r="958" spans="1:6" ht="15.75" customHeight="1" x14ac:dyDescent="0.35">
      <c r="A958" s="4"/>
      <c r="B958" s="4"/>
      <c r="C958" s="46"/>
      <c r="F958" s="26"/>
    </row>
    <row r="959" spans="1:6" ht="15.75" customHeight="1" x14ac:dyDescent="0.35">
      <c r="A959" s="4"/>
      <c r="B959" s="4"/>
      <c r="C959" s="46"/>
      <c r="F959" s="26"/>
    </row>
    <row r="960" spans="1:6" ht="15.75" customHeight="1" x14ac:dyDescent="0.35">
      <c r="A960" s="4"/>
      <c r="B960" s="4"/>
      <c r="C960" s="46"/>
      <c r="F960" s="26"/>
    </row>
    <row r="961" spans="1:6" ht="15.75" customHeight="1" x14ac:dyDescent="0.35">
      <c r="A961" s="4"/>
      <c r="B961" s="4"/>
      <c r="C961" s="46"/>
      <c r="F961" s="26"/>
    </row>
    <row r="962" spans="1:6" ht="15.75" customHeight="1" x14ac:dyDescent="0.35">
      <c r="A962" s="4"/>
      <c r="B962" s="4"/>
      <c r="C962" s="46"/>
      <c r="F962" s="26"/>
    </row>
    <row r="963" spans="1:6" ht="15.75" customHeight="1" x14ac:dyDescent="0.35">
      <c r="A963" s="4"/>
      <c r="B963" s="4"/>
      <c r="C963" s="46"/>
      <c r="F963" s="26"/>
    </row>
    <row r="964" spans="1:6" ht="15.75" customHeight="1" x14ac:dyDescent="0.35">
      <c r="A964" s="4"/>
      <c r="B964" s="4"/>
      <c r="C964" s="46"/>
      <c r="F964" s="26"/>
    </row>
    <row r="965" spans="1:6" ht="15.75" customHeight="1" x14ac:dyDescent="0.35">
      <c r="A965" s="4"/>
      <c r="B965" s="4"/>
      <c r="C965" s="46"/>
      <c r="F965" s="26"/>
    </row>
    <row r="966" spans="1:6" ht="15.75" customHeight="1" x14ac:dyDescent="0.35">
      <c r="A966" s="4"/>
      <c r="B966" s="4"/>
      <c r="C966" s="46"/>
      <c r="F966" s="26"/>
    </row>
    <row r="967" spans="1:6" ht="15.75" customHeight="1" x14ac:dyDescent="0.35">
      <c r="A967" s="4"/>
      <c r="B967" s="4"/>
      <c r="C967" s="46"/>
      <c r="F967" s="26"/>
    </row>
    <row r="968" spans="1:6" ht="15.75" customHeight="1" x14ac:dyDescent="0.35">
      <c r="A968" s="4"/>
      <c r="B968" s="4"/>
      <c r="C968" s="46"/>
      <c r="F968" s="26"/>
    </row>
    <row r="969" spans="1:6" ht="15.75" customHeight="1" x14ac:dyDescent="0.35">
      <c r="A969" s="4"/>
      <c r="B969" s="4"/>
      <c r="C969" s="46"/>
      <c r="F969" s="26"/>
    </row>
    <row r="970" spans="1:6" ht="15.75" customHeight="1" x14ac:dyDescent="0.35">
      <c r="A970" s="4"/>
      <c r="B970" s="4"/>
      <c r="C970" s="46"/>
      <c r="F970" s="26"/>
    </row>
    <row r="971" spans="1:6" ht="15.75" customHeight="1" x14ac:dyDescent="0.35">
      <c r="A971" s="4"/>
      <c r="B971" s="4"/>
      <c r="C971" s="46"/>
      <c r="F971" s="26"/>
    </row>
    <row r="972" spans="1:6" ht="15.75" customHeight="1" x14ac:dyDescent="0.35">
      <c r="A972" s="4"/>
      <c r="B972" s="4"/>
      <c r="C972" s="46"/>
      <c r="F972" s="26"/>
    </row>
    <row r="973" spans="1:6" ht="15.75" customHeight="1" x14ac:dyDescent="0.35">
      <c r="A973" s="4"/>
      <c r="B973" s="4"/>
      <c r="C973" s="46"/>
      <c r="F973" s="26"/>
    </row>
    <row r="974" spans="1:6" ht="15.75" customHeight="1" x14ac:dyDescent="0.35">
      <c r="A974" s="4"/>
      <c r="B974" s="4"/>
      <c r="C974" s="46"/>
      <c r="F974" s="26"/>
    </row>
    <row r="975" spans="1:6" ht="15.75" customHeight="1" x14ac:dyDescent="0.35">
      <c r="A975" s="4"/>
      <c r="B975" s="4"/>
      <c r="C975" s="46"/>
      <c r="F975" s="26"/>
    </row>
    <row r="976" spans="1:6" ht="15.75" customHeight="1" x14ac:dyDescent="0.35">
      <c r="A976" s="4"/>
      <c r="B976" s="4"/>
      <c r="C976" s="46"/>
      <c r="F976" s="26"/>
    </row>
    <row r="977" spans="1:6" ht="15.75" customHeight="1" x14ac:dyDescent="0.35">
      <c r="A977" s="4"/>
      <c r="B977" s="4"/>
      <c r="C977" s="46"/>
      <c r="F977" s="26"/>
    </row>
    <row r="978" spans="1:6" ht="15.75" customHeight="1" x14ac:dyDescent="0.35">
      <c r="A978" s="4"/>
      <c r="B978" s="4"/>
      <c r="C978" s="46"/>
      <c r="F978" s="26"/>
    </row>
    <row r="979" spans="1:6" ht="15.75" customHeight="1" x14ac:dyDescent="0.35">
      <c r="A979" s="4"/>
      <c r="B979" s="4"/>
      <c r="C979" s="46"/>
      <c r="F979" s="26"/>
    </row>
    <row r="980" spans="1:6" ht="15.75" customHeight="1" x14ac:dyDescent="0.35">
      <c r="A980" s="4"/>
      <c r="B980" s="4"/>
      <c r="C980" s="46"/>
      <c r="F980" s="26"/>
    </row>
    <row r="981" spans="1:6" ht="15.75" customHeight="1" x14ac:dyDescent="0.35">
      <c r="A981" s="4"/>
      <c r="B981" s="4"/>
      <c r="C981" s="46"/>
      <c r="F981" s="26"/>
    </row>
    <row r="982" spans="1:6" ht="15.75" customHeight="1" x14ac:dyDescent="0.35">
      <c r="A982" s="4"/>
      <c r="B982" s="4"/>
      <c r="C982" s="46"/>
      <c r="F982" s="26"/>
    </row>
    <row r="983" spans="1:6" ht="15.75" customHeight="1" x14ac:dyDescent="0.35">
      <c r="A983" s="4"/>
      <c r="B983" s="4"/>
      <c r="C983" s="46"/>
      <c r="F983" s="26"/>
    </row>
    <row r="984" spans="1:6" ht="15.75" customHeight="1" x14ac:dyDescent="0.35">
      <c r="A984" s="4"/>
      <c r="B984" s="4"/>
      <c r="C984" s="46"/>
      <c r="F984" s="26"/>
    </row>
    <row r="985" spans="1:6" ht="15.75" customHeight="1" x14ac:dyDescent="0.35">
      <c r="A985" s="4"/>
      <c r="B985" s="4"/>
      <c r="C985" s="46"/>
      <c r="F985" s="26"/>
    </row>
    <row r="986" spans="1:6" ht="15.75" customHeight="1" x14ac:dyDescent="0.35">
      <c r="A986" s="4"/>
      <c r="B986" s="4"/>
      <c r="C986" s="46"/>
      <c r="F986" s="26"/>
    </row>
    <row r="987" spans="1:6" ht="15.75" customHeight="1" x14ac:dyDescent="0.35">
      <c r="A987" s="4"/>
      <c r="B987" s="4"/>
      <c r="C987" s="46"/>
      <c r="F987" s="26"/>
    </row>
    <row r="988" spans="1:6" ht="15.75" customHeight="1" x14ac:dyDescent="0.35">
      <c r="A988" s="4"/>
      <c r="B988" s="4"/>
      <c r="C988" s="46"/>
      <c r="F988" s="26"/>
    </row>
    <row r="989" spans="1:6" ht="15.75" customHeight="1" x14ac:dyDescent="0.35">
      <c r="A989" s="4"/>
      <c r="B989" s="4"/>
      <c r="C989" s="46"/>
      <c r="F989" s="26"/>
    </row>
    <row r="990" spans="1:6" ht="15.75" customHeight="1" x14ac:dyDescent="0.35">
      <c r="A990" s="4"/>
      <c r="B990" s="4"/>
      <c r="C990" s="46"/>
      <c r="F990" s="26"/>
    </row>
    <row r="991" spans="1:6" ht="15.75" customHeight="1" x14ac:dyDescent="0.35">
      <c r="A991" s="4"/>
      <c r="B991" s="4"/>
      <c r="C991" s="46"/>
      <c r="F991" s="26"/>
    </row>
    <row r="992" spans="1:6" ht="15.75" customHeight="1" x14ac:dyDescent="0.35">
      <c r="A992" s="4"/>
      <c r="B992" s="4"/>
      <c r="C992" s="46"/>
      <c r="F992" s="26"/>
    </row>
    <row r="993" spans="1:6" ht="15.75" customHeight="1" x14ac:dyDescent="0.35">
      <c r="A993" s="4"/>
      <c r="B993" s="4"/>
      <c r="C993" s="46"/>
      <c r="F993" s="26"/>
    </row>
    <row r="994" spans="1:6" ht="15.75" customHeight="1" x14ac:dyDescent="0.35">
      <c r="A994" s="4"/>
      <c r="B994" s="4"/>
      <c r="C994" s="46"/>
      <c r="F994" s="26"/>
    </row>
    <row r="995" spans="1:6" ht="15.75" customHeight="1" x14ac:dyDescent="0.35">
      <c r="A995" s="4"/>
      <c r="B995" s="4"/>
      <c r="C995" s="46"/>
      <c r="F995" s="26"/>
    </row>
    <row r="996" spans="1:6" ht="15.75" customHeight="1" x14ac:dyDescent="0.35">
      <c r="A996" s="4"/>
      <c r="B996" s="4"/>
      <c r="C996" s="46"/>
      <c r="F996" s="26"/>
    </row>
    <row r="997" spans="1:6" ht="15.75" customHeight="1" x14ac:dyDescent="0.35">
      <c r="A997" s="4"/>
      <c r="B997" s="4"/>
      <c r="C997" s="46"/>
      <c r="F997" s="26"/>
    </row>
    <row r="998" spans="1:6" ht="15.75" customHeight="1" x14ac:dyDescent="0.35">
      <c r="A998" s="4"/>
      <c r="B998" s="4"/>
      <c r="C998" s="46"/>
      <c r="F998" s="26"/>
    </row>
    <row r="999" spans="1:6" ht="15.75" customHeight="1" x14ac:dyDescent="0.35">
      <c r="A999" s="4"/>
      <c r="B999" s="4"/>
      <c r="C999" s="46"/>
      <c r="F999" s="26"/>
    </row>
    <row r="1000" spans="1:6" ht="15.75" customHeight="1" x14ac:dyDescent="0.35">
      <c r="A1000" s="4"/>
      <c r="B1000" s="4"/>
      <c r="C1000" s="46"/>
      <c r="F1000" s="26"/>
    </row>
  </sheetData>
  <autoFilter ref="A2:F2" xr:uid="{00000000-0009-0000-0000-000004000000}"/>
  <customSheetViews>
    <customSheetView guid="{9FE09895-0446-4AD1-AA4E-140155A8861F}" filter="1" showAutoFilter="1">
      <pageMargins left="0.7" right="0.7" top="0.75" bottom="0.75" header="0.3" footer="0.3"/>
      <autoFilter ref="A2:F1000" xr:uid="{BC2A00AD-937B-4EB1-A4EF-F1B34EB8A741}"/>
      <extLst>
        <ext uri="GoogleSheetsCustomDataVersion1">
          <go:sheetsCustomData xmlns:go="http://customooxmlschemas.google.com/" filterViewId="1153100912"/>
        </ext>
      </extLst>
    </customSheetView>
  </customSheetViews>
  <dataValidations count="1">
    <dataValidation type="list" allowBlank="1" showErrorMessage="1" sqref="C3:C1000" xr:uid="{00000000-0002-0000-0400-000001000000}">
      <formula1>"Pendidikan,Kesehatan,Tempat Ibadah"</formula1>
    </dataValidation>
  </dataValidation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400-000000000000}">
          <x14:formula1>
            <xm:f>KETERANGAN!$B$4:$B$5</xm:f>
          </x14:formula1>
          <xm:sqref>B3:B1000</xm:sqref>
        </x14:dataValidation>
        <x14:dataValidation type="list" allowBlank="1" showErrorMessage="1" xr:uid="{00000000-0002-0000-0400-000002000000}">
          <x14:formula1>
            <xm:f>KETERANGAN!$A$4:$A$34</xm:f>
          </x14:formula1>
          <xm:sqref>A3:A1000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Z1000"/>
  <sheetViews>
    <sheetView workbookViewId="0">
      <selection activeCell="D12" sqref="D12"/>
    </sheetView>
  </sheetViews>
  <sheetFormatPr defaultColWidth="14.453125" defaultRowHeight="15" customHeight="1" x14ac:dyDescent="0.35"/>
  <cols>
    <col min="1" max="2" width="8.7265625" customWidth="1"/>
    <col min="3" max="3" width="20.26953125" customWidth="1"/>
    <col min="4" max="4" width="15.08984375" customWidth="1"/>
    <col min="5" max="5" width="26.08984375" customWidth="1"/>
    <col min="6" max="6" width="14.453125" customWidth="1"/>
    <col min="7" max="7" width="14.26953125" customWidth="1"/>
    <col min="8" max="8" width="15" customWidth="1"/>
    <col min="9" max="9" width="12.7265625" customWidth="1"/>
    <col min="10" max="10" width="13.08984375" customWidth="1"/>
    <col min="11" max="11" width="15.81640625" customWidth="1"/>
    <col min="12" max="12" width="14.81640625" customWidth="1"/>
    <col min="13" max="13" width="12.54296875" customWidth="1"/>
    <col min="14" max="14" width="21.7265625" customWidth="1"/>
    <col min="15" max="15" width="17.7265625" customWidth="1"/>
    <col min="16" max="16" width="15.26953125" customWidth="1"/>
    <col min="17" max="17" width="24" customWidth="1"/>
    <col min="18" max="18" width="35.54296875" customWidth="1"/>
    <col min="19" max="19" width="15.54296875" customWidth="1"/>
    <col min="20" max="20" width="20.54296875" customWidth="1"/>
    <col min="21" max="21" width="16" customWidth="1"/>
    <col min="22" max="26" width="8.7265625" customWidth="1"/>
  </cols>
  <sheetData>
    <row r="2" spans="1:26" ht="14.5" x14ac:dyDescent="0.35">
      <c r="A2" s="47" t="s">
        <v>872</v>
      </c>
      <c r="B2" s="47"/>
    </row>
    <row r="3" spans="1:26" ht="33" customHeight="1" x14ac:dyDescent="0.35">
      <c r="A3" s="48" t="s">
        <v>76</v>
      </c>
      <c r="B3" s="49" t="s">
        <v>77</v>
      </c>
      <c r="C3" s="49" t="s">
        <v>78</v>
      </c>
      <c r="D3" s="49" t="s">
        <v>79</v>
      </c>
      <c r="E3" s="49" t="s">
        <v>80</v>
      </c>
      <c r="F3" s="49" t="s">
        <v>8</v>
      </c>
      <c r="G3" s="49" t="s">
        <v>82</v>
      </c>
      <c r="H3" s="49" t="s">
        <v>83</v>
      </c>
      <c r="I3" s="49" t="s">
        <v>84</v>
      </c>
      <c r="J3" s="49" t="s">
        <v>85</v>
      </c>
      <c r="K3" s="49" t="s">
        <v>873</v>
      </c>
      <c r="L3" s="49" t="s">
        <v>3</v>
      </c>
      <c r="M3" s="49" t="s">
        <v>39</v>
      </c>
      <c r="N3" s="49" t="s">
        <v>29</v>
      </c>
      <c r="O3" s="49" t="s">
        <v>47</v>
      </c>
      <c r="P3" s="49" t="s">
        <v>86</v>
      </c>
      <c r="Q3" s="49" t="s">
        <v>64</v>
      </c>
      <c r="R3" s="49" t="s">
        <v>87</v>
      </c>
      <c r="S3" s="49" t="s">
        <v>88</v>
      </c>
      <c r="T3" s="49" t="s">
        <v>89</v>
      </c>
      <c r="U3" s="50" t="s">
        <v>90</v>
      </c>
      <c r="V3" s="51"/>
      <c r="W3" s="51"/>
      <c r="X3" s="51"/>
      <c r="Y3" s="51"/>
      <c r="Z3" s="51"/>
    </row>
    <row r="4" spans="1:26" ht="14.5" x14ac:dyDescent="0.35">
      <c r="A4" s="99" t="s">
        <v>925</v>
      </c>
      <c r="B4" s="99" t="s">
        <v>925</v>
      </c>
      <c r="C4" s="37" t="s">
        <v>874</v>
      </c>
      <c r="D4" s="37" t="s">
        <v>874</v>
      </c>
      <c r="E4" s="37" t="s">
        <v>875</v>
      </c>
      <c r="F4" s="37" t="s">
        <v>4</v>
      </c>
      <c r="G4" s="37" t="s">
        <v>876</v>
      </c>
      <c r="K4" s="52" t="s">
        <v>877</v>
      </c>
      <c r="L4" s="52" t="s">
        <v>877</v>
      </c>
      <c r="M4" s="37" t="s">
        <v>40</v>
      </c>
      <c r="N4" s="34" t="s">
        <v>28</v>
      </c>
      <c r="O4" s="53"/>
      <c r="Q4" s="39" t="s">
        <v>65</v>
      </c>
      <c r="R4" s="53" t="s">
        <v>907</v>
      </c>
      <c r="U4" s="37" t="s">
        <v>101</v>
      </c>
    </row>
    <row r="5" spans="1:26" ht="14.5" x14ac:dyDescent="0.35">
      <c r="A5" s="99" t="s">
        <v>926</v>
      </c>
      <c r="B5" s="99" t="s">
        <v>926</v>
      </c>
      <c r="E5" s="37"/>
      <c r="F5" s="37" t="s">
        <v>5</v>
      </c>
      <c r="L5" s="37" t="s">
        <v>9</v>
      </c>
      <c r="M5" s="37" t="s">
        <v>41</v>
      </c>
      <c r="N5" s="37" t="s">
        <v>30</v>
      </c>
      <c r="Q5" s="39" t="s">
        <v>66</v>
      </c>
      <c r="R5" s="53" t="s">
        <v>878</v>
      </c>
      <c r="U5" s="37" t="s">
        <v>109</v>
      </c>
    </row>
    <row r="6" spans="1:26" ht="14.5" x14ac:dyDescent="0.35">
      <c r="A6" s="99" t="s">
        <v>927</v>
      </c>
      <c r="L6" s="37" t="s">
        <v>11</v>
      </c>
      <c r="M6" s="37" t="s">
        <v>42</v>
      </c>
      <c r="N6" s="34" t="s">
        <v>31</v>
      </c>
      <c r="Q6" s="39" t="s">
        <v>71</v>
      </c>
      <c r="R6" s="53" t="s">
        <v>879</v>
      </c>
      <c r="U6" s="37" t="s">
        <v>118</v>
      </c>
    </row>
    <row r="7" spans="1:26" ht="14.5" x14ac:dyDescent="0.35">
      <c r="A7" s="99" t="s">
        <v>928</v>
      </c>
      <c r="L7" s="37" t="s">
        <v>12</v>
      </c>
      <c r="M7" s="37" t="s">
        <v>43</v>
      </c>
      <c r="N7" s="34" t="s">
        <v>33</v>
      </c>
      <c r="Q7" s="39" t="s">
        <v>68</v>
      </c>
      <c r="R7" s="53"/>
      <c r="U7" s="37" t="s">
        <v>880</v>
      </c>
    </row>
    <row r="8" spans="1:26" ht="14.5" x14ac:dyDescent="0.35">
      <c r="A8" s="99" t="s">
        <v>929</v>
      </c>
      <c r="L8" s="34" t="s">
        <v>13</v>
      </c>
      <c r="M8" s="37" t="s">
        <v>44</v>
      </c>
      <c r="N8" s="37" t="s">
        <v>35</v>
      </c>
      <c r="Q8" s="39" t="s">
        <v>70</v>
      </c>
      <c r="R8" s="37"/>
      <c r="U8" s="37" t="s">
        <v>881</v>
      </c>
    </row>
    <row r="9" spans="1:26" ht="14.5" x14ac:dyDescent="0.35">
      <c r="A9" s="99" t="s">
        <v>924</v>
      </c>
      <c r="L9" s="34" t="s">
        <v>14</v>
      </c>
      <c r="M9" s="37" t="s">
        <v>45</v>
      </c>
      <c r="N9" s="37" t="s">
        <v>882</v>
      </c>
      <c r="R9" s="37"/>
    </row>
    <row r="10" spans="1:26" ht="14.5" x14ac:dyDescent="0.35">
      <c r="A10" s="99" t="s">
        <v>930</v>
      </c>
      <c r="L10" s="34" t="s">
        <v>15</v>
      </c>
      <c r="N10" s="37" t="s">
        <v>34</v>
      </c>
    </row>
    <row r="11" spans="1:26" ht="14.5" x14ac:dyDescent="0.35">
      <c r="A11" s="99" t="s">
        <v>931</v>
      </c>
      <c r="L11" s="34" t="s">
        <v>16</v>
      </c>
      <c r="N11" s="37" t="s">
        <v>36</v>
      </c>
      <c r="O11" s="47"/>
    </row>
    <row r="12" spans="1:26" ht="14.5" x14ac:dyDescent="0.35">
      <c r="A12" s="99" t="s">
        <v>932</v>
      </c>
      <c r="L12" s="34" t="s">
        <v>17</v>
      </c>
      <c r="N12" s="37" t="s">
        <v>37</v>
      </c>
    </row>
    <row r="13" spans="1:26" ht="14.5" x14ac:dyDescent="0.35">
      <c r="A13" s="99" t="s">
        <v>933</v>
      </c>
      <c r="L13" s="34" t="s">
        <v>18</v>
      </c>
    </row>
    <row r="14" spans="1:26" ht="14.5" x14ac:dyDescent="0.35">
      <c r="A14" s="99" t="s">
        <v>934</v>
      </c>
      <c r="L14" s="34" t="s">
        <v>19</v>
      </c>
    </row>
    <row r="15" spans="1:26" ht="14.5" x14ac:dyDescent="0.35">
      <c r="A15" s="99" t="s">
        <v>935</v>
      </c>
      <c r="L15" s="34" t="s">
        <v>20</v>
      </c>
    </row>
    <row r="16" spans="1:26" ht="14.5" x14ac:dyDescent="0.35">
      <c r="A16" s="99" t="s">
        <v>936</v>
      </c>
      <c r="L16" s="34" t="s">
        <v>21</v>
      </c>
    </row>
    <row r="17" spans="1:12" ht="14.5" x14ac:dyDescent="0.35">
      <c r="A17" s="99" t="s">
        <v>937</v>
      </c>
      <c r="L17" s="34" t="s">
        <v>22</v>
      </c>
    </row>
    <row r="18" spans="1:12" ht="14.5" x14ac:dyDescent="0.35">
      <c r="A18" s="99" t="s">
        <v>938</v>
      </c>
      <c r="L18" s="34" t="s">
        <v>23</v>
      </c>
    </row>
    <row r="19" spans="1:12" ht="14.5" x14ac:dyDescent="0.35">
      <c r="A19" s="99" t="s">
        <v>939</v>
      </c>
      <c r="L19" s="34" t="s">
        <v>24</v>
      </c>
    </row>
    <row r="20" spans="1:12" ht="14.5" x14ac:dyDescent="0.35">
      <c r="A20" s="99" t="s">
        <v>940</v>
      </c>
      <c r="L20" s="37" t="s">
        <v>25</v>
      </c>
    </row>
    <row r="21" spans="1:12" ht="15.75" customHeight="1" x14ac:dyDescent="0.35">
      <c r="A21" s="99" t="s">
        <v>941</v>
      </c>
    </row>
    <row r="22" spans="1:12" ht="15.75" customHeight="1" x14ac:dyDescent="0.35">
      <c r="A22" s="99" t="s">
        <v>942</v>
      </c>
    </row>
    <row r="23" spans="1:12" ht="15.75" customHeight="1" x14ac:dyDescent="0.35">
      <c r="A23" s="99" t="s">
        <v>943</v>
      </c>
    </row>
    <row r="24" spans="1:12" ht="15.75" customHeight="1" x14ac:dyDescent="0.35">
      <c r="A24" s="99" t="s">
        <v>944</v>
      </c>
    </row>
    <row r="25" spans="1:12" ht="15.75" customHeight="1" x14ac:dyDescent="0.35">
      <c r="A25" s="99" t="s">
        <v>945</v>
      </c>
    </row>
    <row r="26" spans="1:12" ht="15.75" customHeight="1" x14ac:dyDescent="0.35">
      <c r="A26" s="99" t="s">
        <v>946</v>
      </c>
    </row>
    <row r="27" spans="1:12" ht="15.75" customHeight="1" x14ac:dyDescent="0.35">
      <c r="A27" s="99" t="s">
        <v>947</v>
      </c>
    </row>
    <row r="28" spans="1:12" ht="15.75" customHeight="1" x14ac:dyDescent="0.35">
      <c r="A28" s="99" t="s">
        <v>948</v>
      </c>
    </row>
    <row r="29" spans="1:12" ht="15.75" customHeight="1" x14ac:dyDescent="0.35">
      <c r="A29" s="99" t="s">
        <v>949</v>
      </c>
    </row>
    <row r="30" spans="1:12" ht="15.75" customHeight="1" x14ac:dyDescent="0.35">
      <c r="A30" s="99" t="s">
        <v>950</v>
      </c>
    </row>
    <row r="31" spans="1:12" ht="15.75" customHeight="1" x14ac:dyDescent="0.35">
      <c r="A31" s="99" t="s">
        <v>951</v>
      </c>
    </row>
    <row r="32" spans="1:12" ht="15.75" customHeight="1" x14ac:dyDescent="0.35">
      <c r="A32" s="99" t="s">
        <v>952</v>
      </c>
    </row>
    <row r="33" spans="1:1" ht="15.75" customHeight="1" x14ac:dyDescent="0.35">
      <c r="A33" s="99" t="s">
        <v>953</v>
      </c>
    </row>
    <row r="34" spans="1:1" ht="15.75" customHeight="1" x14ac:dyDescent="0.35">
      <c r="A34" s="99" t="s">
        <v>954</v>
      </c>
    </row>
    <row r="35" spans="1:1" ht="15.75" customHeight="1" x14ac:dyDescent="0.35"/>
    <row r="36" spans="1:1" ht="15.75" customHeight="1" x14ac:dyDescent="0.35"/>
    <row r="37" spans="1:1" ht="15.75" customHeight="1" x14ac:dyDescent="0.35"/>
    <row r="38" spans="1:1" ht="15.75" customHeight="1" x14ac:dyDescent="0.35"/>
    <row r="39" spans="1:1" ht="15.75" customHeight="1" x14ac:dyDescent="0.35"/>
    <row r="40" spans="1:1" ht="15.75" customHeight="1" x14ac:dyDescent="0.35"/>
    <row r="41" spans="1:1" ht="15.75" customHeight="1" x14ac:dyDescent="0.35"/>
    <row r="42" spans="1:1" ht="15.75" customHeight="1" x14ac:dyDescent="0.35"/>
    <row r="43" spans="1:1" ht="15.75" customHeight="1" x14ac:dyDescent="0.35"/>
    <row r="44" spans="1:1" ht="15.75" customHeight="1" x14ac:dyDescent="0.35"/>
    <row r="45" spans="1:1" ht="15.75" customHeight="1" x14ac:dyDescent="0.35"/>
    <row r="46" spans="1:1" ht="15.75" customHeight="1" x14ac:dyDescent="0.35"/>
    <row r="47" spans="1:1" ht="15.75" customHeight="1" x14ac:dyDescent="0.35"/>
    <row r="48" spans="1:1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15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sqref="A1:A2"/>
    </sheetView>
  </sheetViews>
  <sheetFormatPr defaultColWidth="14.453125" defaultRowHeight="15" customHeight="1" x14ac:dyDescent="0.35"/>
  <cols>
    <col min="1" max="2" width="8.7265625" customWidth="1"/>
    <col min="3" max="3" width="24.81640625" customWidth="1"/>
    <col min="4" max="4" width="18.453125" customWidth="1"/>
    <col min="5" max="5" width="43.453125" customWidth="1"/>
    <col min="6" max="6" width="19" customWidth="1"/>
    <col min="7" max="7" width="20.453125" customWidth="1"/>
    <col min="8" max="8" width="19.54296875" customWidth="1"/>
    <col min="9" max="9" width="17.26953125" customWidth="1"/>
    <col min="10" max="10" width="17.7265625" customWidth="1"/>
    <col min="11" max="12" width="22.26953125" customWidth="1"/>
    <col min="13" max="13" width="11.7265625" customWidth="1"/>
    <col min="14" max="14" width="38.453125" customWidth="1"/>
    <col min="15" max="16" width="29.7265625" customWidth="1"/>
    <col min="17" max="17" width="32" customWidth="1"/>
    <col min="18" max="18" width="27" customWidth="1"/>
    <col min="19" max="19" width="33" customWidth="1"/>
    <col min="20" max="20" width="39.08984375" customWidth="1"/>
    <col min="21" max="21" width="28.453125" customWidth="1"/>
    <col min="22" max="24" width="14.453125" customWidth="1"/>
  </cols>
  <sheetData>
    <row r="1" spans="1:26" ht="14.25" customHeight="1" x14ac:dyDescent="0.35">
      <c r="A1" s="58" t="s">
        <v>72</v>
      </c>
      <c r="B1" s="17" t="s">
        <v>73</v>
      </c>
      <c r="C1" s="54">
        <v>10</v>
      </c>
      <c r="D1" s="60" t="s">
        <v>74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18"/>
      <c r="V1" s="18"/>
      <c r="W1" s="18"/>
      <c r="X1" s="18"/>
      <c r="Y1" s="18"/>
      <c r="Z1" s="18"/>
    </row>
    <row r="2" spans="1:26" ht="14.25" customHeight="1" x14ac:dyDescent="0.35">
      <c r="A2" s="59"/>
      <c r="B2" s="16" t="s">
        <v>75</v>
      </c>
      <c r="C2" s="55">
        <v>2024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18"/>
      <c r="V2" s="18"/>
      <c r="W2" s="18"/>
      <c r="X2" s="18"/>
      <c r="Y2" s="18"/>
      <c r="Z2" s="18"/>
    </row>
    <row r="3" spans="1:26" ht="25.5" customHeight="1" x14ac:dyDescent="0.35">
      <c r="A3" s="19" t="s">
        <v>76</v>
      </c>
      <c r="B3" s="19" t="s">
        <v>77</v>
      </c>
      <c r="C3" s="19" t="s">
        <v>78</v>
      </c>
      <c r="D3" s="19" t="s">
        <v>79</v>
      </c>
      <c r="E3" s="19" t="s">
        <v>80</v>
      </c>
      <c r="F3" s="19" t="s">
        <v>8</v>
      </c>
      <c r="G3" s="19" t="s">
        <v>82</v>
      </c>
      <c r="H3" s="19" t="s">
        <v>83</v>
      </c>
      <c r="I3" s="19" t="s">
        <v>84</v>
      </c>
      <c r="J3" s="19" t="s">
        <v>85</v>
      </c>
      <c r="K3" s="21" t="str">
        <f>"UMUR Bulan "&amp;C1&amp;" Tahun "&amp;C2</f>
        <v>UMUR Bulan 10 Tahun 2024</v>
      </c>
      <c r="L3" s="21" t="s">
        <v>3</v>
      </c>
      <c r="M3" s="19" t="s">
        <v>39</v>
      </c>
      <c r="N3" s="19" t="s">
        <v>29</v>
      </c>
      <c r="O3" s="19" t="s">
        <v>47</v>
      </c>
      <c r="P3" s="19" t="s">
        <v>86</v>
      </c>
      <c r="Q3" s="19" t="s">
        <v>64</v>
      </c>
      <c r="R3" s="19" t="s">
        <v>87</v>
      </c>
      <c r="S3" s="19" t="s">
        <v>88</v>
      </c>
      <c r="T3" s="19" t="s">
        <v>89</v>
      </c>
      <c r="U3" s="19" t="s">
        <v>90</v>
      </c>
      <c r="V3" s="23"/>
      <c r="W3" s="23"/>
      <c r="X3" s="23"/>
      <c r="Y3" s="23"/>
      <c r="Z3" s="23"/>
    </row>
    <row r="4" spans="1:26" ht="14.25" customHeight="1" x14ac:dyDescent="0.35">
      <c r="A4" s="26" t="s">
        <v>857</v>
      </c>
      <c r="B4" s="26" t="s">
        <v>93</v>
      </c>
      <c r="C4" s="26" t="s">
        <v>883</v>
      </c>
      <c r="D4" s="26" t="s">
        <v>884</v>
      </c>
      <c r="E4" s="26" t="s">
        <v>860</v>
      </c>
      <c r="F4" s="26" t="s">
        <v>5</v>
      </c>
      <c r="G4" s="26" t="s">
        <v>98</v>
      </c>
      <c r="H4" s="26">
        <v>25</v>
      </c>
      <c r="I4" s="26">
        <v>7</v>
      </c>
      <c r="J4" s="26">
        <v>1984</v>
      </c>
      <c r="K4" s="25">
        <f t="shared" ref="K4:K8" si="0">IF(I4&gt;$C$1,$C$2-J4-1,$C$2-J4)</f>
        <v>40</v>
      </c>
      <c r="L4" s="25" t="str">
        <f t="shared" ref="L4:L8" si="1">IF(OR(K4="",ISTEXT(K4)),"",LOOKUP(K4,{0;5;10;15;20;25;30;35;40;45;50;55;60;65;70;75},{"0-4 TAHUN";"5-9 TAHUN";"10-14 TAHUN";"15-19 TAHUN";"20-24 TAHUN";"25-29 TAHUN";"30-34 TAHUN";"35-39 TAHUN";"40-44 TAHUN";"45-49 TAHUN";"50-54 TAHUN";"55-59 TAHUN";"60-64 TAHUN";"65-69 TAHUN";"70-74 TAHUN";"75+ TAHUN"}))</f>
        <v>40-44 TAHUN</v>
      </c>
      <c r="M4" s="26" t="s">
        <v>40</v>
      </c>
      <c r="N4" s="26" t="s">
        <v>35</v>
      </c>
      <c r="O4" s="26" t="s">
        <v>54</v>
      </c>
      <c r="P4" s="26" t="s">
        <v>54</v>
      </c>
      <c r="Q4" s="26" t="s">
        <v>71</v>
      </c>
      <c r="R4" s="26" t="s">
        <v>99</v>
      </c>
      <c r="S4" s="26" t="s">
        <v>861</v>
      </c>
      <c r="T4" s="26" t="s">
        <v>861</v>
      </c>
      <c r="U4" s="26" t="s">
        <v>101</v>
      </c>
      <c r="V4" s="18"/>
      <c r="W4" s="18"/>
      <c r="X4" s="18"/>
      <c r="Y4" s="18"/>
      <c r="Z4" s="18"/>
    </row>
    <row r="5" spans="1:26" ht="14.25" customHeight="1" x14ac:dyDescent="0.35">
      <c r="A5" s="26" t="s">
        <v>857</v>
      </c>
      <c r="B5" s="26" t="s">
        <v>93</v>
      </c>
      <c r="C5" s="26" t="s">
        <v>885</v>
      </c>
      <c r="D5" s="26" t="s">
        <v>886</v>
      </c>
      <c r="E5" s="26" t="s">
        <v>887</v>
      </c>
      <c r="F5" s="26" t="s">
        <v>4</v>
      </c>
      <c r="G5" s="26" t="s">
        <v>98</v>
      </c>
      <c r="H5" s="26">
        <v>27</v>
      </c>
      <c r="I5" s="26">
        <v>1</v>
      </c>
      <c r="J5" s="26">
        <v>1995</v>
      </c>
      <c r="K5" s="25">
        <f t="shared" si="0"/>
        <v>29</v>
      </c>
      <c r="L5" s="25" t="str">
        <f t="shared" si="1"/>
        <v>25-29 TAHUN</v>
      </c>
      <c r="M5" s="26" t="s">
        <v>40</v>
      </c>
      <c r="N5" s="26" t="s">
        <v>34</v>
      </c>
      <c r="O5" s="26" t="s">
        <v>55</v>
      </c>
      <c r="P5" s="26" t="s">
        <v>55</v>
      </c>
      <c r="Q5" s="26" t="s">
        <v>66</v>
      </c>
      <c r="R5" s="26" t="s">
        <v>99</v>
      </c>
      <c r="S5" s="26" t="s">
        <v>888</v>
      </c>
      <c r="T5" s="26" t="s">
        <v>888</v>
      </c>
      <c r="U5" s="26" t="s">
        <v>101</v>
      </c>
      <c r="V5" s="18"/>
      <c r="W5" s="18"/>
      <c r="X5" s="18"/>
      <c r="Y5" s="18"/>
      <c r="Z5" s="18"/>
    </row>
    <row r="6" spans="1:26" ht="14.25" customHeight="1" x14ac:dyDescent="0.35">
      <c r="A6" s="26" t="s">
        <v>857</v>
      </c>
      <c r="B6" s="26" t="s">
        <v>93</v>
      </c>
      <c r="C6" s="26" t="s">
        <v>885</v>
      </c>
      <c r="D6" s="26" t="s">
        <v>889</v>
      </c>
      <c r="E6" s="26" t="s">
        <v>890</v>
      </c>
      <c r="F6" s="26" t="s">
        <v>4</v>
      </c>
      <c r="G6" s="26" t="s">
        <v>98</v>
      </c>
      <c r="H6" s="26">
        <v>20</v>
      </c>
      <c r="I6" s="26">
        <v>7</v>
      </c>
      <c r="J6" s="26">
        <v>1994</v>
      </c>
      <c r="K6" s="25">
        <f t="shared" si="0"/>
        <v>30</v>
      </c>
      <c r="L6" s="25" t="str">
        <f t="shared" si="1"/>
        <v>30-34 TAHUN</v>
      </c>
      <c r="M6" s="26" t="s">
        <v>40</v>
      </c>
      <c r="N6" s="26" t="s">
        <v>34</v>
      </c>
      <c r="O6" s="26" t="s">
        <v>54</v>
      </c>
      <c r="P6" s="26" t="s">
        <v>54</v>
      </c>
      <c r="Q6" s="26" t="s">
        <v>66</v>
      </c>
      <c r="R6" s="26" t="s">
        <v>878</v>
      </c>
      <c r="S6" s="26" t="s">
        <v>888</v>
      </c>
      <c r="T6" s="26" t="s">
        <v>891</v>
      </c>
      <c r="U6" s="26" t="s">
        <v>109</v>
      </c>
      <c r="V6" s="18"/>
      <c r="W6" s="18"/>
      <c r="X6" s="18"/>
      <c r="Y6" s="18"/>
      <c r="Z6" s="18"/>
    </row>
    <row r="7" spans="1:26" ht="14.25" customHeight="1" x14ac:dyDescent="0.35">
      <c r="A7" s="26" t="s">
        <v>857</v>
      </c>
      <c r="B7" s="26" t="s">
        <v>93</v>
      </c>
      <c r="C7" s="26" t="s">
        <v>885</v>
      </c>
      <c r="D7" s="26" t="s">
        <v>892</v>
      </c>
      <c r="E7" s="26" t="s">
        <v>893</v>
      </c>
      <c r="F7" s="26" t="s">
        <v>4</v>
      </c>
      <c r="G7" s="26" t="s">
        <v>98</v>
      </c>
      <c r="H7" s="26">
        <v>16</v>
      </c>
      <c r="I7" s="26">
        <v>7</v>
      </c>
      <c r="J7" s="26">
        <v>2020</v>
      </c>
      <c r="K7" s="25">
        <f t="shared" si="0"/>
        <v>4</v>
      </c>
      <c r="L7" s="25" t="str">
        <f t="shared" si="1"/>
        <v>0-4 TAHUN</v>
      </c>
      <c r="M7" s="26" t="s">
        <v>40</v>
      </c>
      <c r="N7" s="26" t="s">
        <v>28</v>
      </c>
      <c r="O7" s="26" t="s">
        <v>48</v>
      </c>
      <c r="P7" s="26" t="s">
        <v>48</v>
      </c>
      <c r="Q7" s="26" t="s">
        <v>65</v>
      </c>
      <c r="R7" s="26" t="s">
        <v>879</v>
      </c>
      <c r="S7" s="26" t="s">
        <v>888</v>
      </c>
      <c r="T7" s="26" t="s">
        <v>891</v>
      </c>
      <c r="U7" s="26" t="s">
        <v>109</v>
      </c>
      <c r="V7" s="18"/>
      <c r="W7" s="18"/>
      <c r="X7" s="18"/>
      <c r="Y7" s="18"/>
      <c r="Z7" s="18"/>
    </row>
    <row r="8" spans="1:26" ht="14.25" customHeight="1" x14ac:dyDescent="0.35">
      <c r="A8" s="26" t="s">
        <v>857</v>
      </c>
      <c r="B8" s="26" t="s">
        <v>93</v>
      </c>
      <c r="C8" s="26" t="s">
        <v>894</v>
      </c>
      <c r="D8" s="26" t="s">
        <v>895</v>
      </c>
      <c r="E8" s="26" t="s">
        <v>896</v>
      </c>
      <c r="F8" s="26" t="s">
        <v>4</v>
      </c>
      <c r="G8" s="26" t="s">
        <v>98</v>
      </c>
      <c r="H8" s="26">
        <v>12</v>
      </c>
      <c r="I8" s="26">
        <v>12</v>
      </c>
      <c r="J8" s="26">
        <v>1993</v>
      </c>
      <c r="K8" s="25">
        <f t="shared" si="0"/>
        <v>30</v>
      </c>
      <c r="L8" s="25" t="str">
        <f t="shared" si="1"/>
        <v>30-34 TAHUN</v>
      </c>
      <c r="M8" s="26" t="s">
        <v>40</v>
      </c>
      <c r="N8" s="26" t="s">
        <v>35</v>
      </c>
      <c r="O8" s="26" t="s">
        <v>53</v>
      </c>
      <c r="P8" s="26" t="s">
        <v>897</v>
      </c>
      <c r="Q8" s="26" t="s">
        <v>66</v>
      </c>
      <c r="R8" s="26" t="s">
        <v>879</v>
      </c>
      <c r="S8" s="26" t="s">
        <v>891</v>
      </c>
      <c r="T8" s="26" t="s">
        <v>888</v>
      </c>
      <c r="U8" s="26" t="s">
        <v>109</v>
      </c>
      <c r="V8" s="18"/>
      <c r="W8" s="18"/>
      <c r="X8" s="18"/>
      <c r="Y8" s="18"/>
      <c r="Z8" s="18"/>
    </row>
    <row r="9" spans="1:26" ht="14.25" customHeight="1" x14ac:dyDescent="0.35">
      <c r="A9" s="26"/>
      <c r="B9" s="26"/>
      <c r="C9" s="26"/>
      <c r="D9" s="26"/>
      <c r="E9" s="26"/>
      <c r="F9" s="26"/>
      <c r="G9" s="26"/>
      <c r="H9" s="26"/>
      <c r="I9" s="26"/>
      <c r="J9" s="26"/>
      <c r="K9" s="25"/>
      <c r="L9" s="25"/>
      <c r="M9" s="26"/>
      <c r="N9" s="26"/>
      <c r="O9" s="26"/>
      <c r="P9" s="26"/>
      <c r="Q9" s="26"/>
      <c r="R9" s="26"/>
      <c r="S9" s="26"/>
      <c r="T9" s="26"/>
      <c r="U9" s="26"/>
      <c r="V9" s="18"/>
      <c r="W9" s="18"/>
      <c r="X9" s="18"/>
      <c r="Y9" s="18"/>
      <c r="Z9" s="18"/>
    </row>
    <row r="10" spans="1:26" ht="14.25" customHeight="1" x14ac:dyDescent="0.3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5"/>
      <c r="L10" s="25"/>
      <c r="M10" s="26"/>
      <c r="N10" s="26"/>
      <c r="O10" s="26"/>
      <c r="P10" s="26"/>
      <c r="Q10" s="26"/>
      <c r="R10" s="26"/>
      <c r="S10" s="26"/>
      <c r="T10" s="26"/>
      <c r="U10" s="26"/>
      <c r="V10" s="18"/>
      <c r="W10" s="18"/>
      <c r="X10" s="18"/>
      <c r="Y10" s="18"/>
      <c r="Z10" s="18"/>
    </row>
    <row r="11" spans="1:26" ht="14.25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5"/>
      <c r="L11" s="25"/>
      <c r="M11" s="26"/>
      <c r="N11" s="26"/>
      <c r="O11" s="26"/>
      <c r="P11" s="26"/>
      <c r="Q11" s="26"/>
      <c r="R11" s="26"/>
      <c r="S11" s="26"/>
      <c r="T11" s="26"/>
      <c r="U11" s="26"/>
      <c r="V11" s="18"/>
      <c r="W11" s="18"/>
      <c r="X11" s="18"/>
      <c r="Y11" s="18"/>
      <c r="Z11" s="18"/>
    </row>
    <row r="12" spans="1:26" ht="14.25" customHeight="1" x14ac:dyDescent="0.3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5"/>
      <c r="L12" s="25"/>
      <c r="M12" s="26"/>
      <c r="N12" s="26"/>
      <c r="O12" s="26"/>
      <c r="P12" s="26"/>
      <c r="Q12" s="26"/>
      <c r="R12" s="26"/>
      <c r="S12" s="26"/>
      <c r="T12" s="26"/>
      <c r="U12" s="26"/>
      <c r="V12" s="18"/>
      <c r="W12" s="18"/>
      <c r="X12" s="18"/>
      <c r="Y12" s="18"/>
      <c r="Z12" s="18"/>
    </row>
    <row r="13" spans="1:26" ht="14.25" customHeight="1" x14ac:dyDescent="0.3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5"/>
      <c r="L13" s="25"/>
      <c r="M13" s="26"/>
      <c r="N13" s="26"/>
      <c r="O13" s="26"/>
      <c r="P13" s="26"/>
      <c r="Q13" s="26"/>
      <c r="R13" s="26"/>
      <c r="S13" s="26"/>
      <c r="T13" s="26"/>
      <c r="U13" s="26"/>
      <c r="V13" s="18"/>
      <c r="W13" s="18"/>
      <c r="X13" s="18"/>
      <c r="Y13" s="18"/>
      <c r="Z13" s="18"/>
    </row>
    <row r="14" spans="1:26" ht="14.25" customHeight="1" x14ac:dyDescent="0.3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5"/>
      <c r="L14" s="25"/>
      <c r="M14" s="26"/>
      <c r="N14" s="26"/>
      <c r="O14" s="26"/>
      <c r="P14" s="26"/>
      <c r="Q14" s="26"/>
      <c r="R14" s="26"/>
      <c r="S14" s="26"/>
      <c r="T14" s="26"/>
      <c r="U14" s="26"/>
      <c r="V14" s="18"/>
      <c r="W14" s="18"/>
      <c r="X14" s="18"/>
      <c r="Y14" s="18"/>
      <c r="Z14" s="18"/>
    </row>
    <row r="15" spans="1:26" ht="14.25" customHeight="1" x14ac:dyDescent="0.3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5"/>
      <c r="L15" s="25"/>
      <c r="M15" s="26"/>
      <c r="N15" s="26"/>
      <c r="O15" s="26"/>
      <c r="P15" s="26"/>
      <c r="Q15" s="26"/>
      <c r="R15" s="26"/>
      <c r="S15" s="26"/>
      <c r="T15" s="26"/>
      <c r="U15" s="26"/>
      <c r="V15" s="18"/>
      <c r="W15" s="18"/>
      <c r="X15" s="18"/>
      <c r="Y15" s="18"/>
      <c r="Z15" s="18"/>
    </row>
    <row r="16" spans="1:26" ht="14.25" customHeight="1" x14ac:dyDescent="0.3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5"/>
      <c r="L16" s="25"/>
      <c r="M16" s="26"/>
      <c r="N16" s="26"/>
      <c r="O16" s="26"/>
      <c r="P16" s="26"/>
      <c r="Q16" s="26"/>
      <c r="R16" s="26"/>
      <c r="S16" s="26"/>
      <c r="T16" s="26"/>
      <c r="U16" s="26"/>
      <c r="V16" s="18"/>
      <c r="W16" s="18"/>
      <c r="X16" s="18"/>
      <c r="Y16" s="18"/>
      <c r="Z16" s="18"/>
    </row>
    <row r="17" spans="1:26" ht="14.25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5"/>
      <c r="L17" s="25"/>
      <c r="M17" s="26"/>
      <c r="N17" s="26"/>
      <c r="O17" s="26"/>
      <c r="P17" s="26"/>
      <c r="Q17" s="26"/>
      <c r="R17" s="26"/>
      <c r="S17" s="26"/>
      <c r="T17" s="26"/>
      <c r="U17" s="26"/>
      <c r="V17" s="18"/>
      <c r="W17" s="18"/>
      <c r="X17" s="18"/>
      <c r="Y17" s="18"/>
      <c r="Z17" s="18"/>
    </row>
    <row r="18" spans="1:26" ht="14.25" customHeight="1" x14ac:dyDescent="0.3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5"/>
      <c r="L18" s="25"/>
      <c r="M18" s="26"/>
      <c r="N18" s="26"/>
      <c r="O18" s="26"/>
      <c r="P18" s="26"/>
      <c r="Q18" s="26"/>
      <c r="R18" s="26"/>
      <c r="S18" s="26"/>
      <c r="T18" s="26"/>
      <c r="U18" s="26"/>
      <c r="V18" s="18"/>
      <c r="W18" s="18"/>
      <c r="X18" s="18"/>
      <c r="Y18" s="18"/>
      <c r="Z18" s="18"/>
    </row>
    <row r="19" spans="1:26" ht="14.25" customHeight="1" x14ac:dyDescent="0.3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5"/>
      <c r="L19" s="25"/>
      <c r="M19" s="26"/>
      <c r="N19" s="26"/>
      <c r="O19" s="26"/>
      <c r="P19" s="26"/>
      <c r="Q19" s="26"/>
      <c r="R19" s="26"/>
      <c r="S19" s="26"/>
      <c r="T19" s="26"/>
      <c r="U19" s="26"/>
      <c r="V19" s="18"/>
      <c r="W19" s="18"/>
      <c r="X19" s="18"/>
      <c r="Y19" s="18"/>
      <c r="Z19" s="18"/>
    </row>
    <row r="20" spans="1:26" ht="14.25" customHeight="1" x14ac:dyDescent="0.3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5"/>
      <c r="L20" s="25"/>
      <c r="M20" s="26"/>
      <c r="N20" s="26"/>
      <c r="O20" s="26"/>
      <c r="P20" s="26"/>
      <c r="Q20" s="26"/>
      <c r="R20" s="26"/>
      <c r="S20" s="26"/>
      <c r="T20" s="26"/>
      <c r="U20" s="26"/>
      <c r="V20" s="18"/>
      <c r="W20" s="18"/>
      <c r="X20" s="18"/>
      <c r="Y20" s="18"/>
      <c r="Z20" s="18"/>
    </row>
    <row r="21" spans="1:26" ht="14.25" customHeight="1" x14ac:dyDescent="0.3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5"/>
      <c r="L21" s="25"/>
      <c r="M21" s="26"/>
      <c r="N21" s="26"/>
      <c r="O21" s="26"/>
      <c r="P21" s="26"/>
      <c r="Q21" s="26"/>
      <c r="R21" s="26"/>
      <c r="S21" s="26"/>
      <c r="T21" s="26"/>
      <c r="U21" s="26"/>
      <c r="V21" s="18"/>
      <c r="W21" s="18"/>
      <c r="X21" s="18"/>
      <c r="Y21" s="18"/>
      <c r="Z21" s="18"/>
    </row>
    <row r="22" spans="1:26" ht="14.25" customHeight="1" x14ac:dyDescent="0.3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5"/>
      <c r="L22" s="25"/>
      <c r="M22" s="26"/>
      <c r="N22" s="26"/>
      <c r="O22" s="26"/>
      <c r="P22" s="26"/>
      <c r="Q22" s="26"/>
      <c r="R22" s="26"/>
      <c r="S22" s="26"/>
      <c r="T22" s="26"/>
      <c r="U22" s="26"/>
      <c r="V22" s="18"/>
      <c r="W22" s="18"/>
      <c r="X22" s="18"/>
      <c r="Y22" s="18"/>
      <c r="Z22" s="18"/>
    </row>
    <row r="23" spans="1:26" ht="14.25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5"/>
      <c r="L23" s="25"/>
      <c r="M23" s="26"/>
      <c r="N23" s="26"/>
      <c r="O23" s="26"/>
      <c r="P23" s="26"/>
      <c r="Q23" s="26"/>
      <c r="R23" s="26"/>
      <c r="S23" s="26"/>
      <c r="T23" s="26"/>
      <c r="U23" s="26"/>
      <c r="V23" s="18"/>
      <c r="W23" s="18"/>
      <c r="X23" s="18"/>
      <c r="Y23" s="18"/>
      <c r="Z23" s="18"/>
    </row>
    <row r="24" spans="1:26" ht="14.25" customHeight="1" x14ac:dyDescent="0.3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5"/>
      <c r="L24" s="25"/>
      <c r="M24" s="26"/>
      <c r="N24" s="26"/>
      <c r="O24" s="26"/>
      <c r="P24" s="26"/>
      <c r="Q24" s="26"/>
      <c r="R24" s="26"/>
      <c r="S24" s="26"/>
      <c r="T24" s="26"/>
      <c r="U24" s="26"/>
      <c r="V24" s="18"/>
      <c r="W24" s="18"/>
      <c r="X24" s="18"/>
      <c r="Y24" s="18"/>
      <c r="Z24" s="18"/>
    </row>
    <row r="25" spans="1:26" ht="14.25" customHeight="1" x14ac:dyDescent="0.3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5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18"/>
      <c r="W25" s="18"/>
      <c r="X25" s="18"/>
      <c r="Y25" s="18"/>
      <c r="Z25" s="18"/>
    </row>
    <row r="26" spans="1:26" ht="14.25" customHeight="1" x14ac:dyDescent="0.3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5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18"/>
      <c r="W26" s="18"/>
      <c r="X26" s="18"/>
      <c r="Y26" s="18"/>
      <c r="Z26" s="18"/>
    </row>
    <row r="27" spans="1:26" ht="14.25" customHeight="1" x14ac:dyDescent="0.3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5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18"/>
      <c r="W27" s="18"/>
      <c r="X27" s="18"/>
      <c r="Y27" s="18"/>
      <c r="Z27" s="18"/>
    </row>
    <row r="28" spans="1:26" ht="14.25" customHeight="1" x14ac:dyDescent="0.3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5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18"/>
      <c r="W28" s="18"/>
      <c r="X28" s="18"/>
      <c r="Y28" s="18"/>
      <c r="Z28" s="18"/>
    </row>
    <row r="29" spans="1:26" ht="14.25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5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18"/>
      <c r="W29" s="18"/>
      <c r="X29" s="18"/>
      <c r="Y29" s="18"/>
      <c r="Z29" s="18"/>
    </row>
    <row r="30" spans="1:26" ht="14.25" customHeight="1" x14ac:dyDescent="0.3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5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18"/>
      <c r="W30" s="18"/>
      <c r="X30" s="18"/>
      <c r="Y30" s="18"/>
      <c r="Z30" s="18"/>
    </row>
    <row r="31" spans="1:26" ht="14.25" customHeight="1" x14ac:dyDescent="0.3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5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18"/>
      <c r="W31" s="18"/>
      <c r="X31" s="18"/>
      <c r="Y31" s="18"/>
      <c r="Z31" s="18"/>
    </row>
    <row r="32" spans="1:26" ht="14.25" customHeight="1" x14ac:dyDescent="0.3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5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18"/>
      <c r="W32" s="18"/>
      <c r="X32" s="18"/>
      <c r="Y32" s="18"/>
      <c r="Z32" s="18"/>
    </row>
    <row r="33" spans="1:26" ht="14.25" customHeight="1" x14ac:dyDescent="0.3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5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18"/>
      <c r="W33" s="18"/>
      <c r="X33" s="18"/>
      <c r="Y33" s="18"/>
      <c r="Z33" s="18"/>
    </row>
    <row r="34" spans="1:26" ht="14.25" customHeight="1" x14ac:dyDescent="0.3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5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18"/>
      <c r="W34" s="18"/>
      <c r="X34" s="18"/>
      <c r="Y34" s="18"/>
      <c r="Z34" s="18"/>
    </row>
    <row r="35" spans="1:26" ht="14.25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5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18"/>
      <c r="W35" s="18"/>
      <c r="X35" s="18"/>
      <c r="Y35" s="18"/>
      <c r="Z35" s="18"/>
    </row>
    <row r="36" spans="1:26" ht="14.25" customHeight="1" x14ac:dyDescent="0.3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5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18"/>
      <c r="W36" s="18"/>
      <c r="X36" s="18"/>
      <c r="Y36" s="18"/>
      <c r="Z36" s="18"/>
    </row>
    <row r="37" spans="1:26" ht="14.25" customHeight="1" x14ac:dyDescent="0.3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5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18"/>
      <c r="W37" s="18"/>
      <c r="X37" s="18"/>
      <c r="Y37" s="18"/>
      <c r="Z37" s="18"/>
    </row>
    <row r="38" spans="1:26" ht="14.25" customHeight="1" x14ac:dyDescent="0.3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5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18"/>
      <c r="W38" s="18"/>
      <c r="X38" s="18"/>
      <c r="Y38" s="18"/>
      <c r="Z38" s="18"/>
    </row>
    <row r="39" spans="1:26" ht="14.25" customHeight="1" x14ac:dyDescent="0.3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5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18"/>
      <c r="W39" s="18"/>
      <c r="X39" s="18"/>
      <c r="Y39" s="18"/>
      <c r="Z39" s="18"/>
    </row>
    <row r="40" spans="1:26" ht="14.25" customHeight="1" x14ac:dyDescent="0.3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5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18"/>
      <c r="W40" s="18"/>
      <c r="X40" s="18"/>
      <c r="Y40" s="18"/>
      <c r="Z40" s="18"/>
    </row>
    <row r="41" spans="1:26" ht="14.25" customHeight="1" x14ac:dyDescent="0.3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5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18"/>
      <c r="W41" s="18"/>
      <c r="X41" s="18"/>
      <c r="Y41" s="18"/>
      <c r="Z41" s="18"/>
    </row>
    <row r="42" spans="1:26" ht="14.25" customHeight="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5"/>
      <c r="L42" s="25"/>
      <c r="M42" s="26"/>
      <c r="N42" s="26"/>
      <c r="O42" s="26"/>
      <c r="P42" s="26"/>
      <c r="Q42" s="26"/>
      <c r="R42" s="26"/>
      <c r="S42" s="26"/>
      <c r="T42" s="26"/>
      <c r="U42" s="26"/>
      <c r="V42" s="18"/>
      <c r="W42" s="18"/>
      <c r="X42" s="18"/>
      <c r="Y42" s="18"/>
      <c r="Z42" s="18"/>
    </row>
    <row r="43" spans="1:26" ht="14.25" customHeight="1" x14ac:dyDescent="0.3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5"/>
      <c r="L43" s="25"/>
      <c r="M43" s="26"/>
      <c r="N43" s="26"/>
      <c r="O43" s="26"/>
      <c r="P43" s="26"/>
      <c r="Q43" s="26"/>
      <c r="R43" s="26"/>
      <c r="S43" s="26"/>
      <c r="T43" s="26"/>
      <c r="U43" s="26"/>
      <c r="V43" s="18"/>
      <c r="W43" s="18"/>
      <c r="X43" s="18"/>
      <c r="Y43" s="18"/>
      <c r="Z43" s="18"/>
    </row>
    <row r="44" spans="1:26" ht="14.25" customHeight="1" x14ac:dyDescent="0.3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5"/>
      <c r="L44" s="25"/>
      <c r="M44" s="26"/>
      <c r="N44" s="26"/>
      <c r="O44" s="26"/>
      <c r="P44" s="26"/>
      <c r="Q44" s="26"/>
      <c r="R44" s="26"/>
      <c r="S44" s="26"/>
      <c r="T44" s="26"/>
      <c r="U44" s="26"/>
      <c r="V44" s="18"/>
      <c r="W44" s="18"/>
      <c r="X44" s="18"/>
      <c r="Y44" s="18"/>
      <c r="Z44" s="18"/>
    </row>
    <row r="45" spans="1:26" ht="14.25" customHeight="1" x14ac:dyDescent="0.3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5"/>
      <c r="L45" s="25"/>
      <c r="M45" s="26"/>
      <c r="N45" s="26"/>
      <c r="O45" s="26"/>
      <c r="P45" s="26"/>
      <c r="Q45" s="26"/>
      <c r="R45" s="26"/>
      <c r="S45" s="26"/>
      <c r="T45" s="26"/>
      <c r="U45" s="26"/>
      <c r="V45" s="18"/>
      <c r="W45" s="18"/>
      <c r="X45" s="18"/>
      <c r="Y45" s="18"/>
      <c r="Z45" s="18"/>
    </row>
    <row r="46" spans="1:26" ht="14.25" customHeight="1" x14ac:dyDescent="0.3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5"/>
      <c r="L46" s="25"/>
      <c r="M46" s="26"/>
      <c r="N46" s="26"/>
      <c r="O46" s="26"/>
      <c r="P46" s="26"/>
      <c r="Q46" s="26"/>
      <c r="R46" s="26"/>
      <c r="S46" s="26"/>
      <c r="T46" s="26"/>
      <c r="U46" s="26"/>
      <c r="V46" s="18"/>
      <c r="W46" s="18"/>
      <c r="X46" s="18"/>
      <c r="Y46" s="18"/>
      <c r="Z46" s="18"/>
    </row>
    <row r="47" spans="1:26" ht="14.25" customHeight="1" x14ac:dyDescent="0.3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5"/>
      <c r="L47" s="25"/>
      <c r="M47" s="26"/>
      <c r="N47" s="26"/>
      <c r="O47" s="26"/>
      <c r="P47" s="26"/>
      <c r="Q47" s="26"/>
      <c r="R47" s="26"/>
      <c r="S47" s="26"/>
      <c r="T47" s="26"/>
      <c r="U47" s="26"/>
      <c r="V47" s="18"/>
      <c r="W47" s="18"/>
      <c r="X47" s="18"/>
      <c r="Y47" s="18"/>
      <c r="Z47" s="18"/>
    </row>
    <row r="48" spans="1:26" ht="14.25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5"/>
      <c r="L48" s="25"/>
      <c r="M48" s="26"/>
      <c r="N48" s="26"/>
      <c r="O48" s="26"/>
      <c r="P48" s="26"/>
      <c r="Q48" s="26"/>
      <c r="R48" s="26"/>
      <c r="S48" s="26"/>
      <c r="T48" s="26"/>
      <c r="U48" s="26"/>
      <c r="V48" s="18"/>
      <c r="W48" s="18"/>
      <c r="X48" s="18"/>
      <c r="Y48" s="18"/>
      <c r="Z48" s="18"/>
    </row>
    <row r="49" spans="1:26" ht="14.25" customHeight="1" x14ac:dyDescent="0.3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5"/>
      <c r="L49" s="25"/>
      <c r="M49" s="26"/>
      <c r="N49" s="26"/>
      <c r="O49" s="26"/>
      <c r="P49" s="26"/>
      <c r="Q49" s="26"/>
      <c r="R49" s="26"/>
      <c r="S49" s="26"/>
      <c r="T49" s="26"/>
      <c r="U49" s="26"/>
      <c r="V49" s="18"/>
      <c r="W49" s="18"/>
      <c r="X49" s="18"/>
      <c r="Y49" s="18"/>
      <c r="Z49" s="18"/>
    </row>
    <row r="50" spans="1:26" ht="14.25" customHeight="1" x14ac:dyDescent="0.3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5"/>
      <c r="L50" s="25"/>
      <c r="M50" s="26"/>
      <c r="N50" s="26"/>
      <c r="O50" s="26"/>
      <c r="P50" s="26"/>
      <c r="Q50" s="26"/>
      <c r="R50" s="26"/>
      <c r="S50" s="26"/>
      <c r="T50" s="26"/>
      <c r="U50" s="26"/>
      <c r="V50" s="18"/>
      <c r="W50" s="18"/>
      <c r="X50" s="18"/>
      <c r="Y50" s="18"/>
      <c r="Z50" s="18"/>
    </row>
    <row r="51" spans="1:26" ht="14.25" customHeight="1" x14ac:dyDescent="0.3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5"/>
      <c r="L51" s="25"/>
      <c r="M51" s="26"/>
      <c r="N51" s="26"/>
      <c r="O51" s="26"/>
      <c r="P51" s="26"/>
      <c r="Q51" s="26"/>
      <c r="R51" s="26"/>
      <c r="S51" s="26"/>
      <c r="T51" s="26"/>
      <c r="U51" s="26"/>
      <c r="V51" s="18"/>
      <c r="W51" s="18"/>
      <c r="X51" s="18"/>
      <c r="Y51" s="18"/>
      <c r="Z51" s="18"/>
    </row>
    <row r="52" spans="1:26" ht="14.25" customHeight="1" x14ac:dyDescent="0.3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5"/>
      <c r="L52" s="25"/>
      <c r="M52" s="26"/>
      <c r="N52" s="26"/>
      <c r="O52" s="26"/>
      <c r="P52" s="26"/>
      <c r="Q52" s="26"/>
      <c r="R52" s="26"/>
      <c r="S52" s="26"/>
      <c r="T52" s="26"/>
      <c r="U52" s="26"/>
      <c r="V52" s="18"/>
      <c r="W52" s="18"/>
      <c r="X52" s="18"/>
      <c r="Y52" s="18"/>
      <c r="Z52" s="18"/>
    </row>
    <row r="53" spans="1:26" ht="14.25" customHeight="1" x14ac:dyDescent="0.3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5"/>
      <c r="L53" s="25"/>
      <c r="M53" s="26"/>
      <c r="N53" s="26"/>
      <c r="O53" s="26"/>
      <c r="P53" s="26"/>
      <c r="Q53" s="26"/>
      <c r="R53" s="26"/>
      <c r="S53" s="26"/>
      <c r="T53" s="26"/>
      <c r="U53" s="26"/>
      <c r="V53" s="18"/>
      <c r="W53" s="18"/>
      <c r="X53" s="18"/>
      <c r="Y53" s="18"/>
      <c r="Z53" s="18"/>
    </row>
    <row r="54" spans="1:26" ht="14.25" customHeight="1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5"/>
      <c r="L54" s="25"/>
      <c r="M54" s="26"/>
      <c r="N54" s="26"/>
      <c r="O54" s="26"/>
      <c r="P54" s="26"/>
      <c r="Q54" s="26"/>
      <c r="R54" s="26"/>
      <c r="S54" s="26"/>
      <c r="T54" s="26"/>
      <c r="U54" s="26"/>
      <c r="V54" s="18"/>
      <c r="W54" s="18"/>
      <c r="X54" s="18"/>
      <c r="Y54" s="18"/>
      <c r="Z54" s="18"/>
    </row>
    <row r="55" spans="1:26" ht="14.25" customHeight="1" x14ac:dyDescent="0.3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5"/>
      <c r="L55" s="25"/>
      <c r="M55" s="26"/>
      <c r="N55" s="26"/>
      <c r="O55" s="26"/>
      <c r="P55" s="26"/>
      <c r="Q55" s="26"/>
      <c r="R55" s="26"/>
      <c r="S55" s="26"/>
      <c r="T55" s="26"/>
      <c r="U55" s="26"/>
      <c r="V55" s="18"/>
      <c r="W55" s="18"/>
      <c r="X55" s="18"/>
      <c r="Y55" s="18"/>
      <c r="Z55" s="18"/>
    </row>
    <row r="56" spans="1:26" ht="14.25" customHeight="1" x14ac:dyDescent="0.3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5"/>
      <c r="L56" s="25"/>
      <c r="M56" s="26"/>
      <c r="N56" s="26"/>
      <c r="O56" s="26"/>
      <c r="P56" s="26"/>
      <c r="Q56" s="26"/>
      <c r="R56" s="26"/>
      <c r="S56" s="26"/>
      <c r="T56" s="26"/>
      <c r="U56" s="26"/>
      <c r="V56" s="18"/>
      <c r="W56" s="18"/>
      <c r="X56" s="18"/>
      <c r="Y56" s="18"/>
      <c r="Z56" s="18"/>
    </row>
    <row r="57" spans="1:26" ht="14.25" customHeight="1" x14ac:dyDescent="0.3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5"/>
      <c r="L57" s="25"/>
      <c r="M57" s="26"/>
      <c r="N57" s="26"/>
      <c r="O57" s="26"/>
      <c r="P57" s="26"/>
      <c r="Q57" s="26"/>
      <c r="R57" s="26"/>
      <c r="S57" s="26"/>
      <c r="T57" s="26"/>
      <c r="U57" s="26"/>
      <c r="V57" s="18"/>
      <c r="W57" s="18"/>
      <c r="X57" s="18"/>
      <c r="Y57" s="18"/>
      <c r="Z57" s="18"/>
    </row>
    <row r="58" spans="1:26" ht="14.25" customHeight="1" x14ac:dyDescent="0.3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5"/>
      <c r="L58" s="25"/>
      <c r="M58" s="26"/>
      <c r="N58" s="26"/>
      <c r="O58" s="26"/>
      <c r="P58" s="26"/>
      <c r="Q58" s="26"/>
      <c r="R58" s="26"/>
      <c r="S58" s="26"/>
      <c r="T58" s="26"/>
      <c r="U58" s="26"/>
      <c r="V58" s="18"/>
      <c r="W58" s="18"/>
      <c r="X58" s="18"/>
      <c r="Y58" s="18"/>
      <c r="Z58" s="18"/>
    </row>
    <row r="59" spans="1:26" ht="14.25" customHeight="1" x14ac:dyDescent="0.3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5"/>
      <c r="L59" s="25"/>
      <c r="M59" s="26"/>
      <c r="N59" s="26"/>
      <c r="O59" s="26"/>
      <c r="P59" s="26"/>
      <c r="Q59" s="26"/>
      <c r="R59" s="26"/>
      <c r="S59" s="26"/>
      <c r="T59" s="26"/>
      <c r="U59" s="26"/>
      <c r="V59" s="18"/>
      <c r="W59" s="18"/>
      <c r="X59" s="18"/>
      <c r="Y59" s="18"/>
      <c r="Z59" s="18"/>
    </row>
    <row r="60" spans="1:26" ht="14.25" customHeight="1" x14ac:dyDescent="0.3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5"/>
      <c r="L60" s="25"/>
      <c r="M60" s="26"/>
      <c r="N60" s="26"/>
      <c r="O60" s="26"/>
      <c r="P60" s="26"/>
      <c r="Q60" s="26"/>
      <c r="R60" s="26"/>
      <c r="S60" s="26"/>
      <c r="T60" s="26"/>
      <c r="U60" s="26"/>
      <c r="V60" s="18"/>
      <c r="W60" s="18"/>
      <c r="X60" s="18"/>
      <c r="Y60" s="18"/>
      <c r="Z60" s="18"/>
    </row>
    <row r="61" spans="1:26" ht="14.25" customHeight="1" x14ac:dyDescent="0.3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5"/>
      <c r="L61" s="25"/>
      <c r="M61" s="26"/>
      <c r="N61" s="26"/>
      <c r="O61" s="26"/>
      <c r="P61" s="26"/>
      <c r="Q61" s="26"/>
      <c r="R61" s="26"/>
      <c r="S61" s="26"/>
      <c r="T61" s="26"/>
      <c r="U61" s="26"/>
      <c r="V61" s="18"/>
      <c r="W61" s="18"/>
      <c r="X61" s="18"/>
      <c r="Y61" s="18"/>
      <c r="Z61" s="18"/>
    </row>
    <row r="62" spans="1:26" ht="14.25" customHeight="1" x14ac:dyDescent="0.3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5"/>
      <c r="L62" s="25"/>
      <c r="M62" s="26"/>
      <c r="N62" s="26"/>
      <c r="O62" s="26"/>
      <c r="P62" s="26"/>
      <c r="Q62" s="26"/>
      <c r="R62" s="26"/>
      <c r="S62" s="26"/>
      <c r="T62" s="26"/>
      <c r="U62" s="26"/>
      <c r="V62" s="18"/>
      <c r="W62" s="18"/>
      <c r="X62" s="18"/>
      <c r="Y62" s="18"/>
      <c r="Z62" s="18"/>
    </row>
    <row r="63" spans="1:26" ht="14.25" customHeight="1" x14ac:dyDescent="0.3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5"/>
      <c r="L63" s="25"/>
      <c r="M63" s="26"/>
      <c r="N63" s="26"/>
      <c r="O63" s="26"/>
      <c r="P63" s="26"/>
      <c r="Q63" s="26"/>
      <c r="R63" s="26"/>
      <c r="S63" s="26"/>
      <c r="T63" s="26"/>
      <c r="U63" s="26"/>
      <c r="V63" s="18"/>
      <c r="W63" s="18"/>
      <c r="X63" s="18"/>
      <c r="Y63" s="18"/>
      <c r="Z63" s="18"/>
    </row>
    <row r="64" spans="1:26" ht="14.25" customHeight="1" x14ac:dyDescent="0.3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5"/>
      <c r="L64" s="25"/>
      <c r="M64" s="26"/>
      <c r="N64" s="26"/>
      <c r="O64" s="26"/>
      <c r="P64" s="26"/>
      <c r="Q64" s="26"/>
      <c r="R64" s="26"/>
      <c r="S64" s="26"/>
      <c r="T64" s="26"/>
      <c r="U64" s="26"/>
      <c r="V64" s="18"/>
      <c r="W64" s="18"/>
      <c r="X64" s="18"/>
      <c r="Y64" s="18"/>
      <c r="Z64" s="18"/>
    </row>
    <row r="65" spans="1:26" ht="14.25" customHeight="1" x14ac:dyDescent="0.3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5"/>
      <c r="L65" s="25"/>
      <c r="M65" s="26"/>
      <c r="N65" s="26"/>
      <c r="O65" s="26"/>
      <c r="P65" s="26"/>
      <c r="Q65" s="26"/>
      <c r="R65" s="26"/>
      <c r="S65" s="26"/>
      <c r="T65" s="26"/>
      <c r="U65" s="26"/>
      <c r="V65" s="18"/>
      <c r="W65" s="18"/>
      <c r="X65" s="18"/>
      <c r="Y65" s="18"/>
      <c r="Z65" s="18"/>
    </row>
    <row r="66" spans="1:26" ht="14.25" customHeight="1" x14ac:dyDescent="0.3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5"/>
      <c r="L66" s="25"/>
      <c r="M66" s="26"/>
      <c r="N66" s="26"/>
      <c r="O66" s="26"/>
      <c r="P66" s="26"/>
      <c r="Q66" s="26"/>
      <c r="R66" s="26"/>
      <c r="S66" s="26"/>
      <c r="T66" s="26"/>
      <c r="U66" s="26"/>
      <c r="V66" s="18"/>
      <c r="W66" s="18"/>
      <c r="X66" s="18"/>
      <c r="Y66" s="18"/>
      <c r="Z66" s="18"/>
    </row>
    <row r="67" spans="1:26" ht="14.25" customHeight="1" x14ac:dyDescent="0.3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5"/>
      <c r="L67" s="25"/>
      <c r="M67" s="26"/>
      <c r="N67" s="26"/>
      <c r="O67" s="26"/>
      <c r="P67" s="26"/>
      <c r="Q67" s="26"/>
      <c r="R67" s="26"/>
      <c r="S67" s="26"/>
      <c r="T67" s="26"/>
      <c r="U67" s="26"/>
      <c r="V67" s="18"/>
      <c r="W67" s="18"/>
      <c r="X67" s="18"/>
      <c r="Y67" s="18"/>
      <c r="Z67" s="18"/>
    </row>
    <row r="68" spans="1:26" ht="14.25" customHeight="1" x14ac:dyDescent="0.3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5"/>
      <c r="L68" s="25"/>
      <c r="M68" s="26"/>
      <c r="N68" s="26"/>
      <c r="O68" s="26"/>
      <c r="P68" s="26"/>
      <c r="Q68" s="26"/>
      <c r="R68" s="26"/>
      <c r="S68" s="26"/>
      <c r="T68" s="26"/>
      <c r="U68" s="26"/>
      <c r="V68" s="18"/>
      <c r="W68" s="18"/>
      <c r="X68" s="18"/>
      <c r="Y68" s="18"/>
      <c r="Z68" s="18"/>
    </row>
    <row r="69" spans="1:26" ht="14.25" customHeight="1" x14ac:dyDescent="0.3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5"/>
      <c r="L69" s="25"/>
      <c r="M69" s="26"/>
      <c r="N69" s="26"/>
      <c r="O69" s="26"/>
      <c r="P69" s="26"/>
      <c r="Q69" s="26"/>
      <c r="R69" s="26"/>
      <c r="S69" s="26"/>
      <c r="T69" s="26"/>
      <c r="U69" s="26"/>
      <c r="V69" s="18"/>
      <c r="W69" s="18"/>
      <c r="X69" s="18"/>
      <c r="Y69" s="18"/>
      <c r="Z69" s="18"/>
    </row>
    <row r="70" spans="1:26" ht="14.25" customHeight="1" x14ac:dyDescent="0.3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5"/>
      <c r="L70" s="25"/>
      <c r="M70" s="26"/>
      <c r="N70" s="26"/>
      <c r="O70" s="26"/>
      <c r="P70" s="26"/>
      <c r="Q70" s="26"/>
      <c r="R70" s="26"/>
      <c r="S70" s="26"/>
      <c r="T70" s="26"/>
      <c r="U70" s="26"/>
      <c r="V70" s="18"/>
      <c r="W70" s="18"/>
      <c r="X70" s="18"/>
      <c r="Y70" s="18"/>
      <c r="Z70" s="18"/>
    </row>
    <row r="71" spans="1:26" ht="14.25" customHeight="1" x14ac:dyDescent="0.3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5"/>
      <c r="L71" s="25"/>
      <c r="M71" s="26"/>
      <c r="N71" s="26"/>
      <c r="O71" s="26"/>
      <c r="P71" s="26"/>
      <c r="Q71" s="26"/>
      <c r="R71" s="26"/>
      <c r="S71" s="26"/>
      <c r="T71" s="26"/>
      <c r="U71" s="26"/>
      <c r="V71" s="18"/>
      <c r="W71" s="18"/>
      <c r="X71" s="18"/>
      <c r="Y71" s="18"/>
      <c r="Z71" s="18"/>
    </row>
    <row r="72" spans="1:26" ht="14.25" customHeight="1" x14ac:dyDescent="0.3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5"/>
      <c r="L72" s="25"/>
      <c r="M72" s="26"/>
      <c r="N72" s="26"/>
      <c r="O72" s="26"/>
      <c r="P72" s="26"/>
      <c r="Q72" s="26"/>
      <c r="R72" s="26"/>
      <c r="S72" s="26"/>
      <c r="T72" s="26"/>
      <c r="U72" s="26"/>
      <c r="V72" s="18"/>
      <c r="W72" s="18"/>
      <c r="X72" s="18"/>
      <c r="Y72" s="18"/>
      <c r="Z72" s="18"/>
    </row>
    <row r="73" spans="1:26" ht="14.25" customHeight="1" x14ac:dyDescent="0.3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5"/>
      <c r="L73" s="25"/>
      <c r="M73" s="26"/>
      <c r="N73" s="26"/>
      <c r="O73" s="26"/>
      <c r="P73" s="26"/>
      <c r="Q73" s="26"/>
      <c r="R73" s="26"/>
      <c r="S73" s="26"/>
      <c r="T73" s="26"/>
      <c r="U73" s="26"/>
      <c r="V73" s="18"/>
      <c r="W73" s="18"/>
      <c r="X73" s="18"/>
      <c r="Y73" s="18"/>
      <c r="Z73" s="18"/>
    </row>
    <row r="74" spans="1:26" ht="14.25" customHeight="1" x14ac:dyDescent="0.3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5"/>
      <c r="L74" s="25"/>
      <c r="M74" s="26"/>
      <c r="N74" s="26"/>
      <c r="O74" s="26"/>
      <c r="P74" s="26"/>
      <c r="Q74" s="26"/>
      <c r="R74" s="26"/>
      <c r="S74" s="26"/>
      <c r="T74" s="26"/>
      <c r="U74" s="26"/>
      <c r="V74" s="18"/>
      <c r="W74" s="18"/>
      <c r="X74" s="18"/>
      <c r="Y74" s="18"/>
      <c r="Z74" s="18"/>
    </row>
    <row r="75" spans="1:26" ht="14.25" customHeight="1" x14ac:dyDescent="0.3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5"/>
      <c r="L75" s="25"/>
      <c r="M75" s="26"/>
      <c r="N75" s="26"/>
      <c r="O75" s="26"/>
      <c r="P75" s="26"/>
      <c r="Q75" s="26"/>
      <c r="R75" s="26"/>
      <c r="S75" s="26"/>
      <c r="T75" s="26"/>
      <c r="U75" s="26"/>
      <c r="V75" s="18"/>
      <c r="W75" s="18"/>
      <c r="X75" s="18"/>
      <c r="Y75" s="18"/>
      <c r="Z75" s="18"/>
    </row>
    <row r="76" spans="1:26" ht="14.25" customHeight="1" x14ac:dyDescent="0.3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5"/>
      <c r="L76" s="25"/>
      <c r="M76" s="26"/>
      <c r="N76" s="26"/>
      <c r="O76" s="26"/>
      <c r="P76" s="26"/>
      <c r="Q76" s="26"/>
      <c r="R76" s="26"/>
      <c r="S76" s="26"/>
      <c r="T76" s="26"/>
      <c r="U76" s="26"/>
      <c r="V76" s="18"/>
      <c r="W76" s="18"/>
      <c r="X76" s="18"/>
      <c r="Y76" s="18"/>
      <c r="Z76" s="18"/>
    </row>
    <row r="77" spans="1:26" ht="14.25" customHeight="1" x14ac:dyDescent="0.3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5"/>
      <c r="L77" s="25"/>
      <c r="M77" s="26"/>
      <c r="N77" s="26"/>
      <c r="O77" s="26"/>
      <c r="P77" s="26"/>
      <c r="Q77" s="26"/>
      <c r="R77" s="26"/>
      <c r="S77" s="26"/>
      <c r="T77" s="26"/>
      <c r="U77" s="26"/>
      <c r="V77" s="18"/>
      <c r="W77" s="18"/>
      <c r="X77" s="18"/>
      <c r="Y77" s="18"/>
      <c r="Z77" s="18"/>
    </row>
    <row r="78" spans="1:26" ht="14.25" customHeight="1" x14ac:dyDescent="0.3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5"/>
      <c r="L78" s="25"/>
      <c r="M78" s="26"/>
      <c r="N78" s="26"/>
      <c r="O78" s="26"/>
      <c r="P78" s="26"/>
      <c r="Q78" s="26"/>
      <c r="R78" s="26"/>
      <c r="S78" s="26"/>
      <c r="T78" s="26"/>
      <c r="U78" s="26"/>
      <c r="V78" s="18"/>
      <c r="W78" s="18"/>
      <c r="X78" s="18"/>
      <c r="Y78" s="18"/>
      <c r="Z78" s="18"/>
    </row>
    <row r="79" spans="1:26" ht="14.25" customHeight="1" x14ac:dyDescent="0.3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5"/>
      <c r="L79" s="25"/>
      <c r="M79" s="26"/>
      <c r="N79" s="26"/>
      <c r="O79" s="26"/>
      <c r="P79" s="26"/>
      <c r="Q79" s="26"/>
      <c r="R79" s="26"/>
      <c r="S79" s="26"/>
      <c r="T79" s="26"/>
      <c r="U79" s="26"/>
      <c r="V79" s="18"/>
      <c r="W79" s="18"/>
      <c r="X79" s="18"/>
      <c r="Y79" s="18"/>
      <c r="Z79" s="18"/>
    </row>
    <row r="80" spans="1:26" ht="14.25" customHeight="1" x14ac:dyDescent="0.3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5"/>
      <c r="L80" s="25"/>
      <c r="M80" s="26"/>
      <c r="N80" s="26"/>
      <c r="O80" s="26"/>
      <c r="P80" s="26"/>
      <c r="Q80" s="26"/>
      <c r="R80" s="26"/>
      <c r="S80" s="26"/>
      <c r="T80" s="26"/>
      <c r="U80" s="26"/>
      <c r="V80" s="18"/>
      <c r="W80" s="18"/>
      <c r="X80" s="18"/>
      <c r="Y80" s="18"/>
      <c r="Z80" s="18"/>
    </row>
    <row r="81" spans="1:26" ht="14.25" customHeight="1" x14ac:dyDescent="0.3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5"/>
      <c r="L81" s="25"/>
      <c r="M81" s="26"/>
      <c r="N81" s="26"/>
      <c r="O81" s="26"/>
      <c r="P81" s="26"/>
      <c r="Q81" s="26"/>
      <c r="R81" s="26"/>
      <c r="S81" s="26"/>
      <c r="T81" s="26"/>
      <c r="U81" s="26"/>
      <c r="V81" s="18"/>
      <c r="W81" s="18"/>
      <c r="X81" s="18"/>
      <c r="Y81" s="18"/>
      <c r="Z81" s="18"/>
    </row>
    <row r="82" spans="1:26" ht="14.25" customHeight="1" x14ac:dyDescent="0.3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5"/>
      <c r="L82" s="25"/>
      <c r="M82" s="26"/>
      <c r="N82" s="26"/>
      <c r="O82" s="26"/>
      <c r="P82" s="26"/>
      <c r="Q82" s="26"/>
      <c r="R82" s="26"/>
      <c r="S82" s="26"/>
      <c r="T82" s="26"/>
      <c r="U82" s="26"/>
      <c r="V82" s="18"/>
      <c r="W82" s="18"/>
      <c r="X82" s="18"/>
      <c r="Y82" s="18"/>
      <c r="Z82" s="18"/>
    </row>
    <row r="83" spans="1:26" ht="14.25" customHeight="1" x14ac:dyDescent="0.3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5"/>
      <c r="L83" s="25"/>
      <c r="M83" s="26"/>
      <c r="N83" s="26"/>
      <c r="O83" s="26"/>
      <c r="P83" s="26"/>
      <c r="Q83" s="26"/>
      <c r="R83" s="26"/>
      <c r="S83" s="26"/>
      <c r="T83" s="26"/>
      <c r="U83" s="26"/>
      <c r="V83" s="18"/>
      <c r="W83" s="18"/>
      <c r="X83" s="18"/>
      <c r="Y83" s="18"/>
      <c r="Z83" s="18"/>
    </row>
    <row r="84" spans="1:26" ht="14.25" customHeight="1" x14ac:dyDescent="0.3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5"/>
      <c r="L84" s="25"/>
      <c r="M84" s="26"/>
      <c r="N84" s="26"/>
      <c r="O84" s="26"/>
      <c r="P84" s="26"/>
      <c r="Q84" s="26"/>
      <c r="R84" s="26"/>
      <c r="S84" s="26"/>
      <c r="T84" s="26"/>
      <c r="U84" s="26"/>
      <c r="V84" s="18"/>
      <c r="W84" s="18"/>
      <c r="X84" s="18"/>
      <c r="Y84" s="18"/>
      <c r="Z84" s="18"/>
    </row>
    <row r="85" spans="1:26" ht="14.25" customHeight="1" x14ac:dyDescent="0.3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5"/>
      <c r="L85" s="25"/>
      <c r="M85" s="26"/>
      <c r="N85" s="26"/>
      <c r="O85" s="26"/>
      <c r="P85" s="26"/>
      <c r="Q85" s="26"/>
      <c r="R85" s="26"/>
      <c r="S85" s="26"/>
      <c r="T85" s="26"/>
      <c r="U85" s="26"/>
      <c r="V85" s="18"/>
      <c r="W85" s="18"/>
      <c r="X85" s="18"/>
      <c r="Y85" s="18"/>
      <c r="Z85" s="18"/>
    </row>
    <row r="86" spans="1:26" ht="14.25" customHeight="1" x14ac:dyDescent="0.3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5"/>
      <c r="L86" s="25"/>
      <c r="M86" s="26"/>
      <c r="N86" s="26"/>
      <c r="O86" s="26"/>
      <c r="P86" s="26"/>
      <c r="Q86" s="26"/>
      <c r="R86" s="26"/>
      <c r="S86" s="26"/>
      <c r="T86" s="26"/>
      <c r="U86" s="26"/>
      <c r="V86" s="18"/>
      <c r="W86" s="18"/>
      <c r="X86" s="18"/>
      <c r="Y86" s="18"/>
      <c r="Z86" s="18"/>
    </row>
    <row r="87" spans="1:26" ht="14.25" customHeight="1" x14ac:dyDescent="0.3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5"/>
      <c r="L87" s="25"/>
      <c r="M87" s="26"/>
      <c r="N87" s="26"/>
      <c r="O87" s="26"/>
      <c r="P87" s="26"/>
      <c r="Q87" s="26"/>
      <c r="R87" s="26"/>
      <c r="S87" s="26"/>
      <c r="T87" s="26"/>
      <c r="U87" s="26"/>
      <c r="V87" s="18"/>
      <c r="W87" s="18"/>
      <c r="X87" s="18"/>
      <c r="Y87" s="18"/>
      <c r="Z87" s="18"/>
    </row>
    <row r="88" spans="1:26" ht="14.25" customHeight="1" x14ac:dyDescent="0.3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5"/>
      <c r="L88" s="25"/>
      <c r="M88" s="26"/>
      <c r="N88" s="26"/>
      <c r="O88" s="26"/>
      <c r="P88" s="26"/>
      <c r="Q88" s="26"/>
      <c r="R88" s="26"/>
      <c r="S88" s="26"/>
      <c r="T88" s="26"/>
      <c r="U88" s="26"/>
      <c r="V88" s="18"/>
      <c r="W88" s="18"/>
      <c r="X88" s="18"/>
      <c r="Y88" s="18"/>
      <c r="Z88" s="18"/>
    </row>
    <row r="89" spans="1:26" ht="14.25" customHeight="1" x14ac:dyDescent="0.3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5"/>
      <c r="L89" s="25"/>
      <c r="M89" s="26"/>
      <c r="N89" s="26"/>
      <c r="O89" s="26"/>
      <c r="P89" s="26"/>
      <c r="Q89" s="26"/>
      <c r="R89" s="26"/>
      <c r="S89" s="26"/>
      <c r="T89" s="26"/>
      <c r="U89" s="26"/>
      <c r="V89" s="18"/>
      <c r="W89" s="18"/>
      <c r="X89" s="18"/>
      <c r="Y89" s="18"/>
      <c r="Z89" s="18"/>
    </row>
    <row r="90" spans="1:26" ht="14.25" customHeight="1" x14ac:dyDescent="0.3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5"/>
      <c r="L90" s="25"/>
      <c r="M90" s="26"/>
      <c r="N90" s="26"/>
      <c r="O90" s="26"/>
      <c r="P90" s="26"/>
      <c r="Q90" s="26"/>
      <c r="R90" s="26"/>
      <c r="S90" s="26"/>
      <c r="T90" s="26"/>
      <c r="U90" s="26"/>
      <c r="V90" s="18"/>
      <c r="W90" s="18"/>
      <c r="X90" s="18"/>
      <c r="Y90" s="18"/>
      <c r="Z90" s="18"/>
    </row>
    <row r="91" spans="1:26" ht="14.25" customHeight="1" x14ac:dyDescent="0.3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5"/>
      <c r="L91" s="25"/>
      <c r="M91" s="26"/>
      <c r="N91" s="26"/>
      <c r="O91" s="26"/>
      <c r="P91" s="26"/>
      <c r="Q91" s="26"/>
      <c r="R91" s="26"/>
      <c r="S91" s="26"/>
      <c r="T91" s="26"/>
      <c r="U91" s="26"/>
      <c r="V91" s="18"/>
      <c r="W91" s="18"/>
      <c r="X91" s="18"/>
      <c r="Y91" s="18"/>
      <c r="Z91" s="18"/>
    </row>
    <row r="92" spans="1:26" ht="14.25" customHeight="1" x14ac:dyDescent="0.3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5"/>
      <c r="L92" s="25"/>
      <c r="M92" s="26"/>
      <c r="N92" s="26"/>
      <c r="O92" s="26"/>
      <c r="P92" s="26"/>
      <c r="Q92" s="26"/>
      <c r="R92" s="26"/>
      <c r="S92" s="26"/>
      <c r="T92" s="26"/>
      <c r="U92" s="26"/>
      <c r="V92" s="18"/>
      <c r="W92" s="18"/>
      <c r="X92" s="18"/>
      <c r="Y92" s="18"/>
      <c r="Z92" s="18"/>
    </row>
    <row r="93" spans="1:26" ht="14.25" customHeight="1" x14ac:dyDescent="0.3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5"/>
      <c r="L93" s="25"/>
      <c r="M93" s="26"/>
      <c r="N93" s="26"/>
      <c r="O93" s="26"/>
      <c r="P93" s="26"/>
      <c r="Q93" s="26"/>
      <c r="R93" s="26"/>
      <c r="S93" s="26"/>
      <c r="T93" s="26"/>
      <c r="U93" s="26"/>
      <c r="V93" s="18"/>
      <c r="W93" s="18"/>
      <c r="X93" s="18"/>
      <c r="Y93" s="18"/>
      <c r="Z93" s="18"/>
    </row>
    <row r="94" spans="1:26" ht="14.25" customHeight="1" x14ac:dyDescent="0.3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5"/>
      <c r="L94" s="25"/>
      <c r="M94" s="26"/>
      <c r="N94" s="26"/>
      <c r="O94" s="26"/>
      <c r="P94" s="26"/>
      <c r="Q94" s="26"/>
      <c r="R94" s="26"/>
      <c r="S94" s="26"/>
      <c r="T94" s="26"/>
      <c r="U94" s="26"/>
      <c r="V94" s="18"/>
      <c r="W94" s="18"/>
      <c r="X94" s="18"/>
      <c r="Y94" s="18"/>
      <c r="Z94" s="18"/>
    </row>
    <row r="95" spans="1:26" ht="14.25" customHeight="1" x14ac:dyDescent="0.3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5"/>
      <c r="L95" s="25"/>
      <c r="M95" s="26"/>
      <c r="N95" s="26"/>
      <c r="O95" s="26"/>
      <c r="P95" s="26"/>
      <c r="Q95" s="26"/>
      <c r="R95" s="26"/>
      <c r="S95" s="26"/>
      <c r="T95" s="26"/>
      <c r="U95" s="26"/>
      <c r="V95" s="18"/>
      <c r="W95" s="18"/>
      <c r="X95" s="18"/>
      <c r="Y95" s="18"/>
      <c r="Z95" s="18"/>
    </row>
    <row r="96" spans="1:26" ht="14.25" customHeight="1" x14ac:dyDescent="0.3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5"/>
      <c r="L96" s="25"/>
      <c r="M96" s="26"/>
      <c r="N96" s="26"/>
      <c r="O96" s="26"/>
      <c r="P96" s="26"/>
      <c r="Q96" s="26"/>
      <c r="R96" s="26"/>
      <c r="S96" s="26"/>
      <c r="T96" s="26"/>
      <c r="U96" s="26"/>
      <c r="V96" s="18"/>
      <c r="W96" s="18"/>
      <c r="X96" s="18"/>
      <c r="Y96" s="18"/>
      <c r="Z96" s="18"/>
    </row>
    <row r="97" spans="1:26" ht="14.25" customHeight="1" x14ac:dyDescent="0.3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5"/>
      <c r="L97" s="25"/>
      <c r="M97" s="26"/>
      <c r="N97" s="26"/>
      <c r="O97" s="26"/>
      <c r="P97" s="26"/>
      <c r="Q97" s="26"/>
      <c r="R97" s="26"/>
      <c r="S97" s="26"/>
      <c r="T97" s="26"/>
      <c r="U97" s="26"/>
      <c r="V97" s="18"/>
      <c r="W97" s="18"/>
      <c r="X97" s="18"/>
      <c r="Y97" s="18"/>
      <c r="Z97" s="18"/>
    </row>
    <row r="98" spans="1:26" ht="14.25" customHeight="1" x14ac:dyDescent="0.3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5"/>
      <c r="L98" s="25"/>
      <c r="M98" s="26"/>
      <c r="N98" s="26"/>
      <c r="O98" s="26"/>
      <c r="P98" s="26"/>
      <c r="Q98" s="26"/>
      <c r="R98" s="26"/>
      <c r="S98" s="26"/>
      <c r="T98" s="26"/>
      <c r="U98" s="26"/>
      <c r="V98" s="18"/>
      <c r="W98" s="18"/>
      <c r="X98" s="18"/>
      <c r="Y98" s="18"/>
      <c r="Z98" s="18"/>
    </row>
    <row r="99" spans="1:26" ht="14.25" customHeight="1" x14ac:dyDescent="0.3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5"/>
      <c r="L99" s="25"/>
      <c r="M99" s="26"/>
      <c r="N99" s="26"/>
      <c r="O99" s="26"/>
      <c r="P99" s="26"/>
      <c r="Q99" s="26"/>
      <c r="R99" s="26"/>
      <c r="S99" s="26"/>
      <c r="T99" s="26"/>
      <c r="U99" s="26"/>
      <c r="V99" s="18"/>
      <c r="W99" s="18"/>
      <c r="X99" s="18"/>
      <c r="Y99" s="18"/>
      <c r="Z99" s="18"/>
    </row>
    <row r="100" spans="1:26" ht="14.25" customHeight="1" x14ac:dyDescent="0.3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5"/>
      <c r="L100" s="25"/>
      <c r="M100" s="26"/>
      <c r="N100" s="26"/>
      <c r="O100" s="26"/>
      <c r="P100" s="26"/>
      <c r="Q100" s="26"/>
      <c r="R100" s="26"/>
      <c r="S100" s="26"/>
      <c r="T100" s="26"/>
      <c r="U100" s="26"/>
      <c r="V100" s="18"/>
      <c r="W100" s="18"/>
      <c r="X100" s="18"/>
      <c r="Y100" s="18"/>
      <c r="Z100" s="18"/>
    </row>
    <row r="101" spans="1:26" ht="14.25" customHeight="1" x14ac:dyDescent="0.3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5"/>
      <c r="L101" s="25"/>
      <c r="M101" s="26"/>
      <c r="N101" s="26"/>
      <c r="O101" s="26"/>
      <c r="P101" s="26"/>
      <c r="Q101" s="26"/>
      <c r="R101" s="26"/>
      <c r="S101" s="26"/>
      <c r="T101" s="26"/>
      <c r="U101" s="26"/>
      <c r="V101" s="18"/>
      <c r="W101" s="18"/>
      <c r="X101" s="18"/>
      <c r="Y101" s="18"/>
      <c r="Z101" s="18"/>
    </row>
    <row r="102" spans="1:26" ht="14.25" customHeight="1" x14ac:dyDescent="0.3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5"/>
      <c r="L102" s="25"/>
      <c r="M102" s="26"/>
      <c r="N102" s="26"/>
      <c r="O102" s="26"/>
      <c r="P102" s="26"/>
      <c r="Q102" s="26"/>
      <c r="R102" s="26"/>
      <c r="S102" s="26"/>
      <c r="T102" s="26"/>
      <c r="U102" s="26"/>
      <c r="V102" s="18"/>
      <c r="W102" s="18"/>
      <c r="X102" s="18"/>
      <c r="Y102" s="18"/>
      <c r="Z102" s="18"/>
    </row>
    <row r="103" spans="1:26" ht="14.25" customHeight="1" x14ac:dyDescent="0.3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5"/>
      <c r="L103" s="25"/>
      <c r="M103" s="26"/>
      <c r="N103" s="26"/>
      <c r="O103" s="26"/>
      <c r="P103" s="26"/>
      <c r="Q103" s="26"/>
      <c r="R103" s="26"/>
      <c r="S103" s="26"/>
      <c r="T103" s="26"/>
      <c r="U103" s="26"/>
      <c r="V103" s="18"/>
      <c r="W103" s="18"/>
      <c r="X103" s="18"/>
      <c r="Y103" s="18"/>
      <c r="Z103" s="18"/>
    </row>
    <row r="104" spans="1:26" ht="14.25" customHeight="1" x14ac:dyDescent="0.3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5"/>
      <c r="L104" s="25"/>
      <c r="M104" s="26"/>
      <c r="N104" s="26"/>
      <c r="O104" s="26"/>
      <c r="P104" s="26"/>
      <c r="Q104" s="26"/>
      <c r="R104" s="26"/>
      <c r="S104" s="26"/>
      <c r="T104" s="26"/>
      <c r="U104" s="26"/>
      <c r="V104" s="18"/>
      <c r="W104" s="18"/>
      <c r="X104" s="18"/>
      <c r="Y104" s="18"/>
      <c r="Z104" s="18"/>
    </row>
    <row r="105" spans="1:26" ht="14.25" customHeight="1" x14ac:dyDescent="0.3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5"/>
      <c r="L105" s="25"/>
      <c r="M105" s="26"/>
      <c r="N105" s="26"/>
      <c r="O105" s="26"/>
      <c r="P105" s="26"/>
      <c r="Q105" s="26"/>
      <c r="R105" s="26"/>
      <c r="S105" s="26"/>
      <c r="T105" s="26"/>
      <c r="U105" s="26"/>
      <c r="V105" s="18"/>
      <c r="W105" s="18"/>
      <c r="X105" s="18"/>
      <c r="Y105" s="18"/>
      <c r="Z105" s="18"/>
    </row>
    <row r="106" spans="1:26" ht="14.25" customHeight="1" x14ac:dyDescent="0.3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5"/>
      <c r="L106" s="25"/>
      <c r="M106" s="26"/>
      <c r="N106" s="26"/>
      <c r="O106" s="26"/>
      <c r="P106" s="26"/>
      <c r="Q106" s="26"/>
      <c r="R106" s="26"/>
      <c r="S106" s="26"/>
      <c r="T106" s="26"/>
      <c r="U106" s="26"/>
      <c r="V106" s="18"/>
      <c r="W106" s="18"/>
      <c r="X106" s="18"/>
      <c r="Y106" s="18"/>
      <c r="Z106" s="18"/>
    </row>
    <row r="107" spans="1:26" ht="14.25" customHeight="1" x14ac:dyDescent="0.3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5"/>
      <c r="L107" s="25"/>
      <c r="M107" s="26"/>
      <c r="N107" s="26"/>
      <c r="O107" s="26"/>
      <c r="P107" s="26"/>
      <c r="Q107" s="26"/>
      <c r="R107" s="26"/>
      <c r="S107" s="26"/>
      <c r="T107" s="26"/>
      <c r="U107" s="26"/>
      <c r="V107" s="18"/>
      <c r="W107" s="18"/>
      <c r="X107" s="18"/>
      <c r="Y107" s="18"/>
      <c r="Z107" s="18"/>
    </row>
    <row r="108" spans="1:26" ht="14.25" customHeight="1" x14ac:dyDescent="0.3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5"/>
      <c r="L108" s="25"/>
      <c r="M108" s="26"/>
      <c r="N108" s="26"/>
      <c r="O108" s="26"/>
      <c r="P108" s="26"/>
      <c r="Q108" s="26"/>
      <c r="R108" s="26"/>
      <c r="S108" s="26"/>
      <c r="T108" s="26"/>
      <c r="U108" s="26"/>
      <c r="V108" s="18"/>
      <c r="W108" s="18"/>
      <c r="X108" s="18"/>
      <c r="Y108" s="18"/>
      <c r="Z108" s="18"/>
    </row>
    <row r="109" spans="1:26" ht="14.25" customHeight="1" x14ac:dyDescent="0.3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5"/>
      <c r="L109" s="25"/>
      <c r="M109" s="26"/>
      <c r="N109" s="26"/>
      <c r="O109" s="26"/>
      <c r="P109" s="26"/>
      <c r="Q109" s="26"/>
      <c r="R109" s="26"/>
      <c r="S109" s="26"/>
      <c r="T109" s="26"/>
      <c r="U109" s="26"/>
      <c r="V109" s="18"/>
      <c r="W109" s="18"/>
      <c r="X109" s="18"/>
      <c r="Y109" s="18"/>
      <c r="Z109" s="18"/>
    </row>
    <row r="110" spans="1:26" ht="14.25" customHeight="1" x14ac:dyDescent="0.3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5"/>
      <c r="L110" s="25"/>
      <c r="M110" s="26"/>
      <c r="N110" s="26"/>
      <c r="O110" s="26"/>
      <c r="P110" s="26"/>
      <c r="Q110" s="26"/>
      <c r="R110" s="26"/>
      <c r="S110" s="26"/>
      <c r="T110" s="26"/>
      <c r="U110" s="26"/>
      <c r="V110" s="18"/>
      <c r="W110" s="18"/>
      <c r="X110" s="18"/>
      <c r="Y110" s="18"/>
      <c r="Z110" s="18"/>
    </row>
    <row r="111" spans="1:26" ht="14.25" customHeight="1" x14ac:dyDescent="0.3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5"/>
      <c r="L111" s="25"/>
      <c r="M111" s="26"/>
      <c r="N111" s="26"/>
      <c r="O111" s="26"/>
      <c r="P111" s="26"/>
      <c r="Q111" s="26"/>
      <c r="R111" s="26"/>
      <c r="S111" s="26"/>
      <c r="T111" s="26"/>
      <c r="U111" s="26"/>
      <c r="V111" s="18"/>
      <c r="W111" s="18"/>
      <c r="X111" s="18"/>
      <c r="Y111" s="18"/>
      <c r="Z111" s="18"/>
    </row>
    <row r="112" spans="1:26" ht="14.25" customHeight="1" x14ac:dyDescent="0.3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5"/>
      <c r="L112" s="25"/>
      <c r="M112" s="26"/>
      <c r="N112" s="26"/>
      <c r="O112" s="26"/>
      <c r="P112" s="26"/>
      <c r="Q112" s="26"/>
      <c r="R112" s="26"/>
      <c r="S112" s="26"/>
      <c r="T112" s="26"/>
      <c r="U112" s="26"/>
      <c r="V112" s="18"/>
      <c r="W112" s="18"/>
      <c r="X112" s="18"/>
      <c r="Y112" s="18"/>
      <c r="Z112" s="18"/>
    </row>
    <row r="113" spans="1:26" ht="14.25" customHeight="1" x14ac:dyDescent="0.3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5"/>
      <c r="L113" s="25"/>
      <c r="M113" s="26"/>
      <c r="N113" s="26"/>
      <c r="O113" s="26"/>
      <c r="P113" s="26"/>
      <c r="Q113" s="26"/>
      <c r="R113" s="26"/>
      <c r="S113" s="26"/>
      <c r="T113" s="26"/>
      <c r="U113" s="26"/>
      <c r="V113" s="18"/>
      <c r="W113" s="18"/>
      <c r="X113" s="18"/>
      <c r="Y113" s="18"/>
      <c r="Z113" s="18"/>
    </row>
    <row r="114" spans="1:26" ht="14.25" customHeight="1" x14ac:dyDescent="0.3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5"/>
      <c r="L114" s="25"/>
      <c r="M114" s="26"/>
      <c r="N114" s="26"/>
      <c r="O114" s="26"/>
      <c r="P114" s="26"/>
      <c r="Q114" s="26"/>
      <c r="R114" s="26"/>
      <c r="S114" s="26"/>
      <c r="T114" s="26"/>
      <c r="U114" s="26"/>
      <c r="V114" s="18"/>
      <c r="W114" s="18"/>
      <c r="X114" s="18"/>
      <c r="Y114" s="18"/>
      <c r="Z114" s="18"/>
    </row>
    <row r="115" spans="1:26" ht="14.25" customHeight="1" x14ac:dyDescent="0.3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5"/>
      <c r="L115" s="25"/>
      <c r="M115" s="26"/>
      <c r="N115" s="26"/>
      <c r="O115" s="26"/>
      <c r="P115" s="26"/>
      <c r="Q115" s="26"/>
      <c r="R115" s="26"/>
      <c r="S115" s="26"/>
      <c r="T115" s="26"/>
      <c r="U115" s="26"/>
      <c r="V115" s="18"/>
      <c r="W115" s="18"/>
      <c r="X115" s="18"/>
      <c r="Y115" s="18"/>
      <c r="Z115" s="18"/>
    </row>
    <row r="116" spans="1:26" ht="14.25" customHeight="1" x14ac:dyDescent="0.3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5"/>
      <c r="L116" s="25"/>
      <c r="M116" s="26"/>
      <c r="N116" s="26"/>
      <c r="O116" s="26"/>
      <c r="P116" s="26"/>
      <c r="Q116" s="26"/>
      <c r="R116" s="26"/>
      <c r="S116" s="26"/>
      <c r="T116" s="26"/>
      <c r="U116" s="26"/>
      <c r="V116" s="18"/>
      <c r="W116" s="18"/>
      <c r="X116" s="18"/>
      <c r="Y116" s="18"/>
      <c r="Z116" s="18"/>
    </row>
    <row r="117" spans="1:26" ht="14.25" customHeight="1" x14ac:dyDescent="0.3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5"/>
      <c r="L117" s="25"/>
      <c r="M117" s="26"/>
      <c r="N117" s="26"/>
      <c r="O117" s="26"/>
      <c r="P117" s="26"/>
      <c r="Q117" s="26"/>
      <c r="R117" s="26"/>
      <c r="S117" s="26"/>
      <c r="T117" s="26"/>
      <c r="U117" s="26"/>
      <c r="V117" s="18"/>
      <c r="W117" s="18"/>
      <c r="X117" s="18"/>
      <c r="Y117" s="18"/>
      <c r="Z117" s="18"/>
    </row>
    <row r="118" spans="1:26" ht="14.25" customHeight="1" x14ac:dyDescent="0.3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5"/>
      <c r="L118" s="25"/>
      <c r="M118" s="26"/>
      <c r="N118" s="26"/>
      <c r="O118" s="26"/>
      <c r="P118" s="26"/>
      <c r="Q118" s="26"/>
      <c r="R118" s="26"/>
      <c r="S118" s="26"/>
      <c r="T118" s="26"/>
      <c r="U118" s="26"/>
      <c r="V118" s="18"/>
      <c r="W118" s="18"/>
      <c r="X118" s="18"/>
      <c r="Y118" s="18"/>
      <c r="Z118" s="18"/>
    </row>
    <row r="119" spans="1:26" ht="14.25" customHeight="1" x14ac:dyDescent="0.3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5"/>
      <c r="L119" s="25"/>
      <c r="M119" s="26"/>
      <c r="N119" s="26"/>
      <c r="O119" s="26"/>
      <c r="P119" s="26"/>
      <c r="Q119" s="26"/>
      <c r="R119" s="26"/>
      <c r="S119" s="26"/>
      <c r="T119" s="26"/>
      <c r="U119" s="26"/>
      <c r="V119" s="18"/>
      <c r="W119" s="18"/>
      <c r="X119" s="18"/>
      <c r="Y119" s="18"/>
      <c r="Z119" s="18"/>
    </row>
    <row r="120" spans="1:26" ht="14.25" customHeight="1" x14ac:dyDescent="0.3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5"/>
      <c r="L120" s="25"/>
      <c r="M120" s="26"/>
      <c r="N120" s="26"/>
      <c r="O120" s="26"/>
      <c r="P120" s="26"/>
      <c r="Q120" s="26"/>
      <c r="R120" s="26"/>
      <c r="S120" s="26"/>
      <c r="T120" s="26"/>
      <c r="U120" s="26"/>
      <c r="V120" s="18"/>
      <c r="W120" s="18"/>
      <c r="X120" s="18"/>
      <c r="Y120" s="18"/>
      <c r="Z120" s="18"/>
    </row>
    <row r="121" spans="1:26" ht="14.25" customHeight="1" x14ac:dyDescent="0.3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5"/>
      <c r="L121" s="25"/>
      <c r="M121" s="26"/>
      <c r="N121" s="26"/>
      <c r="O121" s="26"/>
      <c r="P121" s="26"/>
      <c r="Q121" s="26"/>
      <c r="R121" s="26"/>
      <c r="S121" s="26"/>
      <c r="T121" s="26"/>
      <c r="U121" s="26"/>
      <c r="V121" s="18"/>
      <c r="W121" s="18"/>
      <c r="X121" s="18"/>
      <c r="Y121" s="18"/>
      <c r="Z121" s="18"/>
    </row>
    <row r="122" spans="1:26" ht="14.25" customHeight="1" x14ac:dyDescent="0.3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5"/>
      <c r="L122" s="25"/>
      <c r="M122" s="26"/>
      <c r="N122" s="26"/>
      <c r="O122" s="26"/>
      <c r="P122" s="26"/>
      <c r="Q122" s="26"/>
      <c r="R122" s="26"/>
      <c r="S122" s="26"/>
      <c r="T122" s="26"/>
      <c r="U122" s="26"/>
      <c r="V122" s="18"/>
      <c r="W122" s="18"/>
      <c r="X122" s="18"/>
      <c r="Y122" s="18"/>
      <c r="Z122" s="18"/>
    </row>
    <row r="123" spans="1:26" ht="14.25" customHeight="1" x14ac:dyDescent="0.3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5"/>
      <c r="L123" s="25"/>
      <c r="M123" s="26"/>
      <c r="N123" s="26"/>
      <c r="O123" s="26"/>
      <c r="P123" s="26"/>
      <c r="Q123" s="26"/>
      <c r="R123" s="26"/>
      <c r="S123" s="26"/>
      <c r="T123" s="26"/>
      <c r="U123" s="26"/>
      <c r="V123" s="18"/>
      <c r="W123" s="18"/>
      <c r="X123" s="18"/>
      <c r="Y123" s="18"/>
      <c r="Z123" s="18"/>
    </row>
    <row r="124" spans="1:26" ht="14.25" customHeight="1" x14ac:dyDescent="0.3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5"/>
      <c r="L124" s="25"/>
      <c r="M124" s="26"/>
      <c r="N124" s="26"/>
      <c r="O124" s="26"/>
      <c r="P124" s="26"/>
      <c r="Q124" s="26"/>
      <c r="R124" s="26"/>
      <c r="S124" s="26"/>
      <c r="T124" s="26"/>
      <c r="U124" s="26"/>
      <c r="V124" s="18"/>
      <c r="W124" s="18"/>
      <c r="X124" s="18"/>
      <c r="Y124" s="18"/>
      <c r="Z124" s="18"/>
    </row>
    <row r="125" spans="1:26" ht="14.25" customHeight="1" x14ac:dyDescent="0.3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5"/>
      <c r="L125" s="25"/>
      <c r="M125" s="26"/>
      <c r="N125" s="26"/>
      <c r="O125" s="26"/>
      <c r="P125" s="26"/>
      <c r="Q125" s="26"/>
      <c r="R125" s="26"/>
      <c r="S125" s="26"/>
      <c r="T125" s="26"/>
      <c r="U125" s="26"/>
      <c r="V125" s="18"/>
      <c r="W125" s="18"/>
      <c r="X125" s="18"/>
      <c r="Y125" s="18"/>
      <c r="Z125" s="18"/>
    </row>
    <row r="126" spans="1:26" ht="14.25" customHeight="1" x14ac:dyDescent="0.3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5"/>
      <c r="L126" s="25"/>
      <c r="M126" s="26"/>
      <c r="N126" s="26"/>
      <c r="O126" s="26"/>
      <c r="P126" s="26"/>
      <c r="Q126" s="26"/>
      <c r="R126" s="26"/>
      <c r="S126" s="26"/>
      <c r="T126" s="26"/>
      <c r="U126" s="26"/>
      <c r="V126" s="18"/>
      <c r="W126" s="18"/>
      <c r="X126" s="18"/>
      <c r="Y126" s="18"/>
      <c r="Z126" s="18"/>
    </row>
    <row r="127" spans="1:26" ht="14.25" customHeight="1" x14ac:dyDescent="0.3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5"/>
      <c r="L127" s="25"/>
      <c r="M127" s="26"/>
      <c r="N127" s="26"/>
      <c r="O127" s="26"/>
      <c r="P127" s="26"/>
      <c r="Q127" s="26"/>
      <c r="R127" s="26"/>
      <c r="S127" s="26"/>
      <c r="T127" s="26"/>
      <c r="U127" s="26"/>
      <c r="V127" s="18"/>
      <c r="W127" s="18"/>
      <c r="X127" s="18"/>
      <c r="Y127" s="18"/>
      <c r="Z127" s="18"/>
    </row>
    <row r="128" spans="1:26" ht="14.25" customHeight="1" x14ac:dyDescent="0.3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5"/>
      <c r="L128" s="25"/>
      <c r="M128" s="26"/>
      <c r="N128" s="26"/>
      <c r="O128" s="26"/>
      <c r="P128" s="26"/>
      <c r="Q128" s="26"/>
      <c r="R128" s="26"/>
      <c r="S128" s="26"/>
      <c r="T128" s="26"/>
      <c r="U128" s="26"/>
      <c r="V128" s="18"/>
      <c r="W128" s="18"/>
      <c r="X128" s="18"/>
      <c r="Y128" s="18"/>
      <c r="Z128" s="18"/>
    </row>
    <row r="129" spans="1:26" ht="14.25" customHeight="1" x14ac:dyDescent="0.3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5"/>
      <c r="L129" s="25"/>
      <c r="M129" s="26"/>
      <c r="N129" s="26"/>
      <c r="O129" s="26"/>
      <c r="P129" s="26"/>
      <c r="Q129" s="26"/>
      <c r="R129" s="26"/>
      <c r="S129" s="26"/>
      <c r="T129" s="26"/>
      <c r="U129" s="26"/>
      <c r="V129" s="18"/>
      <c r="W129" s="18"/>
      <c r="X129" s="18"/>
      <c r="Y129" s="18"/>
      <c r="Z129" s="18"/>
    </row>
    <row r="130" spans="1:26" ht="14.25" customHeight="1" x14ac:dyDescent="0.3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5"/>
      <c r="L130" s="25"/>
      <c r="M130" s="26"/>
      <c r="N130" s="26"/>
      <c r="O130" s="26"/>
      <c r="P130" s="26"/>
      <c r="Q130" s="26"/>
      <c r="R130" s="26"/>
      <c r="S130" s="26"/>
      <c r="T130" s="26"/>
      <c r="U130" s="26"/>
      <c r="V130" s="18"/>
      <c r="W130" s="18"/>
      <c r="X130" s="18"/>
      <c r="Y130" s="18"/>
      <c r="Z130" s="18"/>
    </row>
    <row r="131" spans="1:26" ht="14.25" customHeight="1" x14ac:dyDescent="0.3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5"/>
      <c r="L131" s="25"/>
      <c r="M131" s="26"/>
      <c r="N131" s="26"/>
      <c r="O131" s="26"/>
      <c r="P131" s="26"/>
      <c r="Q131" s="26"/>
      <c r="R131" s="26"/>
      <c r="S131" s="26"/>
      <c r="T131" s="26"/>
      <c r="U131" s="26"/>
      <c r="V131" s="18"/>
      <c r="W131" s="18"/>
      <c r="X131" s="18"/>
      <c r="Y131" s="18"/>
      <c r="Z131" s="18"/>
    </row>
    <row r="132" spans="1:26" ht="14.25" customHeight="1" x14ac:dyDescent="0.3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5"/>
      <c r="L132" s="25"/>
      <c r="M132" s="26"/>
      <c r="N132" s="26"/>
      <c r="O132" s="26"/>
      <c r="P132" s="26"/>
      <c r="Q132" s="26"/>
      <c r="R132" s="26"/>
      <c r="S132" s="26"/>
      <c r="T132" s="26"/>
      <c r="U132" s="26"/>
      <c r="V132" s="18"/>
      <c r="W132" s="18"/>
      <c r="X132" s="18"/>
      <c r="Y132" s="18"/>
      <c r="Z132" s="18"/>
    </row>
    <row r="133" spans="1:26" ht="14.25" customHeight="1" x14ac:dyDescent="0.3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5"/>
      <c r="L133" s="25"/>
      <c r="M133" s="26"/>
      <c r="N133" s="26"/>
      <c r="O133" s="26"/>
      <c r="P133" s="26"/>
      <c r="Q133" s="26"/>
      <c r="R133" s="26"/>
      <c r="S133" s="26"/>
      <c r="T133" s="26"/>
      <c r="U133" s="26"/>
      <c r="V133" s="18"/>
      <c r="W133" s="18"/>
      <c r="X133" s="18"/>
      <c r="Y133" s="18"/>
      <c r="Z133" s="18"/>
    </row>
    <row r="134" spans="1:26" ht="14.25" customHeight="1" x14ac:dyDescent="0.3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5"/>
      <c r="L134" s="25"/>
      <c r="M134" s="26"/>
      <c r="N134" s="26"/>
      <c r="O134" s="26"/>
      <c r="P134" s="26"/>
      <c r="Q134" s="26"/>
      <c r="R134" s="26"/>
      <c r="S134" s="26"/>
      <c r="T134" s="26"/>
      <c r="U134" s="26"/>
      <c r="V134" s="18"/>
      <c r="W134" s="18"/>
      <c r="X134" s="18"/>
      <c r="Y134" s="18"/>
      <c r="Z134" s="18"/>
    </row>
    <row r="135" spans="1:26" ht="14.25" customHeight="1" x14ac:dyDescent="0.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5"/>
      <c r="L135" s="25"/>
      <c r="M135" s="26"/>
      <c r="N135" s="26"/>
      <c r="O135" s="26"/>
      <c r="P135" s="26"/>
      <c r="Q135" s="26"/>
      <c r="R135" s="26"/>
      <c r="S135" s="26"/>
      <c r="T135" s="26"/>
      <c r="U135" s="26"/>
      <c r="V135" s="18"/>
      <c r="W135" s="18"/>
      <c r="X135" s="18"/>
      <c r="Y135" s="18"/>
      <c r="Z135" s="18"/>
    </row>
    <row r="136" spans="1:26" ht="14.25" customHeight="1" x14ac:dyDescent="0.3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5"/>
      <c r="L136" s="25"/>
      <c r="M136" s="26"/>
      <c r="N136" s="26"/>
      <c r="O136" s="26"/>
      <c r="P136" s="26"/>
      <c r="Q136" s="26"/>
      <c r="R136" s="26"/>
      <c r="S136" s="26"/>
      <c r="T136" s="26"/>
      <c r="U136" s="26"/>
      <c r="V136" s="18"/>
      <c r="W136" s="18"/>
      <c r="X136" s="18"/>
      <c r="Y136" s="18"/>
      <c r="Z136" s="18"/>
    </row>
    <row r="137" spans="1:26" ht="14.25" customHeight="1" x14ac:dyDescent="0.3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5"/>
      <c r="L137" s="25"/>
      <c r="M137" s="26"/>
      <c r="N137" s="26"/>
      <c r="O137" s="26"/>
      <c r="P137" s="26"/>
      <c r="Q137" s="26"/>
      <c r="R137" s="26"/>
      <c r="S137" s="26"/>
      <c r="T137" s="26"/>
      <c r="U137" s="26"/>
      <c r="V137" s="18"/>
      <c r="W137" s="18"/>
      <c r="X137" s="18"/>
      <c r="Y137" s="18"/>
      <c r="Z137" s="18"/>
    </row>
    <row r="138" spans="1:26" ht="14.25" customHeight="1" x14ac:dyDescent="0.3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5"/>
      <c r="L138" s="25"/>
      <c r="M138" s="26"/>
      <c r="N138" s="26"/>
      <c r="O138" s="26"/>
      <c r="P138" s="26"/>
      <c r="Q138" s="26"/>
      <c r="R138" s="26"/>
      <c r="S138" s="26"/>
      <c r="T138" s="26"/>
      <c r="U138" s="26"/>
      <c r="V138" s="18"/>
      <c r="W138" s="18"/>
      <c r="X138" s="18"/>
      <c r="Y138" s="18"/>
      <c r="Z138" s="18"/>
    </row>
    <row r="139" spans="1:26" ht="14.25" customHeight="1" x14ac:dyDescent="0.3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5"/>
      <c r="L139" s="25"/>
      <c r="M139" s="26"/>
      <c r="N139" s="26"/>
      <c r="O139" s="26"/>
      <c r="P139" s="26"/>
      <c r="Q139" s="26"/>
      <c r="R139" s="26"/>
      <c r="S139" s="26"/>
      <c r="T139" s="26"/>
      <c r="U139" s="26"/>
      <c r="V139" s="18"/>
      <c r="W139" s="18"/>
      <c r="X139" s="18"/>
      <c r="Y139" s="18"/>
      <c r="Z139" s="18"/>
    </row>
    <row r="140" spans="1:26" ht="14.25" customHeight="1" x14ac:dyDescent="0.3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5"/>
      <c r="L140" s="25"/>
      <c r="M140" s="26"/>
      <c r="N140" s="26"/>
      <c r="O140" s="26"/>
      <c r="P140" s="26"/>
      <c r="Q140" s="26"/>
      <c r="R140" s="26"/>
      <c r="S140" s="26"/>
      <c r="T140" s="26"/>
      <c r="U140" s="26"/>
      <c r="V140" s="18"/>
      <c r="W140" s="18"/>
      <c r="X140" s="18"/>
      <c r="Y140" s="18"/>
      <c r="Z140" s="18"/>
    </row>
    <row r="141" spans="1:26" ht="14.25" customHeight="1" x14ac:dyDescent="0.3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5"/>
      <c r="L141" s="25"/>
      <c r="M141" s="26"/>
      <c r="N141" s="26"/>
      <c r="O141" s="26"/>
      <c r="P141" s="26"/>
      <c r="Q141" s="26"/>
      <c r="R141" s="26"/>
      <c r="S141" s="26"/>
      <c r="T141" s="26"/>
      <c r="U141" s="26"/>
      <c r="V141" s="18"/>
      <c r="W141" s="18"/>
      <c r="X141" s="18"/>
      <c r="Y141" s="18"/>
      <c r="Z141" s="18"/>
    </row>
    <row r="142" spans="1:26" ht="14.25" customHeight="1" x14ac:dyDescent="0.3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5"/>
      <c r="L142" s="25"/>
      <c r="M142" s="26"/>
      <c r="N142" s="26"/>
      <c r="O142" s="26"/>
      <c r="P142" s="26"/>
      <c r="Q142" s="26"/>
      <c r="R142" s="26"/>
      <c r="S142" s="26"/>
      <c r="T142" s="26"/>
      <c r="U142" s="26"/>
      <c r="V142" s="18"/>
      <c r="W142" s="18"/>
      <c r="X142" s="18"/>
      <c r="Y142" s="18"/>
      <c r="Z142" s="18"/>
    </row>
    <row r="143" spans="1:26" ht="14.25" customHeight="1" x14ac:dyDescent="0.3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5"/>
      <c r="L143" s="25"/>
      <c r="M143" s="26"/>
      <c r="N143" s="26"/>
      <c r="O143" s="26"/>
      <c r="P143" s="26"/>
      <c r="Q143" s="26"/>
      <c r="R143" s="26"/>
      <c r="S143" s="26"/>
      <c r="T143" s="26"/>
      <c r="U143" s="26"/>
      <c r="V143" s="18"/>
      <c r="W143" s="18"/>
      <c r="X143" s="18"/>
      <c r="Y143" s="18"/>
      <c r="Z143" s="18"/>
    </row>
    <row r="144" spans="1:26" ht="14.25" customHeight="1" x14ac:dyDescent="0.3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5"/>
      <c r="L144" s="25"/>
      <c r="M144" s="26"/>
      <c r="N144" s="26"/>
      <c r="O144" s="26"/>
      <c r="P144" s="26"/>
      <c r="Q144" s="26"/>
      <c r="R144" s="26"/>
      <c r="S144" s="26"/>
      <c r="T144" s="26"/>
      <c r="U144" s="26"/>
      <c r="V144" s="18"/>
      <c r="W144" s="18"/>
      <c r="X144" s="18"/>
      <c r="Y144" s="18"/>
      <c r="Z144" s="18"/>
    </row>
    <row r="145" spans="1:26" ht="14.25" customHeight="1" x14ac:dyDescent="0.3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5"/>
      <c r="L145" s="25"/>
      <c r="M145" s="26"/>
      <c r="N145" s="26"/>
      <c r="O145" s="26"/>
      <c r="P145" s="26"/>
      <c r="Q145" s="26"/>
      <c r="R145" s="26"/>
      <c r="S145" s="26"/>
      <c r="T145" s="26"/>
      <c r="U145" s="26"/>
      <c r="V145" s="18"/>
      <c r="W145" s="18"/>
      <c r="X145" s="18"/>
      <c r="Y145" s="18"/>
      <c r="Z145" s="18"/>
    </row>
    <row r="146" spans="1:26" ht="14.25" customHeight="1" x14ac:dyDescent="0.3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5"/>
      <c r="L146" s="25"/>
      <c r="M146" s="26"/>
      <c r="N146" s="26"/>
      <c r="O146" s="26"/>
      <c r="P146" s="26"/>
      <c r="Q146" s="26"/>
      <c r="R146" s="26"/>
      <c r="S146" s="26"/>
      <c r="T146" s="26"/>
      <c r="U146" s="26"/>
      <c r="V146" s="18"/>
      <c r="W146" s="18"/>
      <c r="X146" s="18"/>
      <c r="Y146" s="18"/>
      <c r="Z146" s="18"/>
    </row>
    <row r="147" spans="1:26" ht="14.25" customHeight="1" x14ac:dyDescent="0.3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5"/>
      <c r="L147" s="25"/>
      <c r="M147" s="26"/>
      <c r="N147" s="26"/>
      <c r="O147" s="26"/>
      <c r="P147" s="26"/>
      <c r="Q147" s="26"/>
      <c r="R147" s="26"/>
      <c r="S147" s="26"/>
      <c r="T147" s="26"/>
      <c r="U147" s="26"/>
      <c r="V147" s="18"/>
      <c r="W147" s="18"/>
      <c r="X147" s="18"/>
      <c r="Y147" s="18"/>
      <c r="Z147" s="18"/>
    </row>
    <row r="148" spans="1:26" ht="14.25" customHeight="1" x14ac:dyDescent="0.3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5"/>
      <c r="L148" s="25"/>
      <c r="M148" s="26"/>
      <c r="N148" s="26"/>
      <c r="O148" s="26"/>
      <c r="P148" s="26"/>
      <c r="Q148" s="26"/>
      <c r="R148" s="26"/>
      <c r="S148" s="26"/>
      <c r="T148" s="26"/>
      <c r="U148" s="26"/>
      <c r="V148" s="18"/>
      <c r="W148" s="18"/>
      <c r="X148" s="18"/>
      <c r="Y148" s="18"/>
      <c r="Z148" s="18"/>
    </row>
    <row r="149" spans="1:26" ht="14.25" customHeight="1" x14ac:dyDescent="0.3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5"/>
      <c r="L149" s="25"/>
      <c r="M149" s="26"/>
      <c r="N149" s="26"/>
      <c r="O149" s="26"/>
      <c r="P149" s="26"/>
      <c r="Q149" s="26"/>
      <c r="R149" s="26"/>
      <c r="S149" s="26"/>
      <c r="T149" s="26"/>
      <c r="U149" s="26"/>
      <c r="V149" s="18"/>
      <c r="W149" s="18"/>
      <c r="X149" s="18"/>
      <c r="Y149" s="18"/>
      <c r="Z149" s="18"/>
    </row>
    <row r="150" spans="1:26" ht="14.25" customHeight="1" x14ac:dyDescent="0.3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5"/>
      <c r="L150" s="25"/>
      <c r="M150" s="26"/>
      <c r="N150" s="26"/>
      <c r="O150" s="26"/>
      <c r="P150" s="26"/>
      <c r="Q150" s="26"/>
      <c r="R150" s="26"/>
      <c r="S150" s="26"/>
      <c r="T150" s="26"/>
      <c r="U150" s="26"/>
      <c r="V150" s="18"/>
      <c r="W150" s="18"/>
      <c r="X150" s="18"/>
      <c r="Y150" s="18"/>
      <c r="Z150" s="18"/>
    </row>
    <row r="151" spans="1:26" ht="14.25" customHeight="1" x14ac:dyDescent="0.3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5"/>
      <c r="L151" s="25"/>
      <c r="M151" s="26"/>
      <c r="N151" s="26"/>
      <c r="O151" s="26"/>
      <c r="P151" s="26"/>
      <c r="Q151" s="26"/>
      <c r="R151" s="26"/>
      <c r="S151" s="26"/>
      <c r="T151" s="26"/>
      <c r="U151" s="26"/>
      <c r="V151" s="18"/>
      <c r="W151" s="18"/>
      <c r="X151" s="18"/>
      <c r="Y151" s="18"/>
      <c r="Z151" s="18"/>
    </row>
    <row r="152" spans="1:26" ht="14.25" customHeight="1" x14ac:dyDescent="0.3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5"/>
      <c r="L152" s="25"/>
      <c r="M152" s="26"/>
      <c r="N152" s="26"/>
      <c r="O152" s="26"/>
      <c r="P152" s="26"/>
      <c r="Q152" s="26"/>
      <c r="R152" s="26"/>
      <c r="S152" s="26"/>
      <c r="T152" s="26"/>
      <c r="U152" s="26"/>
      <c r="V152" s="18"/>
      <c r="W152" s="18"/>
      <c r="X152" s="18"/>
      <c r="Y152" s="18"/>
      <c r="Z152" s="18"/>
    </row>
    <row r="153" spans="1:26" ht="14.25" customHeight="1" x14ac:dyDescent="0.3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5"/>
      <c r="L153" s="25"/>
      <c r="M153" s="26"/>
      <c r="N153" s="26"/>
      <c r="O153" s="26"/>
      <c r="P153" s="26"/>
      <c r="Q153" s="26"/>
      <c r="R153" s="26"/>
      <c r="S153" s="26"/>
      <c r="T153" s="26"/>
      <c r="U153" s="26"/>
      <c r="V153" s="18"/>
      <c r="W153" s="18"/>
      <c r="X153" s="18"/>
      <c r="Y153" s="18"/>
      <c r="Z153" s="18"/>
    </row>
    <row r="154" spans="1:26" ht="14.25" customHeight="1" x14ac:dyDescent="0.3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5"/>
      <c r="L154" s="25"/>
      <c r="M154" s="26"/>
      <c r="N154" s="26"/>
      <c r="O154" s="26"/>
      <c r="P154" s="26"/>
      <c r="Q154" s="26"/>
      <c r="R154" s="26"/>
      <c r="S154" s="26"/>
      <c r="T154" s="26"/>
      <c r="U154" s="26"/>
      <c r="V154" s="18"/>
      <c r="W154" s="18"/>
      <c r="X154" s="18"/>
      <c r="Y154" s="18"/>
      <c r="Z154" s="18"/>
    </row>
    <row r="155" spans="1:26" ht="14.25" customHeight="1" x14ac:dyDescent="0.3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5"/>
      <c r="L155" s="25"/>
      <c r="M155" s="26"/>
      <c r="N155" s="26"/>
      <c r="O155" s="26"/>
      <c r="P155" s="26"/>
      <c r="Q155" s="26"/>
      <c r="R155" s="26"/>
      <c r="S155" s="26"/>
      <c r="T155" s="26"/>
      <c r="U155" s="26"/>
      <c r="V155" s="18"/>
      <c r="W155" s="18"/>
      <c r="X155" s="18"/>
      <c r="Y155" s="18"/>
      <c r="Z155" s="18"/>
    </row>
    <row r="156" spans="1:26" ht="14.25" customHeight="1" x14ac:dyDescent="0.3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5"/>
      <c r="L156" s="25"/>
      <c r="M156" s="26"/>
      <c r="N156" s="26"/>
      <c r="O156" s="26"/>
      <c r="P156" s="26"/>
      <c r="Q156" s="26"/>
      <c r="R156" s="26"/>
      <c r="S156" s="26"/>
      <c r="T156" s="26"/>
      <c r="U156" s="26"/>
      <c r="V156" s="18"/>
      <c r="W156" s="18"/>
      <c r="X156" s="18"/>
      <c r="Y156" s="18"/>
      <c r="Z156" s="18"/>
    </row>
    <row r="157" spans="1:26" ht="14.25" customHeight="1" x14ac:dyDescent="0.3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5"/>
      <c r="L157" s="25"/>
      <c r="M157" s="26"/>
      <c r="N157" s="26"/>
      <c r="O157" s="26"/>
      <c r="P157" s="26"/>
      <c r="Q157" s="26"/>
      <c r="R157" s="26"/>
      <c r="S157" s="26"/>
      <c r="T157" s="26"/>
      <c r="U157" s="26"/>
      <c r="V157" s="18"/>
      <c r="W157" s="18"/>
      <c r="X157" s="18"/>
      <c r="Y157" s="18"/>
      <c r="Z157" s="18"/>
    </row>
    <row r="158" spans="1:26" ht="14.25" customHeight="1" x14ac:dyDescent="0.3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5"/>
      <c r="L158" s="25"/>
      <c r="M158" s="26"/>
      <c r="N158" s="26"/>
      <c r="O158" s="26"/>
      <c r="P158" s="26"/>
      <c r="Q158" s="26"/>
      <c r="R158" s="26"/>
      <c r="S158" s="26"/>
      <c r="T158" s="26"/>
      <c r="U158" s="26"/>
      <c r="V158" s="18"/>
      <c r="W158" s="18"/>
      <c r="X158" s="18"/>
      <c r="Y158" s="18"/>
      <c r="Z158" s="18"/>
    </row>
    <row r="159" spans="1:26" ht="13.5" customHeight="1" x14ac:dyDescent="0.3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5"/>
      <c r="L159" s="25"/>
      <c r="M159" s="26"/>
      <c r="N159" s="26"/>
      <c r="O159" s="26"/>
      <c r="P159" s="26"/>
      <c r="Q159" s="26"/>
      <c r="R159" s="26"/>
      <c r="S159" s="26"/>
      <c r="T159" s="26"/>
      <c r="U159" s="26"/>
      <c r="V159" s="18"/>
      <c r="W159" s="18"/>
      <c r="X159" s="26"/>
      <c r="Y159" s="18"/>
      <c r="Z159" s="18"/>
    </row>
    <row r="160" spans="1:26" ht="13.5" customHeight="1" x14ac:dyDescent="0.3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5"/>
      <c r="L160" s="25"/>
      <c r="M160" s="26"/>
      <c r="N160" s="26"/>
      <c r="O160" s="26"/>
      <c r="P160" s="26"/>
      <c r="Q160" s="26"/>
      <c r="R160" s="26"/>
      <c r="S160" s="26"/>
      <c r="T160" s="26"/>
      <c r="U160" s="26"/>
      <c r="V160" s="18"/>
      <c r="W160" s="18"/>
      <c r="X160" s="26"/>
      <c r="Y160" s="18"/>
      <c r="Z160" s="18"/>
    </row>
    <row r="161" spans="1:26" ht="13.5" customHeight="1" x14ac:dyDescent="0.3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5"/>
      <c r="L161" s="25"/>
      <c r="M161" s="26"/>
      <c r="N161" s="26"/>
      <c r="O161" s="26"/>
      <c r="P161" s="26"/>
      <c r="Q161" s="26"/>
      <c r="R161" s="26"/>
      <c r="S161" s="26"/>
      <c r="T161" s="26"/>
      <c r="U161" s="26"/>
      <c r="V161" s="18"/>
      <c r="W161" s="18"/>
      <c r="X161" s="26"/>
      <c r="Y161" s="18"/>
      <c r="Z161" s="18"/>
    </row>
    <row r="162" spans="1:26" ht="13.5" customHeight="1" x14ac:dyDescent="0.3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5"/>
      <c r="L162" s="25"/>
      <c r="M162" s="26"/>
      <c r="N162" s="26"/>
      <c r="O162" s="26"/>
      <c r="P162" s="26"/>
      <c r="Q162" s="26"/>
      <c r="R162" s="26"/>
      <c r="S162" s="26"/>
      <c r="T162" s="26"/>
      <c r="U162" s="26"/>
      <c r="V162" s="18"/>
      <c r="W162" s="18"/>
      <c r="X162" s="26"/>
      <c r="Y162" s="18"/>
      <c r="Z162" s="18"/>
    </row>
    <row r="163" spans="1:26" ht="13.5" customHeight="1" x14ac:dyDescent="0.3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5"/>
      <c r="L163" s="25"/>
      <c r="M163" s="26"/>
      <c r="N163" s="26"/>
      <c r="O163" s="26"/>
      <c r="P163" s="26"/>
      <c r="Q163" s="26"/>
      <c r="R163" s="26"/>
      <c r="S163" s="26"/>
      <c r="T163" s="26"/>
      <c r="U163" s="26"/>
      <c r="V163" s="18"/>
      <c r="W163" s="18"/>
      <c r="X163" s="26"/>
      <c r="Y163" s="18"/>
      <c r="Z163" s="18"/>
    </row>
    <row r="164" spans="1:26" ht="13.5" customHeight="1" x14ac:dyDescent="0.3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5"/>
      <c r="L164" s="25"/>
      <c r="M164" s="26"/>
      <c r="N164" s="26"/>
      <c r="O164" s="26"/>
      <c r="P164" s="26"/>
      <c r="Q164" s="26"/>
      <c r="R164" s="26"/>
      <c r="S164" s="26"/>
      <c r="T164" s="26"/>
      <c r="U164" s="26"/>
      <c r="V164" s="18"/>
      <c r="W164" s="18"/>
      <c r="X164" s="26"/>
      <c r="Y164" s="18"/>
      <c r="Z164" s="18"/>
    </row>
    <row r="165" spans="1:26" ht="13.5" customHeight="1" x14ac:dyDescent="0.3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5"/>
      <c r="L165" s="25"/>
      <c r="M165" s="26"/>
      <c r="N165" s="26"/>
      <c r="O165" s="26"/>
      <c r="P165" s="26"/>
      <c r="Q165" s="26"/>
      <c r="R165" s="26"/>
      <c r="S165" s="26"/>
      <c r="T165" s="26"/>
      <c r="U165" s="26"/>
      <c r="V165" s="18"/>
      <c r="W165" s="18"/>
      <c r="X165" s="26"/>
      <c r="Y165" s="18"/>
      <c r="Z165" s="18"/>
    </row>
    <row r="166" spans="1:26" ht="13.5" customHeight="1" x14ac:dyDescent="0.3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5"/>
      <c r="L166" s="25"/>
      <c r="M166" s="26"/>
      <c r="N166" s="26"/>
      <c r="O166" s="26"/>
      <c r="P166" s="26"/>
      <c r="Q166" s="26"/>
      <c r="R166" s="26"/>
      <c r="S166" s="26"/>
      <c r="T166" s="26"/>
      <c r="U166" s="26"/>
      <c r="V166" s="18"/>
      <c r="W166" s="18"/>
      <c r="X166" s="26"/>
      <c r="Y166" s="18"/>
      <c r="Z166" s="18"/>
    </row>
    <row r="167" spans="1:26" ht="13.5" customHeight="1" x14ac:dyDescent="0.3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5"/>
      <c r="L167" s="25"/>
      <c r="M167" s="26"/>
      <c r="N167" s="26"/>
      <c r="O167" s="26"/>
      <c r="P167" s="26"/>
      <c r="Q167" s="26"/>
      <c r="R167" s="26"/>
      <c r="S167" s="26"/>
      <c r="T167" s="26"/>
      <c r="U167" s="26"/>
      <c r="V167" s="18"/>
      <c r="W167" s="18"/>
      <c r="X167" s="26"/>
      <c r="Y167" s="18"/>
      <c r="Z167" s="18"/>
    </row>
    <row r="168" spans="1:26" ht="13.5" customHeight="1" x14ac:dyDescent="0.3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5"/>
      <c r="L168" s="25"/>
      <c r="M168" s="26"/>
      <c r="N168" s="26"/>
      <c r="O168" s="26"/>
      <c r="P168" s="26"/>
      <c r="Q168" s="26"/>
      <c r="R168" s="26"/>
      <c r="S168" s="26"/>
      <c r="T168" s="26"/>
      <c r="U168" s="26"/>
      <c r="V168" s="18"/>
      <c r="W168" s="18"/>
      <c r="X168" s="26"/>
      <c r="Y168" s="18"/>
      <c r="Z168" s="18"/>
    </row>
    <row r="169" spans="1:26" ht="13.5" customHeight="1" x14ac:dyDescent="0.3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5"/>
      <c r="L169" s="25"/>
      <c r="M169" s="26"/>
      <c r="N169" s="26"/>
      <c r="O169" s="26"/>
      <c r="P169" s="26"/>
      <c r="Q169" s="26"/>
      <c r="R169" s="26"/>
      <c r="S169" s="26"/>
      <c r="T169" s="26"/>
      <c r="U169" s="26"/>
      <c r="V169" s="18"/>
      <c r="W169" s="18"/>
      <c r="X169" s="26"/>
      <c r="Y169" s="18"/>
      <c r="Z169" s="18"/>
    </row>
    <row r="170" spans="1:26" ht="13.5" customHeight="1" x14ac:dyDescent="0.3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5"/>
      <c r="L170" s="25"/>
      <c r="M170" s="26"/>
      <c r="N170" s="26"/>
      <c r="O170" s="26"/>
      <c r="P170" s="26"/>
      <c r="Q170" s="26"/>
      <c r="R170" s="26"/>
      <c r="S170" s="26"/>
      <c r="T170" s="26"/>
      <c r="U170" s="26"/>
      <c r="V170" s="18"/>
      <c r="W170" s="18"/>
      <c r="X170" s="26"/>
      <c r="Y170" s="18"/>
      <c r="Z170" s="18"/>
    </row>
    <row r="171" spans="1:26" ht="13.5" customHeight="1" x14ac:dyDescent="0.3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5"/>
      <c r="L171" s="25"/>
      <c r="M171" s="26"/>
      <c r="N171" s="26"/>
      <c r="O171" s="26"/>
      <c r="P171" s="26"/>
      <c r="Q171" s="26"/>
      <c r="R171" s="26"/>
      <c r="S171" s="26"/>
      <c r="T171" s="26"/>
      <c r="U171" s="26"/>
      <c r="V171" s="18"/>
      <c r="W171" s="18"/>
      <c r="X171" s="26"/>
      <c r="Y171" s="18"/>
      <c r="Z171" s="18"/>
    </row>
    <row r="172" spans="1:26" ht="13.5" customHeight="1" x14ac:dyDescent="0.3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5"/>
      <c r="L172" s="25"/>
      <c r="M172" s="26"/>
      <c r="N172" s="26"/>
      <c r="O172" s="26"/>
      <c r="P172" s="26"/>
      <c r="Q172" s="26"/>
      <c r="R172" s="26"/>
      <c r="S172" s="26"/>
      <c r="T172" s="26"/>
      <c r="U172" s="26"/>
      <c r="V172" s="18"/>
      <c r="W172" s="18"/>
      <c r="X172" s="26"/>
      <c r="Y172" s="18"/>
      <c r="Z172" s="18"/>
    </row>
    <row r="173" spans="1:26" ht="13.5" customHeight="1" x14ac:dyDescent="0.3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5"/>
      <c r="L173" s="25"/>
      <c r="M173" s="26"/>
      <c r="N173" s="26"/>
      <c r="O173" s="26"/>
      <c r="P173" s="26"/>
      <c r="Q173" s="26"/>
      <c r="R173" s="26"/>
      <c r="S173" s="26"/>
      <c r="T173" s="26"/>
      <c r="U173" s="26"/>
      <c r="V173" s="18"/>
      <c r="W173" s="18"/>
      <c r="X173" s="26"/>
      <c r="Y173" s="18"/>
      <c r="Z173" s="18"/>
    </row>
    <row r="174" spans="1:26" ht="13.5" customHeight="1" x14ac:dyDescent="0.3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5"/>
      <c r="L174" s="25"/>
      <c r="M174" s="26"/>
      <c r="N174" s="26"/>
      <c r="O174" s="26"/>
      <c r="P174" s="26"/>
      <c r="Q174" s="26"/>
      <c r="R174" s="26"/>
      <c r="S174" s="26"/>
      <c r="T174" s="26"/>
      <c r="U174" s="26"/>
      <c r="V174" s="18"/>
      <c r="W174" s="18"/>
      <c r="X174" s="26"/>
      <c r="Y174" s="18"/>
      <c r="Z174" s="18"/>
    </row>
    <row r="175" spans="1:26" ht="13.5" customHeight="1" x14ac:dyDescent="0.3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5"/>
      <c r="L175" s="25"/>
      <c r="M175" s="26"/>
      <c r="N175" s="26"/>
      <c r="O175" s="26"/>
      <c r="P175" s="26"/>
      <c r="Q175" s="26"/>
      <c r="R175" s="26"/>
      <c r="S175" s="26"/>
      <c r="T175" s="26"/>
      <c r="U175" s="26"/>
      <c r="V175" s="18"/>
      <c r="W175" s="18"/>
      <c r="X175" s="26"/>
      <c r="Y175" s="18"/>
      <c r="Z175" s="18"/>
    </row>
    <row r="176" spans="1:26" ht="13.5" customHeight="1" x14ac:dyDescent="0.3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5"/>
      <c r="L176" s="25"/>
      <c r="M176" s="26"/>
      <c r="N176" s="26"/>
      <c r="O176" s="26"/>
      <c r="P176" s="26"/>
      <c r="Q176" s="26"/>
      <c r="R176" s="26"/>
      <c r="S176" s="26"/>
      <c r="T176" s="26"/>
      <c r="U176" s="26"/>
      <c r="V176" s="18"/>
      <c r="W176" s="18"/>
      <c r="X176" s="26"/>
      <c r="Y176" s="18"/>
      <c r="Z176" s="18"/>
    </row>
    <row r="177" spans="1:26" ht="13.5" customHeight="1" x14ac:dyDescent="0.3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5"/>
      <c r="L177" s="25"/>
      <c r="M177" s="26"/>
      <c r="N177" s="26"/>
      <c r="O177" s="26"/>
      <c r="P177" s="26"/>
      <c r="Q177" s="26"/>
      <c r="R177" s="26"/>
      <c r="S177" s="26"/>
      <c r="T177" s="26"/>
      <c r="U177" s="26"/>
      <c r="V177" s="18"/>
      <c r="W177" s="18"/>
      <c r="X177" s="26"/>
      <c r="Y177" s="18"/>
      <c r="Z177" s="18"/>
    </row>
    <row r="178" spans="1:26" ht="13.5" customHeight="1" x14ac:dyDescent="0.3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5"/>
      <c r="L178" s="25"/>
      <c r="M178" s="26"/>
      <c r="N178" s="26"/>
      <c r="O178" s="26"/>
      <c r="P178" s="26"/>
      <c r="Q178" s="26"/>
      <c r="R178" s="26"/>
      <c r="S178" s="26"/>
      <c r="T178" s="26"/>
      <c r="U178" s="26"/>
      <c r="V178" s="18"/>
      <c r="W178" s="18"/>
      <c r="X178" s="26"/>
      <c r="Y178" s="18"/>
      <c r="Z178" s="18"/>
    </row>
    <row r="179" spans="1:26" ht="13.5" customHeight="1" x14ac:dyDescent="0.3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5"/>
      <c r="L179" s="25"/>
      <c r="M179" s="26"/>
      <c r="N179" s="26"/>
      <c r="O179" s="26"/>
      <c r="P179" s="26"/>
      <c r="Q179" s="26"/>
      <c r="R179" s="26"/>
      <c r="S179" s="26"/>
      <c r="T179" s="26"/>
      <c r="U179" s="26"/>
      <c r="V179" s="18"/>
      <c r="W179" s="18"/>
      <c r="X179" s="26"/>
      <c r="Y179" s="18"/>
      <c r="Z179" s="18"/>
    </row>
    <row r="180" spans="1:26" ht="13.5" customHeight="1" x14ac:dyDescent="0.3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5"/>
      <c r="L180" s="25"/>
      <c r="M180" s="26"/>
      <c r="N180" s="26"/>
      <c r="O180" s="26"/>
      <c r="P180" s="26"/>
      <c r="Q180" s="26"/>
      <c r="R180" s="26"/>
      <c r="S180" s="26"/>
      <c r="T180" s="26"/>
      <c r="U180" s="26"/>
      <c r="V180" s="18"/>
      <c r="W180" s="18"/>
      <c r="X180" s="26"/>
      <c r="Y180" s="18"/>
      <c r="Z180" s="18"/>
    </row>
    <row r="181" spans="1:26" ht="13.5" customHeight="1" x14ac:dyDescent="0.3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5"/>
      <c r="L181" s="25"/>
      <c r="M181" s="26"/>
      <c r="N181" s="26"/>
      <c r="O181" s="26"/>
      <c r="P181" s="26"/>
      <c r="Q181" s="26"/>
      <c r="R181" s="26"/>
      <c r="S181" s="26"/>
      <c r="T181" s="26"/>
      <c r="U181" s="26"/>
      <c r="V181" s="18"/>
      <c r="W181" s="18"/>
      <c r="X181" s="26"/>
      <c r="Y181" s="18"/>
      <c r="Z181" s="18"/>
    </row>
    <row r="182" spans="1:26" ht="13.5" customHeight="1" x14ac:dyDescent="0.3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5"/>
      <c r="L182" s="25"/>
      <c r="M182" s="26"/>
      <c r="N182" s="26"/>
      <c r="O182" s="26"/>
      <c r="P182" s="26"/>
      <c r="Q182" s="26"/>
      <c r="R182" s="26"/>
      <c r="S182" s="26"/>
      <c r="T182" s="26"/>
      <c r="U182" s="26"/>
      <c r="V182" s="18"/>
      <c r="W182" s="18"/>
      <c r="X182" s="26"/>
      <c r="Y182" s="18"/>
      <c r="Z182" s="18"/>
    </row>
    <row r="183" spans="1:26" ht="13.5" customHeight="1" x14ac:dyDescent="0.3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5"/>
      <c r="L183" s="25"/>
      <c r="M183" s="26"/>
      <c r="N183" s="26"/>
      <c r="O183" s="26"/>
      <c r="P183" s="26"/>
      <c r="Q183" s="26"/>
      <c r="R183" s="26"/>
      <c r="S183" s="26"/>
      <c r="T183" s="26"/>
      <c r="U183" s="26"/>
      <c r="V183" s="18"/>
      <c r="W183" s="18"/>
      <c r="X183" s="26"/>
      <c r="Y183" s="18"/>
      <c r="Z183" s="18"/>
    </row>
    <row r="184" spans="1:26" ht="13.5" customHeight="1" x14ac:dyDescent="0.3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5"/>
      <c r="L184" s="25"/>
      <c r="M184" s="26"/>
      <c r="N184" s="26"/>
      <c r="O184" s="26"/>
      <c r="P184" s="26"/>
      <c r="Q184" s="26"/>
      <c r="R184" s="26"/>
      <c r="S184" s="26"/>
      <c r="T184" s="26"/>
      <c r="U184" s="26"/>
      <c r="V184" s="18"/>
      <c r="W184" s="18"/>
      <c r="X184" s="26"/>
      <c r="Y184" s="18"/>
      <c r="Z184" s="18"/>
    </row>
    <row r="185" spans="1:26" ht="13.5" customHeight="1" x14ac:dyDescent="0.3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5"/>
      <c r="L185" s="25"/>
      <c r="M185" s="26"/>
      <c r="N185" s="26"/>
      <c r="O185" s="26"/>
      <c r="P185" s="26"/>
      <c r="Q185" s="26"/>
      <c r="R185" s="26"/>
      <c r="S185" s="26"/>
      <c r="T185" s="26"/>
      <c r="U185" s="26"/>
      <c r="V185" s="18"/>
      <c r="W185" s="18"/>
      <c r="X185" s="26"/>
      <c r="Y185" s="18"/>
      <c r="Z185" s="18"/>
    </row>
    <row r="186" spans="1:26" ht="13.5" customHeight="1" x14ac:dyDescent="0.3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5"/>
      <c r="L186" s="25"/>
      <c r="M186" s="26"/>
      <c r="N186" s="26"/>
      <c r="O186" s="26"/>
      <c r="P186" s="26"/>
      <c r="Q186" s="26"/>
      <c r="R186" s="26"/>
      <c r="S186" s="26"/>
      <c r="T186" s="26"/>
      <c r="U186" s="26"/>
      <c r="V186" s="18"/>
      <c r="W186" s="18"/>
      <c r="X186" s="26"/>
      <c r="Y186" s="18"/>
      <c r="Z186" s="18"/>
    </row>
    <row r="187" spans="1:26" ht="13.5" customHeight="1" x14ac:dyDescent="0.3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5"/>
      <c r="L187" s="25"/>
      <c r="M187" s="26"/>
      <c r="N187" s="26"/>
      <c r="O187" s="26"/>
      <c r="P187" s="26"/>
      <c r="Q187" s="26"/>
      <c r="R187" s="26"/>
      <c r="S187" s="26"/>
      <c r="T187" s="26"/>
      <c r="U187" s="26"/>
      <c r="V187" s="18"/>
      <c r="W187" s="18"/>
      <c r="X187" s="26"/>
      <c r="Y187" s="18"/>
      <c r="Z187" s="18"/>
    </row>
    <row r="188" spans="1:26" ht="13.5" customHeight="1" x14ac:dyDescent="0.3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5"/>
      <c r="L188" s="25"/>
      <c r="M188" s="26"/>
      <c r="N188" s="26"/>
      <c r="O188" s="26"/>
      <c r="P188" s="26"/>
      <c r="Q188" s="26"/>
      <c r="R188" s="26"/>
      <c r="S188" s="26"/>
      <c r="T188" s="26"/>
      <c r="U188" s="26"/>
      <c r="V188" s="18"/>
      <c r="W188" s="18"/>
      <c r="X188" s="26"/>
      <c r="Y188" s="18"/>
      <c r="Z188" s="18"/>
    </row>
    <row r="189" spans="1:26" ht="13.5" customHeight="1" x14ac:dyDescent="0.3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5"/>
      <c r="L189" s="25"/>
      <c r="M189" s="26"/>
      <c r="N189" s="26"/>
      <c r="O189" s="26"/>
      <c r="P189" s="26"/>
      <c r="Q189" s="26"/>
      <c r="R189" s="26"/>
      <c r="S189" s="26"/>
      <c r="T189" s="26"/>
      <c r="U189" s="26"/>
      <c r="V189" s="18"/>
      <c r="W189" s="18"/>
      <c r="X189" s="26"/>
      <c r="Y189" s="18"/>
      <c r="Z189" s="18"/>
    </row>
    <row r="190" spans="1:26" ht="13.5" customHeight="1" x14ac:dyDescent="0.3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5"/>
      <c r="L190" s="25"/>
      <c r="M190" s="26"/>
      <c r="N190" s="26"/>
      <c r="O190" s="26"/>
      <c r="P190" s="26"/>
      <c r="Q190" s="26"/>
      <c r="R190" s="26"/>
      <c r="S190" s="26"/>
      <c r="T190" s="26"/>
      <c r="U190" s="26"/>
      <c r="V190" s="18"/>
      <c r="W190" s="18"/>
      <c r="X190" s="26"/>
      <c r="Y190" s="18"/>
      <c r="Z190" s="18"/>
    </row>
    <row r="191" spans="1:26" ht="13.5" customHeight="1" x14ac:dyDescent="0.3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5"/>
      <c r="L191" s="25"/>
      <c r="M191" s="26"/>
      <c r="N191" s="26"/>
      <c r="O191" s="26"/>
      <c r="P191" s="26"/>
      <c r="Q191" s="26"/>
      <c r="R191" s="26"/>
      <c r="S191" s="26"/>
      <c r="T191" s="26"/>
      <c r="U191" s="26"/>
      <c r="V191" s="18"/>
      <c r="W191" s="18"/>
      <c r="X191" s="26"/>
      <c r="Y191" s="18"/>
      <c r="Z191" s="18"/>
    </row>
    <row r="192" spans="1:26" ht="13.5" customHeight="1" x14ac:dyDescent="0.3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5"/>
      <c r="L192" s="25"/>
      <c r="M192" s="26"/>
      <c r="N192" s="26"/>
      <c r="O192" s="26"/>
      <c r="P192" s="26"/>
      <c r="Q192" s="26"/>
      <c r="R192" s="26"/>
      <c r="S192" s="26"/>
      <c r="T192" s="26"/>
      <c r="U192" s="26"/>
      <c r="V192" s="18"/>
      <c r="W192" s="18"/>
      <c r="X192" s="26"/>
      <c r="Y192" s="18"/>
      <c r="Z192" s="18"/>
    </row>
    <row r="193" spans="1:26" ht="13.5" customHeight="1" x14ac:dyDescent="0.3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5"/>
      <c r="L193" s="25"/>
      <c r="M193" s="26"/>
      <c r="N193" s="26"/>
      <c r="O193" s="26"/>
      <c r="P193" s="26"/>
      <c r="Q193" s="26"/>
      <c r="R193" s="26"/>
      <c r="S193" s="26"/>
      <c r="T193" s="26"/>
      <c r="U193" s="26"/>
      <c r="V193" s="18"/>
      <c r="W193" s="18"/>
      <c r="X193" s="26"/>
      <c r="Y193" s="18"/>
      <c r="Z193" s="18"/>
    </row>
    <row r="194" spans="1:26" ht="13.5" customHeight="1" x14ac:dyDescent="0.3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5"/>
      <c r="L194" s="25"/>
      <c r="M194" s="26"/>
      <c r="N194" s="26"/>
      <c r="O194" s="26"/>
      <c r="P194" s="26"/>
      <c r="Q194" s="26"/>
      <c r="R194" s="26"/>
      <c r="S194" s="26"/>
      <c r="T194" s="26"/>
      <c r="U194" s="26"/>
      <c r="V194" s="18"/>
      <c r="W194" s="18"/>
      <c r="X194" s="26"/>
      <c r="Y194" s="18"/>
      <c r="Z194" s="18"/>
    </row>
    <row r="195" spans="1:26" ht="13.5" customHeight="1" x14ac:dyDescent="0.3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5"/>
      <c r="L195" s="25"/>
      <c r="M195" s="26"/>
      <c r="N195" s="26"/>
      <c r="O195" s="26"/>
      <c r="P195" s="26"/>
      <c r="Q195" s="26"/>
      <c r="R195" s="26"/>
      <c r="S195" s="26"/>
      <c r="T195" s="26"/>
      <c r="U195" s="26"/>
      <c r="V195" s="18"/>
      <c r="W195" s="18"/>
      <c r="X195" s="26"/>
      <c r="Y195" s="18"/>
      <c r="Z195" s="18"/>
    </row>
    <row r="196" spans="1:26" ht="13.5" customHeight="1" x14ac:dyDescent="0.3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5"/>
      <c r="L196" s="25"/>
      <c r="M196" s="26"/>
      <c r="N196" s="26"/>
      <c r="O196" s="26"/>
      <c r="P196" s="26"/>
      <c r="Q196" s="26"/>
      <c r="R196" s="26"/>
      <c r="S196" s="26"/>
      <c r="T196" s="26"/>
      <c r="U196" s="26"/>
      <c r="V196" s="18"/>
      <c r="W196" s="18"/>
      <c r="X196" s="26"/>
      <c r="Y196" s="18"/>
      <c r="Z196" s="18"/>
    </row>
    <row r="197" spans="1:26" ht="13.5" customHeight="1" x14ac:dyDescent="0.3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5"/>
      <c r="L197" s="25"/>
      <c r="M197" s="26"/>
      <c r="N197" s="26"/>
      <c r="O197" s="26"/>
      <c r="P197" s="26"/>
      <c r="Q197" s="26"/>
      <c r="R197" s="26"/>
      <c r="S197" s="26"/>
      <c r="T197" s="26"/>
      <c r="U197" s="26"/>
      <c r="V197" s="18"/>
      <c r="W197" s="18"/>
      <c r="X197" s="26"/>
      <c r="Y197" s="18"/>
      <c r="Z197" s="18"/>
    </row>
    <row r="198" spans="1:26" ht="13.5" customHeight="1" x14ac:dyDescent="0.3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5"/>
      <c r="L198" s="25"/>
      <c r="M198" s="26"/>
      <c r="N198" s="26"/>
      <c r="O198" s="26"/>
      <c r="P198" s="26"/>
      <c r="Q198" s="26"/>
      <c r="R198" s="26"/>
      <c r="S198" s="26"/>
      <c r="T198" s="26"/>
      <c r="U198" s="26"/>
      <c r="V198" s="18"/>
      <c r="W198" s="18"/>
      <c r="X198" s="26"/>
      <c r="Y198" s="18"/>
      <c r="Z198" s="18"/>
    </row>
    <row r="199" spans="1:26" ht="13.5" customHeight="1" x14ac:dyDescent="0.3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5"/>
      <c r="L199" s="25"/>
      <c r="M199" s="26"/>
      <c r="N199" s="26"/>
      <c r="O199" s="26"/>
      <c r="P199" s="26"/>
      <c r="Q199" s="26"/>
      <c r="R199" s="26"/>
      <c r="S199" s="26"/>
      <c r="T199" s="26"/>
      <c r="U199" s="26"/>
      <c r="V199" s="18"/>
      <c r="W199" s="18"/>
      <c r="X199" s="26"/>
      <c r="Y199" s="18"/>
      <c r="Z199" s="18"/>
    </row>
    <row r="200" spans="1:26" ht="13.5" customHeight="1" x14ac:dyDescent="0.3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5"/>
      <c r="L200" s="25"/>
      <c r="M200" s="26"/>
      <c r="N200" s="26"/>
      <c r="O200" s="26"/>
      <c r="P200" s="26"/>
      <c r="Q200" s="26"/>
      <c r="R200" s="26"/>
      <c r="S200" s="26"/>
      <c r="T200" s="26"/>
      <c r="U200" s="26"/>
      <c r="V200" s="18"/>
      <c r="W200" s="18"/>
      <c r="X200" s="26"/>
      <c r="Y200" s="18"/>
      <c r="Z200" s="18"/>
    </row>
    <row r="201" spans="1:26" ht="13.5" customHeight="1" x14ac:dyDescent="0.3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5"/>
      <c r="L201" s="25"/>
      <c r="M201" s="26"/>
      <c r="N201" s="26"/>
      <c r="O201" s="26"/>
      <c r="P201" s="26"/>
      <c r="Q201" s="26"/>
      <c r="R201" s="26"/>
      <c r="S201" s="26"/>
      <c r="T201" s="26"/>
      <c r="U201" s="26"/>
      <c r="V201" s="18"/>
      <c r="W201" s="18"/>
      <c r="X201" s="26"/>
      <c r="Y201" s="18"/>
      <c r="Z201" s="18"/>
    </row>
    <row r="202" spans="1:26" ht="13.5" customHeight="1" x14ac:dyDescent="0.3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5"/>
      <c r="L202" s="25"/>
      <c r="M202" s="26"/>
      <c r="N202" s="26"/>
      <c r="O202" s="26"/>
      <c r="P202" s="26"/>
      <c r="Q202" s="26"/>
      <c r="R202" s="26"/>
      <c r="S202" s="26"/>
      <c r="T202" s="26"/>
      <c r="U202" s="26"/>
      <c r="V202" s="18"/>
      <c r="W202" s="18"/>
      <c r="X202" s="26"/>
      <c r="Y202" s="18"/>
      <c r="Z202" s="18"/>
    </row>
    <row r="203" spans="1:26" ht="13.5" customHeight="1" x14ac:dyDescent="0.3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5"/>
      <c r="L203" s="25"/>
      <c r="M203" s="26"/>
      <c r="N203" s="26"/>
      <c r="O203" s="26"/>
      <c r="P203" s="26"/>
      <c r="Q203" s="26"/>
      <c r="R203" s="26"/>
      <c r="S203" s="26"/>
      <c r="T203" s="26"/>
      <c r="U203" s="26"/>
      <c r="V203" s="18"/>
      <c r="W203" s="18"/>
      <c r="X203" s="26"/>
      <c r="Y203" s="18"/>
      <c r="Z203" s="18"/>
    </row>
    <row r="204" spans="1:26" ht="13.5" customHeight="1" x14ac:dyDescent="0.3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5"/>
      <c r="L204" s="25"/>
      <c r="M204" s="26"/>
      <c r="N204" s="26"/>
      <c r="O204" s="26"/>
      <c r="P204" s="26"/>
      <c r="Q204" s="26"/>
      <c r="R204" s="26"/>
      <c r="S204" s="26"/>
      <c r="T204" s="26"/>
      <c r="U204" s="26"/>
      <c r="V204" s="18"/>
      <c r="W204" s="18"/>
      <c r="X204" s="26"/>
      <c r="Y204" s="18"/>
      <c r="Z204" s="18"/>
    </row>
    <row r="205" spans="1:26" ht="13.5" customHeight="1" x14ac:dyDescent="0.3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5"/>
      <c r="L205" s="25"/>
      <c r="M205" s="26"/>
      <c r="N205" s="26"/>
      <c r="O205" s="26"/>
      <c r="P205" s="26"/>
      <c r="Q205" s="26"/>
      <c r="R205" s="26"/>
      <c r="S205" s="26"/>
      <c r="T205" s="26"/>
      <c r="U205" s="26"/>
      <c r="V205" s="18"/>
      <c r="W205" s="18"/>
      <c r="X205" s="26"/>
      <c r="Y205" s="18"/>
      <c r="Z205" s="18"/>
    </row>
    <row r="206" spans="1:26" ht="13.5" customHeight="1" x14ac:dyDescent="0.3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5"/>
      <c r="L206" s="25"/>
      <c r="M206" s="26"/>
      <c r="N206" s="26"/>
      <c r="O206" s="26"/>
      <c r="P206" s="26"/>
      <c r="Q206" s="26"/>
      <c r="R206" s="26"/>
      <c r="S206" s="26"/>
      <c r="T206" s="26"/>
      <c r="U206" s="26"/>
      <c r="V206" s="18"/>
      <c r="W206" s="18"/>
      <c r="X206" s="26"/>
      <c r="Y206" s="18"/>
      <c r="Z206" s="18"/>
    </row>
    <row r="207" spans="1:26" ht="13.5" customHeight="1" x14ac:dyDescent="0.3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5"/>
      <c r="L207" s="25"/>
      <c r="M207" s="26"/>
      <c r="N207" s="26"/>
      <c r="O207" s="26"/>
      <c r="P207" s="26"/>
      <c r="Q207" s="26"/>
      <c r="R207" s="26"/>
      <c r="S207" s="26"/>
      <c r="T207" s="26"/>
      <c r="U207" s="26"/>
      <c r="V207" s="18"/>
      <c r="W207" s="18"/>
      <c r="X207" s="26"/>
      <c r="Y207" s="18"/>
      <c r="Z207" s="18"/>
    </row>
    <row r="208" spans="1:26" ht="13.5" customHeight="1" x14ac:dyDescent="0.3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5"/>
      <c r="L208" s="25"/>
      <c r="M208" s="26"/>
      <c r="N208" s="26"/>
      <c r="O208" s="26"/>
      <c r="P208" s="26"/>
      <c r="Q208" s="26"/>
      <c r="R208" s="26"/>
      <c r="S208" s="26"/>
      <c r="T208" s="26"/>
      <c r="U208" s="26"/>
      <c r="V208" s="18"/>
      <c r="W208" s="18"/>
      <c r="X208" s="26"/>
      <c r="Y208" s="18"/>
      <c r="Z208" s="18"/>
    </row>
    <row r="209" spans="1:26" ht="13.5" customHeight="1" x14ac:dyDescent="0.3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5"/>
      <c r="L209" s="25"/>
      <c r="M209" s="26"/>
      <c r="N209" s="26"/>
      <c r="O209" s="26"/>
      <c r="P209" s="26"/>
      <c r="Q209" s="26"/>
      <c r="R209" s="26"/>
      <c r="S209" s="26"/>
      <c r="T209" s="26"/>
      <c r="U209" s="26"/>
      <c r="V209" s="18"/>
      <c r="W209" s="18"/>
      <c r="X209" s="26"/>
      <c r="Y209" s="18"/>
      <c r="Z209" s="18"/>
    </row>
    <row r="210" spans="1:26" ht="13.5" customHeight="1" x14ac:dyDescent="0.3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5"/>
      <c r="L210" s="25"/>
      <c r="M210" s="26"/>
      <c r="N210" s="26"/>
      <c r="O210" s="26"/>
      <c r="P210" s="26"/>
      <c r="Q210" s="26"/>
      <c r="R210" s="26"/>
      <c r="S210" s="26"/>
      <c r="T210" s="26"/>
      <c r="U210" s="26"/>
      <c r="V210" s="18"/>
      <c r="W210" s="18"/>
      <c r="X210" s="26"/>
      <c r="Y210" s="18"/>
      <c r="Z210" s="18"/>
    </row>
    <row r="211" spans="1:26" ht="13.5" customHeight="1" x14ac:dyDescent="0.3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5"/>
      <c r="L211" s="25"/>
      <c r="M211" s="26"/>
      <c r="N211" s="26"/>
      <c r="O211" s="26"/>
      <c r="P211" s="26"/>
      <c r="Q211" s="26"/>
      <c r="R211" s="26"/>
      <c r="S211" s="26"/>
      <c r="T211" s="26"/>
      <c r="U211" s="26"/>
      <c r="V211" s="18"/>
      <c r="W211" s="18"/>
      <c r="X211" s="26"/>
      <c r="Y211" s="18"/>
      <c r="Z211" s="18"/>
    </row>
    <row r="212" spans="1:26" ht="13.5" customHeight="1" x14ac:dyDescent="0.3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5"/>
      <c r="L212" s="25"/>
      <c r="M212" s="26"/>
      <c r="N212" s="26"/>
      <c r="O212" s="26"/>
      <c r="P212" s="26"/>
      <c r="Q212" s="26"/>
      <c r="R212" s="26"/>
      <c r="S212" s="26"/>
      <c r="T212" s="26"/>
      <c r="U212" s="26"/>
      <c r="V212" s="18"/>
      <c r="W212" s="18"/>
      <c r="X212" s="26"/>
      <c r="Y212" s="18"/>
      <c r="Z212" s="18"/>
    </row>
    <row r="213" spans="1:26" ht="13.5" customHeight="1" x14ac:dyDescent="0.3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5"/>
      <c r="L213" s="25"/>
      <c r="M213" s="26"/>
      <c r="N213" s="26"/>
      <c r="O213" s="26"/>
      <c r="P213" s="26"/>
      <c r="Q213" s="26"/>
      <c r="R213" s="26"/>
      <c r="S213" s="26"/>
      <c r="T213" s="26"/>
      <c r="U213" s="26"/>
      <c r="V213" s="18"/>
      <c r="W213" s="18"/>
      <c r="X213" s="26"/>
      <c r="Y213" s="18"/>
      <c r="Z213" s="18"/>
    </row>
    <row r="214" spans="1:26" ht="13.5" customHeight="1" x14ac:dyDescent="0.3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5"/>
      <c r="L214" s="25"/>
      <c r="M214" s="26"/>
      <c r="N214" s="26"/>
      <c r="O214" s="26"/>
      <c r="P214" s="26"/>
      <c r="Q214" s="26"/>
      <c r="R214" s="26"/>
      <c r="S214" s="26"/>
      <c r="T214" s="26"/>
      <c r="U214" s="26"/>
      <c r="V214" s="18"/>
      <c r="W214" s="18"/>
      <c r="X214" s="26"/>
      <c r="Y214" s="18"/>
      <c r="Z214" s="18"/>
    </row>
    <row r="215" spans="1:26" ht="13.5" customHeight="1" x14ac:dyDescent="0.3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5"/>
      <c r="L215" s="25"/>
      <c r="M215" s="26"/>
      <c r="N215" s="26"/>
      <c r="O215" s="26"/>
      <c r="P215" s="26"/>
      <c r="Q215" s="26"/>
      <c r="R215" s="26"/>
      <c r="S215" s="26"/>
      <c r="T215" s="26"/>
      <c r="U215" s="26"/>
      <c r="V215" s="18"/>
      <c r="W215" s="18"/>
      <c r="X215" s="26"/>
      <c r="Y215" s="18"/>
      <c r="Z215" s="18"/>
    </row>
    <row r="216" spans="1:26" ht="13.5" customHeight="1" x14ac:dyDescent="0.3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5"/>
      <c r="L216" s="25"/>
      <c r="M216" s="26"/>
      <c r="N216" s="26"/>
      <c r="O216" s="26"/>
      <c r="P216" s="26"/>
      <c r="Q216" s="26"/>
      <c r="R216" s="26"/>
      <c r="S216" s="26"/>
      <c r="T216" s="26"/>
      <c r="U216" s="26"/>
      <c r="V216" s="18"/>
      <c r="W216" s="18"/>
      <c r="X216" s="26"/>
      <c r="Y216" s="18"/>
      <c r="Z216" s="18"/>
    </row>
    <row r="217" spans="1:26" ht="13.5" customHeight="1" x14ac:dyDescent="0.3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5"/>
      <c r="L217" s="25"/>
      <c r="M217" s="26"/>
      <c r="N217" s="26"/>
      <c r="O217" s="26"/>
      <c r="P217" s="26"/>
      <c r="Q217" s="26"/>
      <c r="R217" s="26"/>
      <c r="S217" s="26"/>
      <c r="T217" s="26"/>
      <c r="U217" s="26"/>
      <c r="V217" s="18"/>
      <c r="W217" s="18"/>
      <c r="X217" s="26"/>
      <c r="Y217" s="18"/>
      <c r="Z217" s="18"/>
    </row>
    <row r="218" spans="1:26" ht="13.5" customHeight="1" x14ac:dyDescent="0.3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5"/>
      <c r="L218" s="25"/>
      <c r="M218" s="26"/>
      <c r="N218" s="26"/>
      <c r="O218" s="26"/>
      <c r="P218" s="26"/>
      <c r="Q218" s="26"/>
      <c r="R218" s="26"/>
      <c r="S218" s="26"/>
      <c r="T218" s="26"/>
      <c r="U218" s="26"/>
      <c r="V218" s="18"/>
      <c r="W218" s="18"/>
      <c r="X218" s="26"/>
      <c r="Y218" s="18"/>
      <c r="Z218" s="18"/>
    </row>
    <row r="219" spans="1:26" ht="13.5" customHeight="1" x14ac:dyDescent="0.3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5"/>
      <c r="L219" s="25"/>
      <c r="M219" s="26"/>
      <c r="N219" s="26"/>
      <c r="O219" s="26"/>
      <c r="P219" s="26"/>
      <c r="Q219" s="26"/>
      <c r="R219" s="26"/>
      <c r="S219" s="26"/>
      <c r="T219" s="26"/>
      <c r="U219" s="26"/>
      <c r="V219" s="18"/>
      <c r="W219" s="18"/>
      <c r="X219" s="26"/>
      <c r="Y219" s="18"/>
      <c r="Z219" s="18"/>
    </row>
    <row r="220" spans="1:26" ht="13.5" customHeight="1" x14ac:dyDescent="0.3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5"/>
      <c r="L220" s="25"/>
      <c r="M220" s="26"/>
      <c r="N220" s="26"/>
      <c r="O220" s="26"/>
      <c r="P220" s="26"/>
      <c r="Q220" s="26"/>
      <c r="R220" s="26"/>
      <c r="S220" s="26"/>
      <c r="T220" s="26"/>
      <c r="U220" s="26"/>
      <c r="V220" s="18"/>
      <c r="W220" s="18"/>
      <c r="X220" s="26"/>
      <c r="Y220" s="18"/>
      <c r="Z220" s="18"/>
    </row>
    <row r="221" spans="1:26" ht="15.75" customHeight="1" x14ac:dyDescent="0.35">
      <c r="A221" s="4"/>
      <c r="B221" s="4"/>
      <c r="F221" s="4"/>
      <c r="M221" s="4"/>
      <c r="N221" s="4"/>
      <c r="Q221" s="4"/>
      <c r="R221" s="4"/>
      <c r="U221" s="4"/>
    </row>
    <row r="222" spans="1:26" ht="15.75" customHeight="1" x14ac:dyDescent="0.35">
      <c r="A222" s="4"/>
      <c r="B222" s="4"/>
      <c r="F222" s="4"/>
      <c r="M222" s="4"/>
      <c r="N222" s="4"/>
      <c r="Q222" s="4"/>
      <c r="R222" s="4"/>
      <c r="U222" s="4"/>
    </row>
    <row r="223" spans="1:26" ht="15.75" customHeight="1" x14ac:dyDescent="0.35">
      <c r="A223" s="4"/>
      <c r="B223" s="4"/>
      <c r="F223" s="4"/>
      <c r="M223" s="4"/>
      <c r="N223" s="4"/>
      <c r="Q223" s="4"/>
      <c r="R223" s="4"/>
      <c r="U223" s="4"/>
    </row>
    <row r="224" spans="1:26" ht="15.75" customHeight="1" x14ac:dyDescent="0.35">
      <c r="A224" s="4"/>
      <c r="B224" s="4"/>
      <c r="F224" s="4"/>
      <c r="M224" s="4"/>
      <c r="N224" s="4"/>
      <c r="Q224" s="4"/>
      <c r="R224" s="4"/>
      <c r="U224" s="4"/>
    </row>
    <row r="225" spans="1:21" ht="15.75" customHeight="1" x14ac:dyDescent="0.35">
      <c r="A225" s="4"/>
      <c r="B225" s="4"/>
      <c r="F225" s="4"/>
      <c r="M225" s="4"/>
      <c r="N225" s="4"/>
      <c r="Q225" s="4"/>
      <c r="R225" s="4"/>
      <c r="U225" s="4"/>
    </row>
    <row r="226" spans="1:21" ht="15.75" customHeight="1" x14ac:dyDescent="0.35">
      <c r="A226" s="4"/>
      <c r="B226" s="4"/>
      <c r="F226" s="4"/>
      <c r="M226" s="4"/>
      <c r="N226" s="4"/>
      <c r="Q226" s="4"/>
      <c r="R226" s="4"/>
      <c r="U226" s="4"/>
    </row>
    <row r="227" spans="1:21" ht="15.75" customHeight="1" x14ac:dyDescent="0.35">
      <c r="A227" s="4"/>
      <c r="B227" s="4"/>
      <c r="F227" s="4"/>
      <c r="M227" s="4"/>
      <c r="N227" s="4"/>
      <c r="Q227" s="4"/>
      <c r="R227" s="4"/>
      <c r="U227" s="4"/>
    </row>
    <row r="228" spans="1:21" ht="15.75" customHeight="1" x14ac:dyDescent="0.35">
      <c r="A228" s="4"/>
      <c r="B228" s="4"/>
      <c r="F228" s="4"/>
      <c r="M228" s="4"/>
      <c r="N228" s="4"/>
      <c r="Q228" s="4"/>
      <c r="R228" s="4"/>
      <c r="U228" s="4"/>
    </row>
    <row r="229" spans="1:21" ht="15.75" customHeight="1" x14ac:dyDescent="0.35">
      <c r="A229" s="4"/>
      <c r="B229" s="4"/>
      <c r="F229" s="4"/>
      <c r="M229" s="4"/>
      <c r="N229" s="4"/>
      <c r="Q229" s="4"/>
      <c r="R229" s="4"/>
      <c r="U229" s="4"/>
    </row>
    <row r="230" spans="1:21" ht="15.75" customHeight="1" x14ac:dyDescent="0.35">
      <c r="A230" s="4"/>
      <c r="B230" s="4"/>
      <c r="F230" s="4"/>
      <c r="M230" s="4"/>
      <c r="N230" s="4"/>
      <c r="Q230" s="4"/>
      <c r="R230" s="4"/>
      <c r="U230" s="4"/>
    </row>
    <row r="231" spans="1:21" ht="15.75" customHeight="1" x14ac:dyDescent="0.35">
      <c r="A231" s="4"/>
      <c r="B231" s="4"/>
      <c r="F231" s="4"/>
      <c r="M231" s="4"/>
      <c r="N231" s="4"/>
      <c r="Q231" s="4"/>
      <c r="R231" s="4"/>
      <c r="U231" s="4"/>
    </row>
    <row r="232" spans="1:21" ht="15.75" customHeight="1" x14ac:dyDescent="0.35">
      <c r="A232" s="4"/>
      <c r="B232" s="4"/>
      <c r="F232" s="4"/>
      <c r="M232" s="4"/>
      <c r="N232" s="4"/>
      <c r="Q232" s="4"/>
      <c r="R232" s="4"/>
      <c r="U232" s="4"/>
    </row>
    <row r="233" spans="1:21" ht="15.75" customHeight="1" x14ac:dyDescent="0.35">
      <c r="A233" s="4"/>
      <c r="B233" s="4"/>
      <c r="F233" s="4"/>
      <c r="M233" s="4"/>
      <c r="N233" s="4"/>
      <c r="Q233" s="4"/>
      <c r="R233" s="4"/>
      <c r="U233" s="4"/>
    </row>
    <row r="234" spans="1:21" ht="15.75" customHeight="1" x14ac:dyDescent="0.35">
      <c r="A234" s="4"/>
      <c r="B234" s="4"/>
      <c r="F234" s="4"/>
      <c r="M234" s="4"/>
      <c r="N234" s="4"/>
      <c r="Q234" s="4"/>
      <c r="R234" s="4"/>
      <c r="U234" s="4"/>
    </row>
    <row r="235" spans="1:21" ht="15.75" customHeight="1" x14ac:dyDescent="0.35">
      <c r="A235" s="4"/>
      <c r="B235" s="4"/>
      <c r="F235" s="4"/>
      <c r="M235" s="4"/>
      <c r="N235" s="4"/>
      <c r="Q235" s="4"/>
      <c r="R235" s="4"/>
      <c r="U235" s="4"/>
    </row>
    <row r="236" spans="1:21" ht="15.75" customHeight="1" x14ac:dyDescent="0.35">
      <c r="A236" s="4"/>
      <c r="B236" s="4"/>
      <c r="F236" s="4"/>
      <c r="M236" s="4"/>
      <c r="N236" s="4"/>
      <c r="Q236" s="4"/>
      <c r="R236" s="4"/>
      <c r="U236" s="4"/>
    </row>
    <row r="237" spans="1:21" ht="15.75" customHeight="1" x14ac:dyDescent="0.35">
      <c r="A237" s="4"/>
      <c r="B237" s="4"/>
      <c r="F237" s="4"/>
      <c r="M237" s="4"/>
      <c r="N237" s="4"/>
      <c r="Q237" s="4"/>
      <c r="R237" s="4"/>
      <c r="U237" s="4"/>
    </row>
    <row r="238" spans="1:21" ht="15.75" customHeight="1" x14ac:dyDescent="0.35">
      <c r="A238" s="4"/>
      <c r="B238" s="4"/>
      <c r="F238" s="4"/>
      <c r="M238" s="4"/>
      <c r="N238" s="4"/>
      <c r="Q238" s="4"/>
      <c r="R238" s="4"/>
      <c r="U238" s="4"/>
    </row>
    <row r="239" spans="1:21" ht="15.75" customHeight="1" x14ac:dyDescent="0.35">
      <c r="A239" s="4"/>
      <c r="B239" s="4"/>
      <c r="F239" s="4"/>
      <c r="M239" s="4"/>
      <c r="N239" s="4"/>
      <c r="Q239" s="4"/>
      <c r="R239" s="4"/>
      <c r="U239" s="4"/>
    </row>
    <row r="240" spans="1:21" ht="15.75" customHeight="1" x14ac:dyDescent="0.35">
      <c r="A240" s="4"/>
      <c r="B240" s="4"/>
      <c r="F240" s="4"/>
      <c r="M240" s="4"/>
      <c r="N240" s="4"/>
      <c r="Q240" s="4"/>
      <c r="R240" s="4"/>
      <c r="U240" s="4"/>
    </row>
    <row r="241" spans="1:21" ht="15.75" customHeight="1" x14ac:dyDescent="0.35">
      <c r="A241" s="4"/>
      <c r="B241" s="4"/>
      <c r="F241" s="4"/>
      <c r="M241" s="4"/>
      <c r="N241" s="4"/>
      <c r="Q241" s="4"/>
      <c r="R241" s="4"/>
      <c r="U241" s="4"/>
    </row>
    <row r="242" spans="1:21" ht="15.75" customHeight="1" x14ac:dyDescent="0.35">
      <c r="A242" s="4"/>
      <c r="B242" s="4"/>
      <c r="F242" s="4"/>
      <c r="M242" s="4"/>
      <c r="N242" s="4"/>
      <c r="Q242" s="4"/>
      <c r="R242" s="4"/>
      <c r="U242" s="4"/>
    </row>
    <row r="243" spans="1:21" ht="15.75" customHeight="1" x14ac:dyDescent="0.35">
      <c r="A243" s="4"/>
      <c r="B243" s="4"/>
      <c r="F243" s="4"/>
      <c r="M243" s="4"/>
      <c r="N243" s="4"/>
      <c r="Q243" s="4"/>
      <c r="R243" s="4"/>
      <c r="U243" s="4"/>
    </row>
    <row r="244" spans="1:21" ht="15.75" customHeight="1" x14ac:dyDescent="0.35">
      <c r="A244" s="4"/>
      <c r="B244" s="4"/>
      <c r="F244" s="4"/>
      <c r="M244" s="4"/>
      <c r="N244" s="4"/>
      <c r="Q244" s="4"/>
      <c r="R244" s="4"/>
      <c r="U244" s="4"/>
    </row>
    <row r="245" spans="1:21" ht="15.75" customHeight="1" x14ac:dyDescent="0.35">
      <c r="A245" s="4"/>
      <c r="B245" s="4"/>
      <c r="F245" s="4"/>
      <c r="M245" s="4"/>
      <c r="N245" s="4"/>
      <c r="Q245" s="4"/>
      <c r="R245" s="4"/>
      <c r="U245" s="4"/>
    </row>
    <row r="246" spans="1:21" ht="15.75" customHeight="1" x14ac:dyDescent="0.35">
      <c r="A246" s="4"/>
      <c r="B246" s="4"/>
      <c r="F246" s="4"/>
      <c r="M246" s="4"/>
      <c r="N246" s="4"/>
      <c r="Q246" s="4"/>
      <c r="R246" s="4"/>
      <c r="U246" s="4"/>
    </row>
    <row r="247" spans="1:21" ht="15.75" customHeight="1" x14ac:dyDescent="0.35">
      <c r="A247" s="4"/>
      <c r="B247" s="4"/>
      <c r="F247" s="4"/>
      <c r="M247" s="4"/>
      <c r="N247" s="4"/>
      <c r="Q247" s="4"/>
      <c r="R247" s="4"/>
      <c r="U247" s="4"/>
    </row>
    <row r="248" spans="1:21" ht="15.75" customHeight="1" x14ac:dyDescent="0.35">
      <c r="A248" s="4"/>
      <c r="B248" s="4"/>
      <c r="F248" s="4"/>
      <c r="M248" s="4"/>
      <c r="N248" s="4"/>
      <c r="Q248" s="4"/>
      <c r="R248" s="4"/>
      <c r="U248" s="4"/>
    </row>
    <row r="249" spans="1:21" ht="15.75" customHeight="1" x14ac:dyDescent="0.35">
      <c r="A249" s="4"/>
      <c r="B249" s="4"/>
      <c r="F249" s="4"/>
      <c r="M249" s="4"/>
      <c r="N249" s="4"/>
      <c r="Q249" s="4"/>
      <c r="R249" s="4"/>
      <c r="U249" s="4"/>
    </row>
    <row r="250" spans="1:21" ht="15.75" customHeight="1" x14ac:dyDescent="0.35">
      <c r="A250" s="4"/>
      <c r="B250" s="4"/>
      <c r="F250" s="4"/>
      <c r="M250" s="4"/>
      <c r="N250" s="4"/>
      <c r="Q250" s="4"/>
      <c r="R250" s="4"/>
      <c r="U250" s="4"/>
    </row>
    <row r="251" spans="1:21" ht="15.75" customHeight="1" x14ac:dyDescent="0.35">
      <c r="A251" s="4"/>
      <c r="B251" s="4"/>
      <c r="F251" s="4"/>
      <c r="M251" s="4"/>
      <c r="N251" s="4"/>
      <c r="Q251" s="4"/>
      <c r="R251" s="4"/>
      <c r="U251" s="4"/>
    </row>
    <row r="252" spans="1:21" ht="15.75" customHeight="1" x14ac:dyDescent="0.35">
      <c r="A252" s="4"/>
      <c r="B252" s="4"/>
      <c r="F252" s="4"/>
      <c r="M252" s="4"/>
      <c r="N252" s="4"/>
      <c r="Q252" s="4"/>
      <c r="R252" s="4"/>
      <c r="U252" s="4"/>
    </row>
    <row r="253" spans="1:21" ht="15.75" customHeight="1" x14ac:dyDescent="0.35">
      <c r="A253" s="4"/>
      <c r="B253" s="4"/>
      <c r="F253" s="4"/>
      <c r="M253" s="4"/>
      <c r="N253" s="4"/>
      <c r="Q253" s="4"/>
      <c r="R253" s="4"/>
      <c r="U253" s="4"/>
    </row>
    <row r="254" spans="1:21" ht="15.75" customHeight="1" x14ac:dyDescent="0.35">
      <c r="A254" s="4"/>
      <c r="B254" s="4"/>
      <c r="F254" s="4"/>
      <c r="M254" s="4"/>
      <c r="N254" s="4"/>
      <c r="Q254" s="4"/>
      <c r="R254" s="4"/>
      <c r="U254" s="4"/>
    </row>
    <row r="255" spans="1:21" ht="15.75" customHeight="1" x14ac:dyDescent="0.35">
      <c r="A255" s="4"/>
      <c r="B255" s="4"/>
      <c r="F255" s="4"/>
      <c r="M255" s="4"/>
      <c r="N255" s="4"/>
      <c r="Q255" s="4"/>
      <c r="R255" s="4"/>
      <c r="U255" s="4"/>
    </row>
    <row r="256" spans="1:21" ht="15.75" customHeight="1" x14ac:dyDescent="0.35">
      <c r="A256" s="4"/>
      <c r="B256" s="4"/>
      <c r="F256" s="4"/>
      <c r="M256" s="4"/>
      <c r="N256" s="4"/>
      <c r="Q256" s="4"/>
      <c r="R256" s="4"/>
      <c r="U256" s="4"/>
    </row>
    <row r="257" spans="1:21" ht="15.75" customHeight="1" x14ac:dyDescent="0.35">
      <c r="A257" s="4"/>
      <c r="B257" s="4"/>
      <c r="F257" s="4"/>
      <c r="M257" s="4"/>
      <c r="N257" s="4"/>
      <c r="Q257" s="4"/>
      <c r="R257" s="4"/>
      <c r="U257" s="4"/>
    </row>
    <row r="258" spans="1:21" ht="15.75" customHeight="1" x14ac:dyDescent="0.35">
      <c r="A258" s="4"/>
      <c r="B258" s="4"/>
      <c r="F258" s="4"/>
      <c r="M258" s="4"/>
      <c r="N258" s="4"/>
      <c r="Q258" s="4"/>
      <c r="R258" s="4"/>
      <c r="U258" s="4"/>
    </row>
    <row r="259" spans="1:21" ht="15.75" customHeight="1" x14ac:dyDescent="0.35">
      <c r="A259" s="4"/>
      <c r="B259" s="4"/>
      <c r="F259" s="4"/>
      <c r="M259" s="4"/>
      <c r="N259" s="4"/>
      <c r="Q259" s="4"/>
      <c r="R259" s="4"/>
      <c r="U259" s="4"/>
    </row>
    <row r="260" spans="1:21" ht="15.75" customHeight="1" x14ac:dyDescent="0.35">
      <c r="A260" s="4"/>
      <c r="B260" s="4"/>
      <c r="F260" s="4"/>
      <c r="M260" s="4"/>
      <c r="N260" s="4"/>
      <c r="Q260" s="4"/>
      <c r="R260" s="4"/>
      <c r="U260" s="4"/>
    </row>
    <row r="261" spans="1:21" ht="15.75" customHeight="1" x14ac:dyDescent="0.35">
      <c r="A261" s="4"/>
      <c r="B261" s="4"/>
      <c r="F261" s="4"/>
      <c r="M261" s="4"/>
      <c r="N261" s="4"/>
      <c r="Q261" s="4"/>
      <c r="R261" s="4"/>
      <c r="U261" s="4"/>
    </row>
    <row r="262" spans="1:21" ht="15.75" customHeight="1" x14ac:dyDescent="0.35">
      <c r="A262" s="4"/>
      <c r="B262" s="4"/>
      <c r="F262" s="4"/>
      <c r="M262" s="4"/>
      <c r="N262" s="4"/>
      <c r="Q262" s="4"/>
      <c r="R262" s="4"/>
      <c r="U262" s="4"/>
    </row>
    <row r="263" spans="1:21" ht="15.75" customHeight="1" x14ac:dyDescent="0.35">
      <c r="A263" s="4"/>
      <c r="B263" s="4"/>
      <c r="F263" s="4"/>
      <c r="M263" s="4"/>
      <c r="N263" s="4"/>
      <c r="Q263" s="4"/>
      <c r="R263" s="4"/>
      <c r="U263" s="4"/>
    </row>
    <row r="264" spans="1:21" ht="15.75" customHeight="1" x14ac:dyDescent="0.35">
      <c r="A264" s="4"/>
      <c r="B264" s="4"/>
      <c r="F264" s="4"/>
      <c r="M264" s="4"/>
      <c r="N264" s="4"/>
      <c r="Q264" s="4"/>
      <c r="R264" s="4"/>
      <c r="U264" s="4"/>
    </row>
    <row r="265" spans="1:21" ht="15.75" customHeight="1" x14ac:dyDescent="0.35">
      <c r="A265" s="4"/>
      <c r="B265" s="4"/>
      <c r="F265" s="4"/>
      <c r="M265" s="4"/>
      <c r="N265" s="4"/>
      <c r="Q265" s="4"/>
      <c r="R265" s="4"/>
      <c r="U265" s="4"/>
    </row>
    <row r="266" spans="1:21" ht="15.75" customHeight="1" x14ac:dyDescent="0.35">
      <c r="A266" s="4"/>
      <c r="B266" s="4"/>
      <c r="F266" s="4"/>
      <c r="M266" s="4"/>
      <c r="N266" s="4"/>
      <c r="Q266" s="4"/>
      <c r="R266" s="4"/>
      <c r="U266" s="4"/>
    </row>
    <row r="267" spans="1:21" ht="15.75" customHeight="1" x14ac:dyDescent="0.35">
      <c r="A267" s="4"/>
      <c r="B267" s="4"/>
      <c r="F267" s="4"/>
      <c r="M267" s="4"/>
      <c r="N267" s="4"/>
      <c r="Q267" s="4"/>
      <c r="R267" s="4"/>
      <c r="U267" s="4"/>
    </row>
    <row r="268" spans="1:21" ht="15.75" customHeight="1" x14ac:dyDescent="0.35">
      <c r="A268" s="4"/>
      <c r="B268" s="4"/>
      <c r="F268" s="4"/>
      <c r="M268" s="4"/>
      <c r="N268" s="4"/>
      <c r="Q268" s="4"/>
      <c r="R268" s="4"/>
      <c r="U268" s="4"/>
    </row>
    <row r="269" spans="1:21" ht="15.75" customHeight="1" x14ac:dyDescent="0.35">
      <c r="A269" s="4"/>
      <c r="B269" s="4"/>
      <c r="F269" s="4"/>
      <c r="M269" s="4"/>
      <c r="N269" s="4"/>
      <c r="Q269" s="4"/>
      <c r="R269" s="4"/>
      <c r="U269" s="4"/>
    </row>
    <row r="270" spans="1:21" ht="15.75" customHeight="1" x14ac:dyDescent="0.35">
      <c r="A270" s="4"/>
      <c r="B270" s="4"/>
      <c r="F270" s="4"/>
      <c r="M270" s="4"/>
      <c r="N270" s="4"/>
      <c r="Q270" s="4"/>
      <c r="R270" s="4"/>
      <c r="U270" s="4"/>
    </row>
    <row r="271" spans="1:21" ht="15.75" customHeight="1" x14ac:dyDescent="0.35">
      <c r="A271" s="4"/>
      <c r="B271" s="4"/>
      <c r="F271" s="4"/>
      <c r="M271" s="4"/>
      <c r="N271" s="4"/>
      <c r="Q271" s="4"/>
      <c r="R271" s="4"/>
      <c r="U271" s="4"/>
    </row>
    <row r="272" spans="1:21" ht="15.75" customHeight="1" x14ac:dyDescent="0.35">
      <c r="A272" s="4"/>
      <c r="B272" s="4"/>
      <c r="F272" s="4"/>
      <c r="M272" s="4"/>
      <c r="N272" s="4"/>
      <c r="Q272" s="4"/>
      <c r="R272" s="4"/>
      <c r="U272" s="4"/>
    </row>
    <row r="273" spans="1:21" ht="15.75" customHeight="1" x14ac:dyDescent="0.35">
      <c r="A273" s="4"/>
      <c r="B273" s="4"/>
      <c r="F273" s="4"/>
      <c r="M273" s="4"/>
      <c r="N273" s="4"/>
      <c r="Q273" s="4"/>
      <c r="R273" s="4"/>
      <c r="U273" s="4"/>
    </row>
    <row r="274" spans="1:21" ht="15.75" customHeight="1" x14ac:dyDescent="0.35">
      <c r="A274" s="4"/>
      <c r="B274" s="4"/>
      <c r="F274" s="4"/>
      <c r="M274" s="4"/>
      <c r="N274" s="4"/>
      <c r="Q274" s="4"/>
      <c r="R274" s="4"/>
      <c r="U274" s="4"/>
    </row>
    <row r="275" spans="1:21" ht="15.75" customHeight="1" x14ac:dyDescent="0.35">
      <c r="A275" s="4"/>
      <c r="B275" s="4"/>
      <c r="F275" s="4"/>
      <c r="M275" s="4"/>
      <c r="N275" s="4"/>
      <c r="Q275" s="4"/>
      <c r="R275" s="4"/>
      <c r="U275" s="4"/>
    </row>
    <row r="276" spans="1:21" ht="15.75" customHeight="1" x14ac:dyDescent="0.35">
      <c r="A276" s="4"/>
      <c r="B276" s="4"/>
      <c r="F276" s="4"/>
      <c r="M276" s="4"/>
      <c r="N276" s="4"/>
      <c r="Q276" s="4"/>
      <c r="R276" s="4"/>
      <c r="U276" s="4"/>
    </row>
    <row r="277" spans="1:21" ht="15.75" customHeight="1" x14ac:dyDescent="0.35">
      <c r="A277" s="4"/>
      <c r="B277" s="4"/>
      <c r="F277" s="4"/>
      <c r="M277" s="4"/>
      <c r="N277" s="4"/>
      <c r="Q277" s="4"/>
      <c r="R277" s="4"/>
      <c r="U277" s="4"/>
    </row>
    <row r="278" spans="1:21" ht="15.75" customHeight="1" x14ac:dyDescent="0.35">
      <c r="A278" s="4"/>
      <c r="B278" s="4"/>
      <c r="F278" s="4"/>
      <c r="M278" s="4"/>
      <c r="N278" s="4"/>
      <c r="Q278" s="4"/>
      <c r="R278" s="4"/>
      <c r="U278" s="4"/>
    </row>
    <row r="279" spans="1:21" ht="15.75" customHeight="1" x14ac:dyDescent="0.35">
      <c r="A279" s="4"/>
      <c r="B279" s="4"/>
      <c r="F279" s="4"/>
      <c r="M279" s="4"/>
      <c r="N279" s="4"/>
      <c r="Q279" s="4"/>
      <c r="R279" s="4"/>
      <c r="U279" s="4"/>
    </row>
    <row r="280" spans="1:21" ht="15.75" customHeight="1" x14ac:dyDescent="0.35">
      <c r="A280" s="4"/>
      <c r="B280" s="4"/>
      <c r="F280" s="4"/>
      <c r="M280" s="4"/>
      <c r="N280" s="4"/>
      <c r="Q280" s="4"/>
      <c r="R280" s="4"/>
      <c r="U280" s="4"/>
    </row>
    <row r="281" spans="1:21" ht="15.75" customHeight="1" x14ac:dyDescent="0.35">
      <c r="A281" s="4"/>
      <c r="B281" s="4"/>
      <c r="F281" s="4"/>
      <c r="M281" s="4"/>
      <c r="N281" s="4"/>
      <c r="Q281" s="4"/>
      <c r="R281" s="4"/>
      <c r="U281" s="4"/>
    </row>
    <row r="282" spans="1:21" ht="15.75" customHeight="1" x14ac:dyDescent="0.35">
      <c r="A282" s="4"/>
      <c r="B282" s="4"/>
      <c r="F282" s="4"/>
      <c r="M282" s="4"/>
      <c r="N282" s="4"/>
      <c r="Q282" s="4"/>
      <c r="R282" s="4"/>
      <c r="U282" s="4"/>
    </row>
    <row r="283" spans="1:21" ht="15.75" customHeight="1" x14ac:dyDescent="0.35">
      <c r="A283" s="4"/>
      <c r="B283" s="4"/>
      <c r="F283" s="4"/>
      <c r="M283" s="4"/>
      <c r="N283" s="4"/>
      <c r="Q283" s="4"/>
      <c r="R283" s="4"/>
      <c r="U283" s="4"/>
    </row>
    <row r="284" spans="1:21" ht="15.75" customHeight="1" x14ac:dyDescent="0.35">
      <c r="A284" s="4"/>
      <c r="B284" s="4"/>
      <c r="F284" s="4"/>
      <c r="M284" s="4"/>
      <c r="N284" s="4"/>
      <c r="Q284" s="4"/>
      <c r="R284" s="4"/>
      <c r="U284" s="4"/>
    </row>
    <row r="285" spans="1:21" ht="15.75" customHeight="1" x14ac:dyDescent="0.35">
      <c r="A285" s="4"/>
      <c r="B285" s="4"/>
      <c r="F285" s="4"/>
      <c r="M285" s="4"/>
      <c r="N285" s="4"/>
      <c r="Q285" s="4"/>
      <c r="R285" s="4"/>
      <c r="U285" s="4"/>
    </row>
    <row r="286" spans="1:21" ht="15.75" customHeight="1" x14ac:dyDescent="0.35">
      <c r="A286" s="4"/>
      <c r="B286" s="4"/>
      <c r="F286" s="4"/>
      <c r="M286" s="4"/>
      <c r="N286" s="4"/>
      <c r="Q286" s="4"/>
      <c r="R286" s="4"/>
      <c r="U286" s="4"/>
    </row>
    <row r="287" spans="1:21" ht="15.75" customHeight="1" x14ac:dyDescent="0.35">
      <c r="A287" s="4"/>
      <c r="B287" s="4"/>
      <c r="F287" s="4"/>
      <c r="M287" s="4"/>
      <c r="N287" s="4"/>
      <c r="Q287" s="4"/>
      <c r="R287" s="4"/>
      <c r="U287" s="4"/>
    </row>
    <row r="288" spans="1:21" ht="15.75" customHeight="1" x14ac:dyDescent="0.35">
      <c r="A288" s="4"/>
      <c r="B288" s="4"/>
      <c r="F288" s="4"/>
      <c r="M288" s="4"/>
      <c r="N288" s="4"/>
      <c r="Q288" s="4"/>
      <c r="R288" s="4"/>
      <c r="U288" s="4"/>
    </row>
    <row r="289" spans="1:21" ht="15.75" customHeight="1" x14ac:dyDescent="0.35">
      <c r="A289" s="4"/>
      <c r="B289" s="4"/>
      <c r="F289" s="4"/>
      <c r="M289" s="4"/>
      <c r="N289" s="4"/>
      <c r="Q289" s="4"/>
      <c r="R289" s="4"/>
      <c r="U289" s="4"/>
    </row>
    <row r="290" spans="1:21" ht="15.75" customHeight="1" x14ac:dyDescent="0.35">
      <c r="A290" s="4"/>
      <c r="B290" s="4"/>
      <c r="F290" s="4"/>
      <c r="M290" s="4"/>
      <c r="N290" s="4"/>
      <c r="Q290" s="4"/>
      <c r="R290" s="4"/>
      <c r="U290" s="4"/>
    </row>
    <row r="291" spans="1:21" ht="15.75" customHeight="1" x14ac:dyDescent="0.35">
      <c r="A291" s="4"/>
      <c r="B291" s="4"/>
      <c r="F291" s="4"/>
      <c r="M291" s="4"/>
      <c r="N291" s="4"/>
      <c r="Q291" s="4"/>
      <c r="R291" s="4"/>
      <c r="U291" s="4"/>
    </row>
    <row r="292" spans="1:21" ht="15.75" customHeight="1" x14ac:dyDescent="0.35">
      <c r="A292" s="4"/>
      <c r="B292" s="4"/>
      <c r="F292" s="4"/>
      <c r="M292" s="4"/>
      <c r="N292" s="4"/>
      <c r="Q292" s="4"/>
      <c r="R292" s="4"/>
      <c r="U292" s="4"/>
    </row>
    <row r="293" spans="1:21" ht="15.75" customHeight="1" x14ac:dyDescent="0.35">
      <c r="A293" s="4"/>
      <c r="B293" s="4"/>
      <c r="F293" s="4"/>
      <c r="M293" s="4"/>
      <c r="N293" s="4"/>
      <c r="Q293" s="4"/>
      <c r="R293" s="4"/>
      <c r="U293" s="4"/>
    </row>
    <row r="294" spans="1:21" ht="15.75" customHeight="1" x14ac:dyDescent="0.35">
      <c r="A294" s="4"/>
      <c r="B294" s="4"/>
      <c r="F294" s="4"/>
      <c r="M294" s="4"/>
      <c r="N294" s="4"/>
      <c r="Q294" s="4"/>
      <c r="R294" s="4"/>
      <c r="U294" s="4"/>
    </row>
    <row r="295" spans="1:21" ht="15.75" customHeight="1" x14ac:dyDescent="0.35">
      <c r="A295" s="4"/>
      <c r="B295" s="4"/>
      <c r="F295" s="4"/>
      <c r="M295" s="4"/>
      <c r="N295" s="4"/>
      <c r="Q295" s="4"/>
      <c r="R295" s="4"/>
      <c r="U295" s="4"/>
    </row>
    <row r="296" spans="1:21" ht="15.75" customHeight="1" x14ac:dyDescent="0.35">
      <c r="A296" s="4"/>
      <c r="B296" s="4"/>
      <c r="F296" s="4"/>
      <c r="M296" s="4"/>
      <c r="N296" s="4"/>
      <c r="Q296" s="4"/>
      <c r="R296" s="4"/>
      <c r="U296" s="4"/>
    </row>
    <row r="297" spans="1:21" ht="15.75" customHeight="1" x14ac:dyDescent="0.35">
      <c r="A297" s="4"/>
      <c r="B297" s="4"/>
      <c r="F297" s="4"/>
      <c r="M297" s="4"/>
      <c r="N297" s="4"/>
      <c r="Q297" s="4"/>
      <c r="R297" s="4"/>
      <c r="U297" s="4"/>
    </row>
    <row r="298" spans="1:21" ht="15.75" customHeight="1" x14ac:dyDescent="0.35">
      <c r="A298" s="4"/>
      <c r="B298" s="4"/>
      <c r="F298" s="4"/>
      <c r="M298" s="4"/>
      <c r="N298" s="4"/>
      <c r="Q298" s="4"/>
      <c r="R298" s="4"/>
      <c r="U298" s="4"/>
    </row>
    <row r="299" spans="1:21" ht="15.75" customHeight="1" x14ac:dyDescent="0.35">
      <c r="A299" s="4"/>
      <c r="B299" s="4"/>
      <c r="F299" s="4"/>
      <c r="M299" s="4"/>
      <c r="N299" s="4"/>
      <c r="Q299" s="4"/>
      <c r="R299" s="4"/>
      <c r="U299" s="4"/>
    </row>
    <row r="300" spans="1:21" ht="15.75" customHeight="1" x14ac:dyDescent="0.35">
      <c r="A300" s="4"/>
      <c r="B300" s="4"/>
      <c r="F300" s="4"/>
      <c r="M300" s="4"/>
      <c r="N300" s="4"/>
      <c r="Q300" s="4"/>
      <c r="R300" s="4"/>
      <c r="U300" s="4"/>
    </row>
    <row r="301" spans="1:21" ht="15.75" customHeight="1" x14ac:dyDescent="0.35">
      <c r="A301" s="4"/>
      <c r="B301" s="4"/>
      <c r="F301" s="4"/>
      <c r="M301" s="4"/>
      <c r="N301" s="4"/>
      <c r="Q301" s="4"/>
      <c r="R301" s="4"/>
      <c r="U301" s="4"/>
    </row>
    <row r="302" spans="1:21" ht="15.75" customHeight="1" x14ac:dyDescent="0.35">
      <c r="A302" s="4"/>
      <c r="B302" s="4"/>
      <c r="F302" s="4"/>
      <c r="M302" s="4"/>
      <c r="N302" s="4"/>
      <c r="Q302" s="4"/>
      <c r="R302" s="4"/>
      <c r="U302" s="4"/>
    </row>
    <row r="303" spans="1:21" ht="15.75" customHeight="1" x14ac:dyDescent="0.35">
      <c r="A303" s="4"/>
      <c r="B303" s="4"/>
      <c r="F303" s="4"/>
      <c r="M303" s="4"/>
      <c r="N303" s="4"/>
      <c r="Q303" s="4"/>
      <c r="R303" s="4"/>
      <c r="U303" s="4"/>
    </row>
    <row r="304" spans="1:21" ht="15.75" customHeight="1" x14ac:dyDescent="0.35">
      <c r="A304" s="4"/>
      <c r="B304" s="4"/>
      <c r="F304" s="4"/>
      <c r="M304" s="4"/>
      <c r="N304" s="4"/>
      <c r="Q304" s="4"/>
      <c r="R304" s="4"/>
      <c r="U304" s="4"/>
    </row>
    <row r="305" spans="1:21" ht="15.75" customHeight="1" x14ac:dyDescent="0.35">
      <c r="A305" s="4"/>
      <c r="B305" s="4"/>
      <c r="F305" s="4"/>
      <c r="M305" s="4"/>
      <c r="N305" s="4"/>
      <c r="Q305" s="4"/>
      <c r="R305" s="4"/>
      <c r="U305" s="4"/>
    </row>
    <row r="306" spans="1:21" ht="15.75" customHeight="1" x14ac:dyDescent="0.35">
      <c r="A306" s="4"/>
      <c r="B306" s="4"/>
      <c r="F306" s="4"/>
      <c r="M306" s="4"/>
      <c r="N306" s="4"/>
      <c r="Q306" s="4"/>
      <c r="R306" s="4"/>
      <c r="U306" s="4"/>
    </row>
    <row r="307" spans="1:21" ht="15.75" customHeight="1" x14ac:dyDescent="0.35">
      <c r="A307" s="4"/>
      <c r="B307" s="4"/>
      <c r="F307" s="4"/>
      <c r="M307" s="4"/>
      <c r="N307" s="4"/>
      <c r="Q307" s="4"/>
      <c r="R307" s="4"/>
      <c r="U307" s="4"/>
    </row>
    <row r="308" spans="1:21" ht="15.75" customHeight="1" x14ac:dyDescent="0.35">
      <c r="A308" s="4"/>
      <c r="B308" s="4"/>
      <c r="F308" s="4"/>
      <c r="M308" s="4"/>
      <c r="N308" s="4"/>
      <c r="Q308" s="4"/>
      <c r="R308" s="4"/>
      <c r="U308" s="4"/>
    </row>
    <row r="309" spans="1:21" ht="15.75" customHeight="1" x14ac:dyDescent="0.35">
      <c r="A309" s="4"/>
      <c r="B309" s="4"/>
      <c r="F309" s="4"/>
      <c r="M309" s="4"/>
      <c r="N309" s="4"/>
      <c r="Q309" s="4"/>
      <c r="R309" s="4"/>
      <c r="U309" s="4"/>
    </row>
    <row r="310" spans="1:21" ht="15.75" customHeight="1" x14ac:dyDescent="0.35">
      <c r="A310" s="4"/>
      <c r="B310" s="4"/>
      <c r="F310" s="4"/>
      <c r="M310" s="4"/>
      <c r="N310" s="4"/>
      <c r="Q310" s="4"/>
      <c r="R310" s="4"/>
      <c r="U310" s="4"/>
    </row>
    <row r="311" spans="1:21" ht="15.75" customHeight="1" x14ac:dyDescent="0.35">
      <c r="A311" s="4"/>
      <c r="B311" s="4"/>
      <c r="F311" s="4"/>
      <c r="M311" s="4"/>
      <c r="N311" s="4"/>
      <c r="Q311" s="4"/>
      <c r="R311" s="4"/>
      <c r="U311" s="4"/>
    </row>
    <row r="312" spans="1:21" ht="15.75" customHeight="1" x14ac:dyDescent="0.35">
      <c r="A312" s="4"/>
      <c r="B312" s="4"/>
      <c r="F312" s="4"/>
      <c r="M312" s="4"/>
      <c r="N312" s="4"/>
      <c r="Q312" s="4"/>
      <c r="R312" s="4"/>
      <c r="U312" s="4"/>
    </row>
    <row r="313" spans="1:21" ht="15.75" customHeight="1" x14ac:dyDescent="0.35">
      <c r="A313" s="4"/>
      <c r="B313" s="4"/>
      <c r="F313" s="4"/>
      <c r="M313" s="4"/>
      <c r="N313" s="4"/>
      <c r="Q313" s="4"/>
      <c r="R313" s="4"/>
      <c r="U313" s="4"/>
    </row>
    <row r="314" spans="1:21" ht="15.75" customHeight="1" x14ac:dyDescent="0.35">
      <c r="A314" s="4"/>
      <c r="B314" s="4"/>
      <c r="F314" s="4"/>
      <c r="M314" s="4"/>
      <c r="N314" s="4"/>
      <c r="Q314" s="4"/>
      <c r="R314" s="4"/>
      <c r="U314" s="4"/>
    </row>
    <row r="315" spans="1:21" ht="15.75" customHeight="1" x14ac:dyDescent="0.35">
      <c r="A315" s="4"/>
      <c r="B315" s="4"/>
      <c r="F315" s="4"/>
      <c r="M315" s="4"/>
      <c r="N315" s="4"/>
      <c r="Q315" s="4"/>
      <c r="R315" s="4"/>
      <c r="U315" s="4"/>
    </row>
    <row r="316" spans="1:21" ht="15.75" customHeight="1" x14ac:dyDescent="0.35">
      <c r="A316" s="4"/>
      <c r="B316" s="4"/>
      <c r="F316" s="4"/>
      <c r="M316" s="4"/>
      <c r="N316" s="4"/>
      <c r="Q316" s="4"/>
      <c r="R316" s="4"/>
      <c r="U316" s="4"/>
    </row>
    <row r="317" spans="1:21" ht="15.75" customHeight="1" x14ac:dyDescent="0.35">
      <c r="A317" s="4"/>
      <c r="B317" s="4"/>
      <c r="F317" s="4"/>
      <c r="M317" s="4"/>
      <c r="N317" s="4"/>
      <c r="Q317" s="4"/>
      <c r="R317" s="4"/>
      <c r="U317" s="4"/>
    </row>
    <row r="318" spans="1:21" ht="15.75" customHeight="1" x14ac:dyDescent="0.35">
      <c r="A318" s="4"/>
      <c r="B318" s="4"/>
      <c r="F318" s="4"/>
      <c r="M318" s="4"/>
      <c r="N318" s="4"/>
      <c r="Q318" s="4"/>
      <c r="R318" s="4"/>
      <c r="U318" s="4"/>
    </row>
    <row r="319" spans="1:21" ht="15.75" customHeight="1" x14ac:dyDescent="0.35">
      <c r="A319" s="4"/>
      <c r="B319" s="4"/>
      <c r="F319" s="4"/>
      <c r="M319" s="4"/>
      <c r="N319" s="4"/>
      <c r="Q319" s="4"/>
      <c r="R319" s="4"/>
      <c r="U319" s="4"/>
    </row>
    <row r="320" spans="1:21" ht="15.75" customHeight="1" x14ac:dyDescent="0.35">
      <c r="A320" s="4"/>
      <c r="B320" s="4"/>
      <c r="F320" s="4"/>
      <c r="M320" s="4"/>
      <c r="N320" s="4"/>
      <c r="Q320" s="4"/>
      <c r="R320" s="4"/>
      <c r="U320" s="4"/>
    </row>
    <row r="321" spans="1:21" ht="15.75" customHeight="1" x14ac:dyDescent="0.35">
      <c r="A321" s="4"/>
      <c r="B321" s="4"/>
      <c r="F321" s="4"/>
      <c r="M321" s="4"/>
      <c r="N321" s="4"/>
      <c r="Q321" s="4"/>
      <c r="R321" s="4"/>
      <c r="U321" s="4"/>
    </row>
    <row r="322" spans="1:21" ht="15.75" customHeight="1" x14ac:dyDescent="0.35">
      <c r="A322" s="4"/>
      <c r="B322" s="4"/>
      <c r="F322" s="4"/>
      <c r="M322" s="4"/>
      <c r="N322" s="4"/>
      <c r="Q322" s="4"/>
      <c r="R322" s="4"/>
      <c r="U322" s="4"/>
    </row>
    <row r="323" spans="1:21" ht="15.75" customHeight="1" x14ac:dyDescent="0.35">
      <c r="A323" s="4"/>
      <c r="B323" s="4"/>
      <c r="F323" s="4"/>
      <c r="M323" s="4"/>
      <c r="N323" s="4"/>
      <c r="Q323" s="4"/>
      <c r="R323" s="4"/>
      <c r="U323" s="4"/>
    </row>
    <row r="324" spans="1:21" ht="15.75" customHeight="1" x14ac:dyDescent="0.35">
      <c r="A324" s="4"/>
      <c r="B324" s="4"/>
      <c r="F324" s="4"/>
      <c r="M324" s="4"/>
      <c r="N324" s="4"/>
      <c r="Q324" s="4"/>
      <c r="R324" s="4"/>
      <c r="U324" s="4"/>
    </row>
    <row r="325" spans="1:21" ht="15.75" customHeight="1" x14ac:dyDescent="0.35">
      <c r="A325" s="4"/>
      <c r="B325" s="4"/>
      <c r="F325" s="4"/>
      <c r="M325" s="4"/>
      <c r="N325" s="4"/>
      <c r="Q325" s="4"/>
      <c r="R325" s="4"/>
      <c r="U325" s="4"/>
    </row>
    <row r="326" spans="1:21" ht="15.75" customHeight="1" x14ac:dyDescent="0.35">
      <c r="A326" s="4"/>
      <c r="B326" s="4"/>
      <c r="F326" s="4"/>
      <c r="M326" s="4"/>
      <c r="N326" s="4"/>
      <c r="Q326" s="4"/>
      <c r="R326" s="4"/>
      <c r="U326" s="4"/>
    </row>
    <row r="327" spans="1:21" ht="15.75" customHeight="1" x14ac:dyDescent="0.35">
      <c r="A327" s="4"/>
      <c r="B327" s="4"/>
      <c r="F327" s="4"/>
      <c r="M327" s="4"/>
      <c r="N327" s="4"/>
      <c r="Q327" s="4"/>
      <c r="R327" s="4"/>
      <c r="U327" s="4"/>
    </row>
    <row r="328" spans="1:21" ht="15.75" customHeight="1" x14ac:dyDescent="0.35">
      <c r="A328" s="4"/>
      <c r="B328" s="4"/>
      <c r="F328" s="4"/>
      <c r="M328" s="4"/>
      <c r="N328" s="4"/>
      <c r="Q328" s="4"/>
      <c r="R328" s="4"/>
      <c r="U328" s="4"/>
    </row>
    <row r="329" spans="1:21" ht="15.75" customHeight="1" x14ac:dyDescent="0.35">
      <c r="A329" s="4"/>
      <c r="B329" s="4"/>
      <c r="F329" s="4"/>
      <c r="M329" s="4"/>
      <c r="N329" s="4"/>
      <c r="Q329" s="4"/>
      <c r="R329" s="4"/>
      <c r="U329" s="4"/>
    </row>
    <row r="330" spans="1:21" ht="15.75" customHeight="1" x14ac:dyDescent="0.35">
      <c r="A330" s="4"/>
      <c r="B330" s="4"/>
      <c r="F330" s="4"/>
      <c r="M330" s="4"/>
      <c r="N330" s="4"/>
      <c r="Q330" s="4"/>
      <c r="R330" s="4"/>
      <c r="U330" s="4"/>
    </row>
    <row r="331" spans="1:21" ht="15.75" customHeight="1" x14ac:dyDescent="0.35">
      <c r="A331" s="4"/>
      <c r="B331" s="4"/>
      <c r="F331" s="4"/>
      <c r="M331" s="4"/>
      <c r="N331" s="4"/>
      <c r="Q331" s="4"/>
      <c r="R331" s="4"/>
      <c r="U331" s="4"/>
    </row>
    <row r="332" spans="1:21" ht="15.75" customHeight="1" x14ac:dyDescent="0.35">
      <c r="A332" s="4"/>
      <c r="B332" s="4"/>
      <c r="F332" s="4"/>
      <c r="M332" s="4"/>
      <c r="N332" s="4"/>
      <c r="Q332" s="4"/>
      <c r="R332" s="4"/>
      <c r="U332" s="4"/>
    </row>
    <row r="333" spans="1:21" ht="15.75" customHeight="1" x14ac:dyDescent="0.35">
      <c r="A333" s="4"/>
      <c r="B333" s="4"/>
      <c r="F333" s="4"/>
      <c r="M333" s="4"/>
      <c r="N333" s="4"/>
      <c r="Q333" s="4"/>
      <c r="R333" s="4"/>
      <c r="U333" s="4"/>
    </row>
    <row r="334" spans="1:21" ht="15.75" customHeight="1" x14ac:dyDescent="0.35">
      <c r="A334" s="4"/>
      <c r="B334" s="4"/>
      <c r="F334" s="4"/>
      <c r="M334" s="4"/>
      <c r="N334" s="4"/>
      <c r="Q334" s="4"/>
      <c r="R334" s="4"/>
      <c r="U334" s="4"/>
    </row>
    <row r="335" spans="1:21" ht="15.75" customHeight="1" x14ac:dyDescent="0.35">
      <c r="A335" s="4"/>
      <c r="B335" s="4"/>
      <c r="F335" s="4"/>
      <c r="M335" s="4"/>
      <c r="N335" s="4"/>
      <c r="Q335" s="4"/>
      <c r="R335" s="4"/>
      <c r="U335" s="4"/>
    </row>
    <row r="336" spans="1:21" ht="15.75" customHeight="1" x14ac:dyDescent="0.35">
      <c r="A336" s="4"/>
      <c r="B336" s="4"/>
      <c r="F336" s="4"/>
      <c r="M336" s="4"/>
      <c r="N336" s="4"/>
      <c r="Q336" s="4"/>
      <c r="R336" s="4"/>
      <c r="U336" s="4"/>
    </row>
    <row r="337" spans="1:21" ht="15.75" customHeight="1" x14ac:dyDescent="0.35">
      <c r="A337" s="4"/>
      <c r="B337" s="4"/>
      <c r="F337" s="4"/>
      <c r="M337" s="4"/>
      <c r="N337" s="4"/>
      <c r="Q337" s="4"/>
      <c r="R337" s="4"/>
      <c r="U337" s="4"/>
    </row>
    <row r="338" spans="1:21" ht="15.75" customHeight="1" x14ac:dyDescent="0.35">
      <c r="A338" s="4"/>
      <c r="B338" s="4"/>
      <c r="F338" s="4"/>
      <c r="M338" s="4"/>
      <c r="N338" s="4"/>
      <c r="Q338" s="4"/>
      <c r="R338" s="4"/>
      <c r="U338" s="4"/>
    </row>
    <row r="339" spans="1:21" ht="15.75" customHeight="1" x14ac:dyDescent="0.35">
      <c r="A339" s="4"/>
      <c r="B339" s="4"/>
      <c r="F339" s="4"/>
      <c r="M339" s="4"/>
      <c r="N339" s="4"/>
      <c r="Q339" s="4"/>
      <c r="R339" s="4"/>
      <c r="U339" s="4"/>
    </row>
    <row r="340" spans="1:21" ht="15.75" customHeight="1" x14ac:dyDescent="0.35">
      <c r="A340" s="4"/>
      <c r="B340" s="4"/>
      <c r="F340" s="4"/>
      <c r="M340" s="4"/>
      <c r="N340" s="4"/>
      <c r="Q340" s="4"/>
      <c r="R340" s="4"/>
      <c r="U340" s="4"/>
    </row>
    <row r="341" spans="1:21" ht="15.75" customHeight="1" x14ac:dyDescent="0.35">
      <c r="A341" s="4"/>
      <c r="B341" s="4"/>
      <c r="F341" s="4"/>
      <c r="M341" s="4"/>
      <c r="N341" s="4"/>
      <c r="Q341" s="4"/>
      <c r="R341" s="4"/>
      <c r="U341" s="4"/>
    </row>
    <row r="342" spans="1:21" ht="15.75" customHeight="1" x14ac:dyDescent="0.35">
      <c r="A342" s="4"/>
      <c r="B342" s="4"/>
      <c r="F342" s="4"/>
      <c r="M342" s="4"/>
      <c r="N342" s="4"/>
      <c r="Q342" s="4"/>
      <c r="R342" s="4"/>
      <c r="U342" s="4"/>
    </row>
    <row r="343" spans="1:21" ht="15.75" customHeight="1" x14ac:dyDescent="0.35">
      <c r="A343" s="4"/>
      <c r="B343" s="4"/>
      <c r="F343" s="4"/>
      <c r="M343" s="4"/>
      <c r="N343" s="4"/>
      <c r="Q343" s="4"/>
      <c r="R343" s="4"/>
      <c r="U343" s="4"/>
    </row>
    <row r="344" spans="1:21" ht="15.75" customHeight="1" x14ac:dyDescent="0.35">
      <c r="A344" s="4"/>
      <c r="B344" s="4"/>
      <c r="F344" s="4"/>
      <c r="M344" s="4"/>
      <c r="N344" s="4"/>
      <c r="Q344" s="4"/>
      <c r="R344" s="4"/>
      <c r="U344" s="4"/>
    </row>
    <row r="345" spans="1:21" ht="15.75" customHeight="1" x14ac:dyDescent="0.35">
      <c r="A345" s="4"/>
      <c r="B345" s="4"/>
      <c r="F345" s="4"/>
      <c r="M345" s="4"/>
      <c r="N345" s="4"/>
      <c r="Q345" s="4"/>
      <c r="R345" s="4"/>
      <c r="U345" s="4"/>
    </row>
    <row r="346" spans="1:21" ht="15.75" customHeight="1" x14ac:dyDescent="0.35">
      <c r="A346" s="4"/>
      <c r="B346" s="4"/>
      <c r="F346" s="4"/>
      <c r="M346" s="4"/>
      <c r="N346" s="4"/>
      <c r="Q346" s="4"/>
      <c r="R346" s="4"/>
      <c r="U346" s="4"/>
    </row>
    <row r="347" spans="1:21" ht="15.75" customHeight="1" x14ac:dyDescent="0.35">
      <c r="A347" s="4"/>
      <c r="B347" s="4"/>
      <c r="F347" s="4"/>
      <c r="M347" s="4"/>
      <c r="N347" s="4"/>
      <c r="Q347" s="4"/>
      <c r="R347" s="4"/>
      <c r="U347" s="4"/>
    </row>
    <row r="348" spans="1:21" ht="15.75" customHeight="1" x14ac:dyDescent="0.35">
      <c r="A348" s="4"/>
      <c r="B348" s="4"/>
      <c r="F348" s="4"/>
      <c r="M348" s="4"/>
      <c r="N348" s="4"/>
      <c r="Q348" s="4"/>
      <c r="R348" s="4"/>
      <c r="U348" s="4"/>
    </row>
    <row r="349" spans="1:21" ht="15.75" customHeight="1" x14ac:dyDescent="0.35">
      <c r="A349" s="4"/>
      <c r="B349" s="4"/>
      <c r="F349" s="4"/>
      <c r="M349" s="4"/>
      <c r="N349" s="4"/>
      <c r="Q349" s="4"/>
      <c r="R349" s="4"/>
      <c r="U349" s="4"/>
    </row>
    <row r="350" spans="1:21" ht="15.75" customHeight="1" x14ac:dyDescent="0.35">
      <c r="A350" s="4"/>
      <c r="B350" s="4"/>
      <c r="F350" s="4"/>
      <c r="M350" s="4"/>
      <c r="N350" s="4"/>
      <c r="Q350" s="4"/>
      <c r="R350" s="4"/>
      <c r="U350" s="4"/>
    </row>
    <row r="351" spans="1:21" ht="15.75" customHeight="1" x14ac:dyDescent="0.35">
      <c r="A351" s="4"/>
      <c r="B351" s="4"/>
      <c r="F351" s="4"/>
      <c r="M351" s="4"/>
      <c r="N351" s="4"/>
      <c r="Q351" s="4"/>
      <c r="R351" s="4"/>
      <c r="U351" s="4"/>
    </row>
    <row r="352" spans="1:21" ht="15.75" customHeight="1" x14ac:dyDescent="0.35">
      <c r="A352" s="4"/>
      <c r="B352" s="4"/>
      <c r="F352" s="4"/>
      <c r="M352" s="4"/>
      <c r="N352" s="4"/>
      <c r="Q352" s="4"/>
      <c r="R352" s="4"/>
      <c r="U352" s="4"/>
    </row>
    <row r="353" spans="1:21" ht="15.75" customHeight="1" x14ac:dyDescent="0.35">
      <c r="A353" s="4"/>
      <c r="B353" s="4"/>
      <c r="F353" s="4"/>
      <c r="M353" s="4"/>
      <c r="N353" s="4"/>
      <c r="Q353" s="4"/>
      <c r="R353" s="4"/>
      <c r="U353" s="4"/>
    </row>
    <row r="354" spans="1:21" ht="15.75" customHeight="1" x14ac:dyDescent="0.35">
      <c r="A354" s="4"/>
      <c r="B354" s="4"/>
      <c r="F354" s="4"/>
      <c r="M354" s="4"/>
      <c r="N354" s="4"/>
      <c r="Q354" s="4"/>
      <c r="R354" s="4"/>
      <c r="U354" s="4"/>
    </row>
    <row r="355" spans="1:21" ht="15.75" customHeight="1" x14ac:dyDescent="0.35">
      <c r="A355" s="4"/>
      <c r="B355" s="4"/>
      <c r="F355" s="4"/>
      <c r="M355" s="4"/>
      <c r="N355" s="4"/>
      <c r="Q355" s="4"/>
      <c r="R355" s="4"/>
      <c r="U355" s="4"/>
    </row>
    <row r="356" spans="1:21" ht="15.75" customHeight="1" x14ac:dyDescent="0.35">
      <c r="A356" s="4"/>
      <c r="B356" s="4"/>
      <c r="F356" s="4"/>
      <c r="M356" s="4"/>
      <c r="N356" s="4"/>
      <c r="Q356" s="4"/>
      <c r="R356" s="4"/>
      <c r="U356" s="4"/>
    </row>
    <row r="357" spans="1:21" ht="15.75" customHeight="1" x14ac:dyDescent="0.35">
      <c r="A357" s="4"/>
      <c r="B357" s="4"/>
      <c r="F357" s="4"/>
      <c r="M357" s="4"/>
      <c r="N357" s="4"/>
      <c r="Q357" s="4"/>
      <c r="R357" s="4"/>
      <c r="U357" s="4"/>
    </row>
    <row r="358" spans="1:21" ht="15.75" customHeight="1" x14ac:dyDescent="0.35">
      <c r="A358" s="4"/>
      <c r="B358" s="4"/>
      <c r="F358" s="4"/>
      <c r="M358" s="4"/>
      <c r="N358" s="4"/>
      <c r="Q358" s="4"/>
      <c r="R358" s="4"/>
      <c r="U358" s="4"/>
    </row>
    <row r="359" spans="1:21" ht="15.75" customHeight="1" x14ac:dyDescent="0.35">
      <c r="A359" s="4"/>
      <c r="B359" s="4"/>
      <c r="F359" s="4"/>
      <c r="M359" s="4"/>
      <c r="N359" s="4"/>
      <c r="Q359" s="4"/>
      <c r="R359" s="4"/>
      <c r="U359" s="4"/>
    </row>
    <row r="360" spans="1:21" ht="15.75" customHeight="1" x14ac:dyDescent="0.35">
      <c r="A360" s="4"/>
      <c r="B360" s="4"/>
      <c r="F360" s="4"/>
      <c r="M360" s="4"/>
      <c r="N360" s="4"/>
      <c r="Q360" s="4"/>
      <c r="R360" s="4"/>
      <c r="U360" s="4"/>
    </row>
    <row r="361" spans="1:21" ht="15.75" customHeight="1" x14ac:dyDescent="0.35">
      <c r="A361" s="4"/>
      <c r="B361" s="4"/>
      <c r="F361" s="4"/>
      <c r="M361" s="4"/>
      <c r="N361" s="4"/>
      <c r="Q361" s="4"/>
      <c r="R361" s="4"/>
      <c r="U361" s="4"/>
    </row>
    <row r="362" spans="1:21" ht="15.75" customHeight="1" x14ac:dyDescent="0.35">
      <c r="A362" s="4"/>
      <c r="B362" s="4"/>
      <c r="F362" s="4"/>
      <c r="M362" s="4"/>
      <c r="N362" s="4"/>
      <c r="Q362" s="4"/>
      <c r="R362" s="4"/>
      <c r="U362" s="4"/>
    </row>
    <row r="363" spans="1:21" ht="15.75" customHeight="1" x14ac:dyDescent="0.35">
      <c r="A363" s="4"/>
      <c r="B363" s="4"/>
      <c r="F363" s="4"/>
      <c r="M363" s="4"/>
      <c r="N363" s="4"/>
      <c r="Q363" s="4"/>
      <c r="R363" s="4"/>
      <c r="U363" s="4"/>
    </row>
    <row r="364" spans="1:21" ht="15.75" customHeight="1" x14ac:dyDescent="0.35">
      <c r="A364" s="4"/>
      <c r="B364" s="4"/>
      <c r="F364" s="4"/>
      <c r="M364" s="4"/>
      <c r="N364" s="4"/>
      <c r="Q364" s="4"/>
      <c r="R364" s="4"/>
      <c r="U364" s="4"/>
    </row>
    <row r="365" spans="1:21" ht="15.75" customHeight="1" x14ac:dyDescent="0.35">
      <c r="A365" s="4"/>
      <c r="B365" s="4"/>
      <c r="F365" s="4"/>
      <c r="M365" s="4"/>
      <c r="N365" s="4"/>
      <c r="Q365" s="4"/>
      <c r="R365" s="4"/>
      <c r="U365" s="4"/>
    </row>
    <row r="366" spans="1:21" ht="15.75" customHeight="1" x14ac:dyDescent="0.35">
      <c r="A366" s="4"/>
      <c r="B366" s="4"/>
      <c r="F366" s="4"/>
      <c r="M366" s="4"/>
      <c r="N366" s="4"/>
      <c r="Q366" s="4"/>
      <c r="R366" s="4"/>
      <c r="U366" s="4"/>
    </row>
    <row r="367" spans="1:21" ht="15.75" customHeight="1" x14ac:dyDescent="0.35">
      <c r="A367" s="4"/>
      <c r="B367" s="4"/>
      <c r="F367" s="4"/>
      <c r="M367" s="4"/>
      <c r="N367" s="4"/>
      <c r="Q367" s="4"/>
      <c r="R367" s="4"/>
      <c r="U367" s="4"/>
    </row>
    <row r="368" spans="1:21" ht="15.75" customHeight="1" x14ac:dyDescent="0.35">
      <c r="A368" s="4"/>
      <c r="B368" s="4"/>
      <c r="F368" s="4"/>
      <c r="M368" s="4"/>
      <c r="N368" s="4"/>
      <c r="Q368" s="4"/>
      <c r="R368" s="4"/>
      <c r="U368" s="4"/>
    </row>
    <row r="369" spans="1:21" ht="15.75" customHeight="1" x14ac:dyDescent="0.35">
      <c r="A369" s="4"/>
      <c r="B369" s="4"/>
      <c r="F369" s="4"/>
      <c r="M369" s="4"/>
      <c r="N369" s="4"/>
      <c r="Q369" s="4"/>
      <c r="R369" s="4"/>
      <c r="U369" s="4"/>
    </row>
    <row r="370" spans="1:21" ht="15.75" customHeight="1" x14ac:dyDescent="0.35">
      <c r="A370" s="4"/>
      <c r="B370" s="4"/>
      <c r="F370" s="4"/>
      <c r="M370" s="4"/>
      <c r="N370" s="4"/>
      <c r="Q370" s="4"/>
      <c r="R370" s="4"/>
      <c r="U370" s="4"/>
    </row>
    <row r="371" spans="1:21" ht="15.75" customHeight="1" x14ac:dyDescent="0.35">
      <c r="A371" s="4"/>
      <c r="B371" s="4"/>
      <c r="F371" s="4"/>
      <c r="M371" s="4"/>
      <c r="N371" s="4"/>
      <c r="Q371" s="4"/>
      <c r="R371" s="4"/>
      <c r="U371" s="4"/>
    </row>
    <row r="372" spans="1:21" ht="15.75" customHeight="1" x14ac:dyDescent="0.35">
      <c r="A372" s="4"/>
      <c r="B372" s="4"/>
      <c r="F372" s="4"/>
      <c r="M372" s="4"/>
      <c r="N372" s="4"/>
      <c r="Q372" s="4"/>
      <c r="R372" s="4"/>
      <c r="U372" s="4"/>
    </row>
    <row r="373" spans="1:21" ht="15.75" customHeight="1" x14ac:dyDescent="0.35">
      <c r="A373" s="4"/>
      <c r="B373" s="4"/>
      <c r="F373" s="4"/>
      <c r="M373" s="4"/>
      <c r="N373" s="4"/>
      <c r="Q373" s="4"/>
      <c r="R373" s="4"/>
      <c r="U373" s="4"/>
    </row>
    <row r="374" spans="1:21" ht="15.75" customHeight="1" x14ac:dyDescent="0.35">
      <c r="A374" s="4"/>
      <c r="B374" s="4"/>
      <c r="F374" s="4"/>
      <c r="M374" s="4"/>
      <c r="N374" s="4"/>
      <c r="Q374" s="4"/>
      <c r="R374" s="4"/>
      <c r="U374" s="4"/>
    </row>
    <row r="375" spans="1:21" ht="15.75" customHeight="1" x14ac:dyDescent="0.35">
      <c r="A375" s="4"/>
      <c r="B375" s="4"/>
      <c r="F375" s="4"/>
      <c r="M375" s="4"/>
      <c r="N375" s="4"/>
      <c r="Q375" s="4"/>
      <c r="R375" s="4"/>
      <c r="U375" s="4"/>
    </row>
    <row r="376" spans="1:21" ht="15.75" customHeight="1" x14ac:dyDescent="0.35">
      <c r="A376" s="4"/>
      <c r="B376" s="4"/>
      <c r="F376" s="4"/>
      <c r="M376" s="4"/>
      <c r="N376" s="4"/>
      <c r="Q376" s="4"/>
      <c r="R376" s="4"/>
      <c r="U376" s="4"/>
    </row>
    <row r="377" spans="1:21" ht="15.75" customHeight="1" x14ac:dyDescent="0.35">
      <c r="A377" s="4"/>
      <c r="B377" s="4"/>
      <c r="F377" s="4"/>
      <c r="M377" s="4"/>
      <c r="N377" s="4"/>
      <c r="Q377" s="4"/>
      <c r="R377" s="4"/>
      <c r="U377" s="4"/>
    </row>
    <row r="378" spans="1:21" ht="15.75" customHeight="1" x14ac:dyDescent="0.35">
      <c r="A378" s="4"/>
      <c r="B378" s="4"/>
      <c r="F378" s="4"/>
      <c r="M378" s="4"/>
      <c r="N378" s="4"/>
      <c r="Q378" s="4"/>
      <c r="R378" s="4"/>
      <c r="U378" s="4"/>
    </row>
    <row r="379" spans="1:21" ht="15.75" customHeight="1" x14ac:dyDescent="0.35">
      <c r="A379" s="4"/>
      <c r="B379" s="4"/>
      <c r="F379" s="4"/>
      <c r="M379" s="4"/>
      <c r="N379" s="4"/>
      <c r="Q379" s="4"/>
      <c r="R379" s="4"/>
      <c r="U379" s="4"/>
    </row>
    <row r="380" spans="1:21" ht="15.75" customHeight="1" x14ac:dyDescent="0.35">
      <c r="A380" s="4"/>
      <c r="B380" s="4"/>
      <c r="F380" s="4"/>
      <c r="M380" s="4"/>
      <c r="N380" s="4"/>
      <c r="Q380" s="4"/>
      <c r="R380" s="4"/>
      <c r="U380" s="4"/>
    </row>
    <row r="381" spans="1:21" ht="15.75" customHeight="1" x14ac:dyDescent="0.35">
      <c r="A381" s="4"/>
      <c r="B381" s="4"/>
      <c r="F381" s="4"/>
      <c r="M381" s="4"/>
      <c r="N381" s="4"/>
      <c r="Q381" s="4"/>
      <c r="R381" s="4"/>
      <c r="U381" s="4"/>
    </row>
    <row r="382" spans="1:21" ht="15.75" customHeight="1" x14ac:dyDescent="0.35">
      <c r="A382" s="4"/>
      <c r="B382" s="4"/>
      <c r="F382" s="4"/>
      <c r="M382" s="4"/>
      <c r="N382" s="4"/>
      <c r="Q382" s="4"/>
      <c r="R382" s="4"/>
      <c r="U382" s="4"/>
    </row>
    <row r="383" spans="1:21" ht="15.75" customHeight="1" x14ac:dyDescent="0.35">
      <c r="A383" s="4"/>
      <c r="B383" s="4"/>
      <c r="F383" s="4"/>
      <c r="M383" s="4"/>
      <c r="N383" s="4"/>
      <c r="Q383" s="4"/>
      <c r="R383" s="4"/>
      <c r="U383" s="4"/>
    </row>
    <row r="384" spans="1:21" ht="15.75" customHeight="1" x14ac:dyDescent="0.35">
      <c r="A384" s="4"/>
      <c r="B384" s="4"/>
      <c r="F384" s="4"/>
      <c r="M384" s="4"/>
      <c r="N384" s="4"/>
      <c r="Q384" s="4"/>
      <c r="R384" s="4"/>
      <c r="U384" s="4"/>
    </row>
    <row r="385" spans="1:21" ht="15.75" customHeight="1" x14ac:dyDescent="0.35">
      <c r="A385" s="4"/>
      <c r="B385" s="4"/>
      <c r="F385" s="4"/>
      <c r="M385" s="4"/>
      <c r="N385" s="4"/>
      <c r="Q385" s="4"/>
      <c r="R385" s="4"/>
      <c r="U385" s="4"/>
    </row>
    <row r="386" spans="1:21" ht="15.75" customHeight="1" x14ac:dyDescent="0.35">
      <c r="A386" s="4"/>
      <c r="B386" s="4"/>
      <c r="F386" s="4"/>
      <c r="M386" s="4"/>
      <c r="N386" s="4"/>
      <c r="Q386" s="4"/>
      <c r="R386" s="4"/>
      <c r="U386" s="4"/>
    </row>
    <row r="387" spans="1:21" ht="15.75" customHeight="1" x14ac:dyDescent="0.35">
      <c r="A387" s="4"/>
      <c r="B387" s="4"/>
      <c r="F387" s="4"/>
      <c r="M387" s="4"/>
      <c r="N387" s="4"/>
      <c r="Q387" s="4"/>
      <c r="R387" s="4"/>
      <c r="U387" s="4"/>
    </row>
    <row r="388" spans="1:21" ht="15.75" customHeight="1" x14ac:dyDescent="0.35">
      <c r="A388" s="4"/>
      <c r="B388" s="4"/>
      <c r="F388" s="4"/>
      <c r="M388" s="4"/>
      <c r="N388" s="4"/>
      <c r="Q388" s="4"/>
      <c r="R388" s="4"/>
      <c r="U388" s="4"/>
    </row>
    <row r="389" spans="1:21" ht="15.75" customHeight="1" x14ac:dyDescent="0.35">
      <c r="A389" s="4"/>
      <c r="B389" s="4"/>
      <c r="F389" s="4"/>
      <c r="M389" s="4"/>
      <c r="N389" s="4"/>
      <c r="Q389" s="4"/>
      <c r="R389" s="4"/>
      <c r="U389" s="4"/>
    </row>
    <row r="390" spans="1:21" ht="15.75" customHeight="1" x14ac:dyDescent="0.35">
      <c r="A390" s="4"/>
      <c r="B390" s="4"/>
      <c r="F390" s="4"/>
      <c r="M390" s="4"/>
      <c r="N390" s="4"/>
      <c r="Q390" s="4"/>
      <c r="R390" s="4"/>
      <c r="U390" s="4"/>
    </row>
    <row r="391" spans="1:21" ht="15.75" customHeight="1" x14ac:dyDescent="0.35">
      <c r="A391" s="4"/>
      <c r="B391" s="4"/>
      <c r="F391" s="4"/>
      <c r="M391" s="4"/>
      <c r="N391" s="4"/>
      <c r="Q391" s="4"/>
      <c r="R391" s="4"/>
      <c r="U391" s="4"/>
    </row>
    <row r="392" spans="1:21" ht="15.75" customHeight="1" x14ac:dyDescent="0.35">
      <c r="A392" s="4"/>
      <c r="B392" s="4"/>
      <c r="F392" s="4"/>
      <c r="M392" s="4"/>
      <c r="N392" s="4"/>
      <c r="Q392" s="4"/>
      <c r="R392" s="4"/>
      <c r="U392" s="4"/>
    </row>
    <row r="393" spans="1:21" ht="15.75" customHeight="1" x14ac:dyDescent="0.35">
      <c r="A393" s="4"/>
      <c r="B393" s="4"/>
      <c r="F393" s="4"/>
      <c r="M393" s="4"/>
      <c r="N393" s="4"/>
      <c r="Q393" s="4"/>
      <c r="R393" s="4"/>
      <c r="U393" s="4"/>
    </row>
    <row r="394" spans="1:21" ht="15.75" customHeight="1" x14ac:dyDescent="0.35">
      <c r="A394" s="4"/>
      <c r="B394" s="4"/>
      <c r="F394" s="4"/>
      <c r="M394" s="4"/>
      <c r="N394" s="4"/>
      <c r="Q394" s="4"/>
      <c r="R394" s="4"/>
      <c r="U394" s="4"/>
    </row>
    <row r="395" spans="1:21" ht="15.75" customHeight="1" x14ac:dyDescent="0.35">
      <c r="A395" s="4"/>
      <c r="B395" s="4"/>
      <c r="F395" s="4"/>
      <c r="M395" s="4"/>
      <c r="N395" s="4"/>
      <c r="Q395" s="4"/>
      <c r="R395" s="4"/>
      <c r="U395" s="4"/>
    </row>
    <row r="396" spans="1:21" ht="15.75" customHeight="1" x14ac:dyDescent="0.35">
      <c r="A396" s="4"/>
      <c r="B396" s="4"/>
      <c r="F396" s="4"/>
      <c r="M396" s="4"/>
      <c r="N396" s="4"/>
      <c r="Q396" s="4"/>
      <c r="R396" s="4"/>
      <c r="U396" s="4"/>
    </row>
    <row r="397" spans="1:21" ht="15.75" customHeight="1" x14ac:dyDescent="0.35">
      <c r="A397" s="4"/>
      <c r="B397" s="4"/>
      <c r="F397" s="4"/>
      <c r="M397" s="4"/>
      <c r="N397" s="4"/>
      <c r="Q397" s="4"/>
      <c r="R397" s="4"/>
      <c r="U397" s="4"/>
    </row>
    <row r="398" spans="1:21" ht="15.75" customHeight="1" x14ac:dyDescent="0.35">
      <c r="A398" s="4"/>
      <c r="B398" s="4"/>
      <c r="F398" s="4"/>
      <c r="M398" s="4"/>
      <c r="N398" s="4"/>
      <c r="Q398" s="4"/>
      <c r="R398" s="4"/>
      <c r="U398" s="4"/>
    </row>
    <row r="399" spans="1:21" ht="15.75" customHeight="1" x14ac:dyDescent="0.35">
      <c r="A399" s="4"/>
      <c r="B399" s="4"/>
      <c r="F399" s="4"/>
      <c r="M399" s="4"/>
      <c r="N399" s="4"/>
      <c r="Q399" s="4"/>
      <c r="R399" s="4"/>
      <c r="U399" s="4"/>
    </row>
    <row r="400" spans="1:21" ht="15.75" customHeight="1" x14ac:dyDescent="0.35">
      <c r="A400" s="4"/>
      <c r="B400" s="4"/>
      <c r="F400" s="4"/>
      <c r="M400" s="4"/>
      <c r="N400" s="4"/>
      <c r="Q400" s="4"/>
      <c r="R400" s="4"/>
      <c r="U400" s="4"/>
    </row>
    <row r="401" spans="1:21" ht="15.75" customHeight="1" x14ac:dyDescent="0.35">
      <c r="A401" s="4"/>
      <c r="B401" s="4"/>
      <c r="F401" s="4"/>
      <c r="M401" s="4"/>
      <c r="N401" s="4"/>
      <c r="Q401" s="4"/>
      <c r="R401" s="4"/>
      <c r="U401" s="4"/>
    </row>
    <row r="402" spans="1:21" ht="15.75" customHeight="1" x14ac:dyDescent="0.35">
      <c r="A402" s="4"/>
      <c r="B402" s="4"/>
      <c r="F402" s="4"/>
      <c r="M402" s="4"/>
      <c r="N402" s="4"/>
      <c r="Q402" s="4"/>
      <c r="R402" s="4"/>
      <c r="U402" s="4"/>
    </row>
    <row r="403" spans="1:21" ht="15.75" customHeight="1" x14ac:dyDescent="0.35">
      <c r="A403" s="4"/>
      <c r="B403" s="4"/>
      <c r="F403" s="4"/>
      <c r="M403" s="4"/>
      <c r="N403" s="4"/>
      <c r="Q403" s="4"/>
      <c r="R403" s="4"/>
      <c r="U403" s="4"/>
    </row>
    <row r="404" spans="1:21" ht="15.75" customHeight="1" x14ac:dyDescent="0.35">
      <c r="A404" s="4"/>
      <c r="B404" s="4"/>
      <c r="F404" s="4"/>
      <c r="M404" s="4"/>
      <c r="N404" s="4"/>
      <c r="Q404" s="4"/>
      <c r="R404" s="4"/>
      <c r="U404" s="4"/>
    </row>
    <row r="405" spans="1:21" ht="15.75" customHeight="1" x14ac:dyDescent="0.35">
      <c r="A405" s="4"/>
      <c r="B405" s="4"/>
      <c r="F405" s="4"/>
      <c r="M405" s="4"/>
      <c r="N405" s="4"/>
      <c r="Q405" s="4"/>
      <c r="R405" s="4"/>
      <c r="U405" s="4"/>
    </row>
    <row r="406" spans="1:21" ht="15.75" customHeight="1" x14ac:dyDescent="0.35">
      <c r="A406" s="4"/>
      <c r="B406" s="4"/>
      <c r="F406" s="4"/>
      <c r="M406" s="4"/>
      <c r="N406" s="4"/>
      <c r="Q406" s="4"/>
      <c r="R406" s="4"/>
      <c r="U406" s="4"/>
    </row>
    <row r="407" spans="1:21" ht="15.75" customHeight="1" x14ac:dyDescent="0.35">
      <c r="A407" s="4"/>
      <c r="B407" s="4"/>
      <c r="F407" s="4"/>
      <c r="M407" s="4"/>
      <c r="N407" s="4"/>
      <c r="Q407" s="4"/>
      <c r="R407" s="4"/>
      <c r="U407" s="4"/>
    </row>
    <row r="408" spans="1:21" ht="15.75" customHeight="1" x14ac:dyDescent="0.35">
      <c r="A408" s="4"/>
      <c r="B408" s="4"/>
      <c r="F408" s="4"/>
      <c r="M408" s="4"/>
      <c r="N408" s="4"/>
      <c r="Q408" s="4"/>
      <c r="R408" s="4"/>
      <c r="U408" s="4"/>
    </row>
    <row r="409" spans="1:21" ht="15.75" customHeight="1" x14ac:dyDescent="0.35">
      <c r="A409" s="4"/>
      <c r="B409" s="4"/>
      <c r="F409" s="4"/>
      <c r="M409" s="4"/>
      <c r="N409" s="4"/>
      <c r="Q409" s="4"/>
      <c r="R409" s="4"/>
      <c r="U409" s="4"/>
    </row>
    <row r="410" spans="1:21" ht="15.75" customHeight="1" x14ac:dyDescent="0.35">
      <c r="A410" s="4"/>
      <c r="B410" s="4"/>
      <c r="F410" s="4"/>
      <c r="M410" s="4"/>
      <c r="N410" s="4"/>
      <c r="Q410" s="4"/>
      <c r="R410" s="4"/>
      <c r="U410" s="4"/>
    </row>
    <row r="411" spans="1:21" ht="15.75" customHeight="1" x14ac:dyDescent="0.35">
      <c r="A411" s="4"/>
      <c r="B411" s="4"/>
      <c r="F411" s="4"/>
      <c r="M411" s="4"/>
      <c r="N411" s="4"/>
      <c r="Q411" s="4"/>
      <c r="R411" s="4"/>
      <c r="U411" s="4"/>
    </row>
    <row r="412" spans="1:21" ht="15.75" customHeight="1" x14ac:dyDescent="0.35">
      <c r="A412" s="4"/>
      <c r="B412" s="4"/>
      <c r="F412" s="4"/>
      <c r="M412" s="4"/>
      <c r="N412" s="4"/>
      <c r="Q412" s="4"/>
      <c r="R412" s="4"/>
      <c r="U412" s="4"/>
    </row>
    <row r="413" spans="1:21" ht="15.75" customHeight="1" x14ac:dyDescent="0.35">
      <c r="A413" s="4"/>
      <c r="B413" s="4"/>
      <c r="F413" s="4"/>
      <c r="M413" s="4"/>
      <c r="N413" s="4"/>
      <c r="Q413" s="4"/>
      <c r="R413" s="4"/>
      <c r="U413" s="4"/>
    </row>
    <row r="414" spans="1:21" ht="15.75" customHeight="1" x14ac:dyDescent="0.35">
      <c r="A414" s="4"/>
      <c r="B414" s="4"/>
      <c r="F414" s="4"/>
      <c r="M414" s="4"/>
      <c r="N414" s="4"/>
      <c r="Q414" s="4"/>
      <c r="R414" s="4"/>
      <c r="U414" s="4"/>
    </row>
    <row r="415" spans="1:21" ht="15.75" customHeight="1" x14ac:dyDescent="0.35">
      <c r="A415" s="4"/>
      <c r="B415" s="4"/>
      <c r="F415" s="4"/>
      <c r="M415" s="4"/>
      <c r="N415" s="4"/>
      <c r="Q415" s="4"/>
      <c r="R415" s="4"/>
      <c r="U415" s="4"/>
    </row>
    <row r="416" spans="1:21" ht="15.75" customHeight="1" x14ac:dyDescent="0.35">
      <c r="A416" s="4"/>
      <c r="B416" s="4"/>
      <c r="F416" s="4"/>
      <c r="M416" s="4"/>
      <c r="N416" s="4"/>
      <c r="Q416" s="4"/>
      <c r="R416" s="4"/>
      <c r="U416" s="4"/>
    </row>
    <row r="417" spans="1:21" ht="15.75" customHeight="1" x14ac:dyDescent="0.35">
      <c r="A417" s="4"/>
      <c r="B417" s="4"/>
      <c r="F417" s="4"/>
      <c r="M417" s="4"/>
      <c r="N417" s="4"/>
      <c r="Q417" s="4"/>
      <c r="R417" s="4"/>
      <c r="U417" s="4"/>
    </row>
    <row r="418" spans="1:21" ht="15.75" customHeight="1" x14ac:dyDescent="0.35">
      <c r="A418" s="4"/>
      <c r="B418" s="4"/>
      <c r="F418" s="4"/>
      <c r="M418" s="4"/>
      <c r="N418" s="4"/>
      <c r="Q418" s="4"/>
      <c r="R418" s="4"/>
      <c r="U418" s="4"/>
    </row>
    <row r="419" spans="1:21" ht="15.75" customHeight="1" x14ac:dyDescent="0.35">
      <c r="A419" s="4"/>
      <c r="B419" s="4"/>
      <c r="F419" s="4"/>
      <c r="M419" s="4"/>
      <c r="N419" s="4"/>
      <c r="Q419" s="4"/>
      <c r="R419" s="4"/>
      <c r="U419" s="4"/>
    </row>
    <row r="420" spans="1:21" ht="15.75" customHeight="1" x14ac:dyDescent="0.35">
      <c r="A420" s="4"/>
      <c r="B420" s="4"/>
      <c r="F420" s="4"/>
      <c r="M420" s="4"/>
      <c r="N420" s="4"/>
      <c r="Q420" s="4"/>
      <c r="R420" s="4"/>
      <c r="U420" s="4"/>
    </row>
    <row r="421" spans="1:21" ht="15.75" customHeight="1" x14ac:dyDescent="0.35">
      <c r="A421" s="4"/>
      <c r="B421" s="4"/>
      <c r="F421" s="4"/>
      <c r="M421" s="4"/>
      <c r="N421" s="4"/>
      <c r="Q421" s="4"/>
      <c r="R421" s="4"/>
      <c r="U421" s="4"/>
    </row>
    <row r="422" spans="1:21" ht="15.75" customHeight="1" x14ac:dyDescent="0.35">
      <c r="A422" s="4"/>
      <c r="B422" s="4"/>
      <c r="F422" s="4"/>
      <c r="M422" s="4"/>
      <c r="N422" s="4"/>
      <c r="Q422" s="4"/>
      <c r="R422" s="4"/>
      <c r="U422" s="4"/>
    </row>
    <row r="423" spans="1:21" ht="15.75" customHeight="1" x14ac:dyDescent="0.35">
      <c r="A423" s="4"/>
      <c r="B423" s="4"/>
      <c r="F423" s="4"/>
      <c r="M423" s="4"/>
      <c r="N423" s="4"/>
      <c r="Q423" s="4"/>
      <c r="R423" s="4"/>
      <c r="U423" s="4"/>
    </row>
    <row r="424" spans="1:21" ht="15.75" customHeight="1" x14ac:dyDescent="0.35">
      <c r="A424" s="4"/>
      <c r="B424" s="4"/>
      <c r="F424" s="4"/>
      <c r="M424" s="4"/>
      <c r="N424" s="4"/>
      <c r="Q424" s="4"/>
      <c r="R424" s="4"/>
      <c r="U424" s="4"/>
    </row>
    <row r="425" spans="1:21" ht="15.75" customHeight="1" x14ac:dyDescent="0.35">
      <c r="A425" s="4"/>
      <c r="B425" s="4"/>
      <c r="F425" s="4"/>
      <c r="M425" s="4"/>
      <c r="N425" s="4"/>
      <c r="Q425" s="4"/>
      <c r="R425" s="4"/>
      <c r="U425" s="4"/>
    </row>
    <row r="426" spans="1:21" ht="15.75" customHeight="1" x14ac:dyDescent="0.35">
      <c r="A426" s="4"/>
      <c r="B426" s="4"/>
      <c r="F426" s="4"/>
      <c r="M426" s="4"/>
      <c r="N426" s="4"/>
      <c r="Q426" s="4"/>
      <c r="R426" s="4"/>
      <c r="U426" s="4"/>
    </row>
    <row r="427" spans="1:21" ht="15.75" customHeight="1" x14ac:dyDescent="0.35">
      <c r="A427" s="4"/>
      <c r="B427" s="4"/>
      <c r="F427" s="4"/>
      <c r="M427" s="4"/>
      <c r="N427" s="4"/>
      <c r="Q427" s="4"/>
      <c r="R427" s="4"/>
      <c r="U427" s="4"/>
    </row>
    <row r="428" spans="1:21" ht="15.75" customHeight="1" x14ac:dyDescent="0.35">
      <c r="A428" s="4"/>
      <c r="B428" s="4"/>
      <c r="F428" s="4"/>
      <c r="M428" s="4"/>
      <c r="N428" s="4"/>
      <c r="Q428" s="4"/>
      <c r="R428" s="4"/>
      <c r="U428" s="4"/>
    </row>
    <row r="429" spans="1:21" ht="15.75" customHeight="1" x14ac:dyDescent="0.35">
      <c r="A429" s="4"/>
      <c r="B429" s="4"/>
      <c r="F429" s="4"/>
      <c r="M429" s="4"/>
      <c r="N429" s="4"/>
      <c r="Q429" s="4"/>
      <c r="R429" s="4"/>
      <c r="U429" s="4"/>
    </row>
    <row r="430" spans="1:21" ht="15.75" customHeight="1" x14ac:dyDescent="0.35">
      <c r="A430" s="4"/>
      <c r="B430" s="4"/>
      <c r="F430" s="4"/>
      <c r="M430" s="4"/>
      <c r="N430" s="4"/>
      <c r="Q430" s="4"/>
      <c r="R430" s="4"/>
      <c r="U430" s="4"/>
    </row>
    <row r="431" spans="1:21" ht="15.75" customHeight="1" x14ac:dyDescent="0.35">
      <c r="A431" s="4"/>
      <c r="B431" s="4"/>
      <c r="F431" s="4"/>
      <c r="M431" s="4"/>
      <c r="N431" s="4"/>
      <c r="Q431" s="4"/>
      <c r="R431" s="4"/>
      <c r="U431" s="4"/>
    </row>
    <row r="432" spans="1:21" ht="15.75" customHeight="1" x14ac:dyDescent="0.35">
      <c r="A432" s="4"/>
      <c r="B432" s="4"/>
      <c r="F432" s="4"/>
      <c r="M432" s="4"/>
      <c r="N432" s="4"/>
      <c r="Q432" s="4"/>
      <c r="R432" s="4"/>
      <c r="U432" s="4"/>
    </row>
    <row r="433" spans="1:21" ht="15.75" customHeight="1" x14ac:dyDescent="0.35">
      <c r="A433" s="4"/>
      <c r="B433" s="4"/>
      <c r="F433" s="4"/>
      <c r="M433" s="4"/>
      <c r="N433" s="4"/>
      <c r="Q433" s="4"/>
      <c r="R433" s="4"/>
      <c r="U433" s="4"/>
    </row>
    <row r="434" spans="1:21" ht="15.75" customHeight="1" x14ac:dyDescent="0.35">
      <c r="A434" s="4"/>
      <c r="B434" s="4"/>
      <c r="F434" s="4"/>
      <c r="M434" s="4"/>
      <c r="N434" s="4"/>
      <c r="Q434" s="4"/>
      <c r="R434" s="4"/>
      <c r="U434" s="4"/>
    </row>
    <row r="435" spans="1:21" ht="15.75" customHeight="1" x14ac:dyDescent="0.35">
      <c r="A435" s="4"/>
      <c r="B435" s="4"/>
      <c r="F435" s="4"/>
      <c r="M435" s="4"/>
      <c r="N435" s="4"/>
      <c r="Q435" s="4"/>
      <c r="R435" s="4"/>
      <c r="U435" s="4"/>
    </row>
    <row r="436" spans="1:21" ht="15.75" customHeight="1" x14ac:dyDescent="0.35">
      <c r="A436" s="4"/>
      <c r="B436" s="4"/>
      <c r="F436" s="4"/>
      <c r="M436" s="4"/>
      <c r="N436" s="4"/>
      <c r="Q436" s="4"/>
      <c r="R436" s="4"/>
      <c r="U436" s="4"/>
    </row>
    <row r="437" spans="1:21" ht="15.75" customHeight="1" x14ac:dyDescent="0.35">
      <c r="A437" s="4"/>
      <c r="B437" s="4"/>
      <c r="F437" s="4"/>
      <c r="M437" s="4"/>
      <c r="N437" s="4"/>
      <c r="Q437" s="4"/>
      <c r="R437" s="4"/>
      <c r="U437" s="4"/>
    </row>
    <row r="438" spans="1:21" ht="15.75" customHeight="1" x14ac:dyDescent="0.35">
      <c r="A438" s="4"/>
      <c r="B438" s="4"/>
      <c r="F438" s="4"/>
      <c r="M438" s="4"/>
      <c r="N438" s="4"/>
      <c r="Q438" s="4"/>
      <c r="R438" s="4"/>
      <c r="U438" s="4"/>
    </row>
    <row r="439" spans="1:21" ht="15.75" customHeight="1" x14ac:dyDescent="0.35">
      <c r="A439" s="4"/>
      <c r="B439" s="4"/>
      <c r="F439" s="4"/>
      <c r="M439" s="4"/>
      <c r="N439" s="4"/>
      <c r="Q439" s="4"/>
      <c r="R439" s="4"/>
      <c r="U439" s="4"/>
    </row>
    <row r="440" spans="1:21" ht="15.75" customHeight="1" x14ac:dyDescent="0.35">
      <c r="A440" s="4"/>
      <c r="B440" s="4"/>
      <c r="F440" s="4"/>
      <c r="M440" s="4"/>
      <c r="N440" s="4"/>
      <c r="Q440" s="4"/>
      <c r="R440" s="4"/>
      <c r="U440" s="4"/>
    </row>
    <row r="441" spans="1:21" ht="15.75" customHeight="1" x14ac:dyDescent="0.35">
      <c r="A441" s="4"/>
      <c r="B441" s="4"/>
      <c r="F441" s="4"/>
      <c r="M441" s="4"/>
      <c r="N441" s="4"/>
      <c r="Q441" s="4"/>
      <c r="R441" s="4"/>
      <c r="U441" s="4"/>
    </row>
    <row r="442" spans="1:21" ht="15.75" customHeight="1" x14ac:dyDescent="0.35">
      <c r="A442" s="4"/>
      <c r="B442" s="4"/>
      <c r="F442" s="4"/>
      <c r="M442" s="4"/>
      <c r="N442" s="4"/>
      <c r="Q442" s="4"/>
      <c r="R442" s="4"/>
      <c r="U442" s="4"/>
    </row>
    <row r="443" spans="1:21" ht="15.75" customHeight="1" x14ac:dyDescent="0.35">
      <c r="A443" s="4"/>
      <c r="B443" s="4"/>
      <c r="F443" s="4"/>
      <c r="M443" s="4"/>
      <c r="N443" s="4"/>
      <c r="Q443" s="4"/>
      <c r="R443" s="4"/>
      <c r="U443" s="4"/>
    </row>
    <row r="444" spans="1:21" ht="15.75" customHeight="1" x14ac:dyDescent="0.35">
      <c r="A444" s="4"/>
      <c r="B444" s="4"/>
      <c r="F444" s="4"/>
      <c r="M444" s="4"/>
      <c r="N444" s="4"/>
      <c r="Q444" s="4"/>
      <c r="R444" s="4"/>
      <c r="U444" s="4"/>
    </row>
    <row r="445" spans="1:21" ht="15.75" customHeight="1" x14ac:dyDescent="0.35">
      <c r="A445" s="4"/>
      <c r="B445" s="4"/>
      <c r="F445" s="4"/>
      <c r="M445" s="4"/>
      <c r="N445" s="4"/>
      <c r="Q445" s="4"/>
      <c r="R445" s="4"/>
      <c r="U445" s="4"/>
    </row>
    <row r="446" spans="1:21" ht="15.75" customHeight="1" x14ac:dyDescent="0.35">
      <c r="A446" s="4"/>
      <c r="B446" s="4"/>
      <c r="F446" s="4"/>
      <c r="M446" s="4"/>
      <c r="N446" s="4"/>
      <c r="Q446" s="4"/>
      <c r="R446" s="4"/>
      <c r="U446" s="4"/>
    </row>
    <row r="447" spans="1:21" ht="15.75" customHeight="1" x14ac:dyDescent="0.35">
      <c r="A447" s="4"/>
      <c r="B447" s="4"/>
      <c r="F447" s="4"/>
      <c r="M447" s="4"/>
      <c r="N447" s="4"/>
      <c r="Q447" s="4"/>
      <c r="R447" s="4"/>
      <c r="U447" s="4"/>
    </row>
    <row r="448" spans="1:21" ht="15.75" customHeight="1" x14ac:dyDescent="0.35">
      <c r="A448" s="4"/>
      <c r="B448" s="4"/>
      <c r="F448" s="4"/>
      <c r="M448" s="4"/>
      <c r="N448" s="4"/>
      <c r="Q448" s="4"/>
      <c r="R448" s="4"/>
      <c r="U448" s="4"/>
    </row>
    <row r="449" spans="1:21" ht="15.75" customHeight="1" x14ac:dyDescent="0.35">
      <c r="A449" s="4"/>
      <c r="B449" s="4"/>
      <c r="F449" s="4"/>
      <c r="M449" s="4"/>
      <c r="N449" s="4"/>
      <c r="Q449" s="4"/>
      <c r="R449" s="4"/>
      <c r="U449" s="4"/>
    </row>
    <row r="450" spans="1:21" ht="15.75" customHeight="1" x14ac:dyDescent="0.35">
      <c r="A450" s="4"/>
      <c r="B450" s="4"/>
      <c r="F450" s="4"/>
      <c r="M450" s="4"/>
      <c r="N450" s="4"/>
      <c r="Q450" s="4"/>
      <c r="R450" s="4"/>
      <c r="U450" s="4"/>
    </row>
    <row r="451" spans="1:21" ht="15.75" customHeight="1" x14ac:dyDescent="0.35">
      <c r="A451" s="4"/>
      <c r="B451" s="4"/>
      <c r="F451" s="4"/>
      <c r="M451" s="4"/>
      <c r="N451" s="4"/>
      <c r="Q451" s="4"/>
      <c r="R451" s="4"/>
      <c r="U451" s="4"/>
    </row>
    <row r="452" spans="1:21" ht="15.75" customHeight="1" x14ac:dyDescent="0.35">
      <c r="A452" s="4"/>
      <c r="B452" s="4"/>
      <c r="F452" s="4"/>
      <c r="M452" s="4"/>
      <c r="N452" s="4"/>
      <c r="Q452" s="4"/>
      <c r="R452" s="4"/>
      <c r="U452" s="4"/>
    </row>
    <row r="453" spans="1:21" ht="15.75" customHeight="1" x14ac:dyDescent="0.35">
      <c r="A453" s="4"/>
      <c r="B453" s="4"/>
      <c r="F453" s="4"/>
      <c r="M453" s="4"/>
      <c r="N453" s="4"/>
      <c r="Q453" s="4"/>
      <c r="R453" s="4"/>
      <c r="U453" s="4"/>
    </row>
    <row r="454" spans="1:21" ht="15.75" customHeight="1" x14ac:dyDescent="0.35">
      <c r="A454" s="4"/>
      <c r="B454" s="4"/>
      <c r="F454" s="4"/>
      <c r="M454" s="4"/>
      <c r="N454" s="4"/>
      <c r="Q454" s="4"/>
      <c r="R454" s="4"/>
      <c r="U454" s="4"/>
    </row>
    <row r="455" spans="1:21" ht="15.75" customHeight="1" x14ac:dyDescent="0.35">
      <c r="A455" s="4"/>
      <c r="B455" s="4"/>
      <c r="F455" s="4"/>
      <c r="M455" s="4"/>
      <c r="N455" s="4"/>
      <c r="Q455" s="4"/>
      <c r="R455" s="4"/>
      <c r="U455" s="4"/>
    </row>
    <row r="456" spans="1:21" ht="15.75" customHeight="1" x14ac:dyDescent="0.35">
      <c r="A456" s="4"/>
      <c r="B456" s="4"/>
      <c r="F456" s="4"/>
      <c r="M456" s="4"/>
      <c r="N456" s="4"/>
      <c r="Q456" s="4"/>
      <c r="R456" s="4"/>
      <c r="U456" s="4"/>
    </row>
    <row r="457" spans="1:21" ht="15.75" customHeight="1" x14ac:dyDescent="0.35">
      <c r="A457" s="4"/>
      <c r="B457" s="4"/>
      <c r="F457" s="4"/>
      <c r="M457" s="4"/>
      <c r="N457" s="4"/>
      <c r="Q457" s="4"/>
      <c r="R457" s="4"/>
      <c r="U457" s="4"/>
    </row>
    <row r="458" spans="1:21" ht="15.75" customHeight="1" x14ac:dyDescent="0.35">
      <c r="A458" s="4"/>
      <c r="B458" s="4"/>
      <c r="F458" s="4"/>
      <c r="M458" s="4"/>
      <c r="N458" s="4"/>
      <c r="Q458" s="4"/>
      <c r="R458" s="4"/>
      <c r="U458" s="4"/>
    </row>
    <row r="459" spans="1:21" ht="15.75" customHeight="1" x14ac:dyDescent="0.35">
      <c r="A459" s="4"/>
      <c r="B459" s="4"/>
      <c r="F459" s="4"/>
      <c r="M459" s="4"/>
      <c r="N459" s="4"/>
      <c r="Q459" s="4"/>
      <c r="R459" s="4"/>
      <c r="U459" s="4"/>
    </row>
    <row r="460" spans="1:21" ht="15.75" customHeight="1" x14ac:dyDescent="0.35">
      <c r="A460" s="4"/>
      <c r="B460" s="4"/>
      <c r="F460" s="4"/>
      <c r="M460" s="4"/>
      <c r="N460" s="4"/>
      <c r="Q460" s="4"/>
      <c r="R460" s="4"/>
      <c r="U460" s="4"/>
    </row>
    <row r="461" spans="1:21" ht="15.75" customHeight="1" x14ac:dyDescent="0.35">
      <c r="A461" s="4"/>
      <c r="B461" s="4"/>
      <c r="F461" s="4"/>
      <c r="M461" s="4"/>
      <c r="N461" s="4"/>
      <c r="Q461" s="4"/>
      <c r="R461" s="4"/>
      <c r="U461" s="4"/>
    </row>
    <row r="462" spans="1:21" ht="15.75" customHeight="1" x14ac:dyDescent="0.35">
      <c r="A462" s="4"/>
      <c r="B462" s="4"/>
      <c r="F462" s="4"/>
      <c r="M462" s="4"/>
      <c r="N462" s="4"/>
      <c r="Q462" s="4"/>
      <c r="R462" s="4"/>
      <c r="U462" s="4"/>
    </row>
    <row r="463" spans="1:21" ht="15.75" customHeight="1" x14ac:dyDescent="0.35">
      <c r="A463" s="4"/>
      <c r="B463" s="4"/>
      <c r="F463" s="4"/>
      <c r="M463" s="4"/>
      <c r="N463" s="4"/>
      <c r="Q463" s="4"/>
      <c r="R463" s="4"/>
      <c r="U463" s="4"/>
    </row>
    <row r="464" spans="1:21" ht="15.75" customHeight="1" x14ac:dyDescent="0.35">
      <c r="A464" s="4"/>
      <c r="B464" s="4"/>
      <c r="F464" s="4"/>
      <c r="M464" s="4"/>
      <c r="N464" s="4"/>
      <c r="Q464" s="4"/>
      <c r="R464" s="4"/>
      <c r="U464" s="4"/>
    </row>
    <row r="465" spans="1:21" ht="15.75" customHeight="1" x14ac:dyDescent="0.35">
      <c r="A465" s="4"/>
      <c r="B465" s="4"/>
      <c r="F465" s="4"/>
      <c r="M465" s="4"/>
      <c r="N465" s="4"/>
      <c r="Q465" s="4"/>
      <c r="R465" s="4"/>
      <c r="U465" s="4"/>
    </row>
    <row r="466" spans="1:21" ht="15.75" customHeight="1" x14ac:dyDescent="0.35">
      <c r="A466" s="4"/>
      <c r="B466" s="4"/>
      <c r="F466" s="4"/>
      <c r="M466" s="4"/>
      <c r="N466" s="4"/>
      <c r="Q466" s="4"/>
      <c r="R466" s="4"/>
      <c r="U466" s="4"/>
    </row>
    <row r="467" spans="1:21" ht="15.75" customHeight="1" x14ac:dyDescent="0.35">
      <c r="A467" s="4"/>
      <c r="B467" s="4"/>
      <c r="F467" s="4"/>
      <c r="M467" s="4"/>
      <c r="N467" s="4"/>
      <c r="Q467" s="4"/>
      <c r="R467" s="4"/>
      <c r="U467" s="4"/>
    </row>
    <row r="468" spans="1:21" ht="15.75" customHeight="1" x14ac:dyDescent="0.35">
      <c r="A468" s="4"/>
      <c r="B468" s="4"/>
      <c r="F468" s="4"/>
      <c r="M468" s="4"/>
      <c r="N468" s="4"/>
      <c r="Q468" s="4"/>
      <c r="R468" s="4"/>
      <c r="U468" s="4"/>
    </row>
    <row r="469" spans="1:21" ht="15.75" customHeight="1" x14ac:dyDescent="0.35">
      <c r="A469" s="4"/>
      <c r="B469" s="4"/>
      <c r="F469" s="4"/>
      <c r="M469" s="4"/>
      <c r="N469" s="4"/>
      <c r="Q469" s="4"/>
      <c r="R469" s="4"/>
      <c r="U469" s="4"/>
    </row>
    <row r="470" spans="1:21" ht="15.75" customHeight="1" x14ac:dyDescent="0.35">
      <c r="A470" s="4"/>
      <c r="B470" s="4"/>
      <c r="F470" s="4"/>
      <c r="M470" s="4"/>
      <c r="N470" s="4"/>
      <c r="Q470" s="4"/>
      <c r="R470" s="4"/>
      <c r="U470" s="4"/>
    </row>
    <row r="471" spans="1:21" ht="15.75" customHeight="1" x14ac:dyDescent="0.35">
      <c r="A471" s="4"/>
      <c r="B471" s="4"/>
      <c r="F471" s="4"/>
      <c r="M471" s="4"/>
      <c r="N471" s="4"/>
      <c r="Q471" s="4"/>
      <c r="R471" s="4"/>
      <c r="U471" s="4"/>
    </row>
    <row r="472" spans="1:21" ht="15.75" customHeight="1" x14ac:dyDescent="0.35">
      <c r="A472" s="4"/>
      <c r="B472" s="4"/>
      <c r="F472" s="4"/>
      <c r="M472" s="4"/>
      <c r="N472" s="4"/>
      <c r="Q472" s="4"/>
      <c r="R472" s="4"/>
      <c r="U472" s="4"/>
    </row>
    <row r="473" spans="1:21" ht="15.75" customHeight="1" x14ac:dyDescent="0.35">
      <c r="A473" s="4"/>
      <c r="B473" s="4"/>
      <c r="F473" s="4"/>
      <c r="M473" s="4"/>
      <c r="N473" s="4"/>
      <c r="Q473" s="4"/>
      <c r="R473" s="4"/>
      <c r="U473" s="4"/>
    </row>
    <row r="474" spans="1:21" ht="15.75" customHeight="1" x14ac:dyDescent="0.35">
      <c r="A474" s="4"/>
      <c r="B474" s="4"/>
      <c r="F474" s="4"/>
      <c r="M474" s="4"/>
      <c r="N474" s="4"/>
      <c r="Q474" s="4"/>
      <c r="R474" s="4"/>
      <c r="U474" s="4"/>
    </row>
    <row r="475" spans="1:21" ht="15.75" customHeight="1" x14ac:dyDescent="0.35">
      <c r="A475" s="4"/>
      <c r="B475" s="4"/>
      <c r="F475" s="4"/>
      <c r="M475" s="4"/>
      <c r="N475" s="4"/>
      <c r="Q475" s="4"/>
      <c r="R475" s="4"/>
      <c r="U475" s="4"/>
    </row>
    <row r="476" spans="1:21" ht="15.75" customHeight="1" x14ac:dyDescent="0.35">
      <c r="A476" s="4"/>
      <c r="B476" s="4"/>
      <c r="F476" s="4"/>
      <c r="M476" s="4"/>
      <c r="N476" s="4"/>
      <c r="Q476" s="4"/>
      <c r="R476" s="4"/>
      <c r="U476" s="4"/>
    </row>
    <row r="477" spans="1:21" ht="15.75" customHeight="1" x14ac:dyDescent="0.35">
      <c r="A477" s="4"/>
      <c r="B477" s="4"/>
      <c r="F477" s="4"/>
      <c r="M477" s="4"/>
      <c r="N477" s="4"/>
      <c r="Q477" s="4"/>
      <c r="R477" s="4"/>
      <c r="U477" s="4"/>
    </row>
    <row r="478" spans="1:21" ht="15.75" customHeight="1" x14ac:dyDescent="0.35">
      <c r="A478" s="4"/>
      <c r="B478" s="4"/>
      <c r="F478" s="4"/>
      <c r="M478" s="4"/>
      <c r="N478" s="4"/>
      <c r="Q478" s="4"/>
      <c r="R478" s="4"/>
      <c r="U478" s="4"/>
    </row>
    <row r="479" spans="1:21" ht="15.75" customHeight="1" x14ac:dyDescent="0.35">
      <c r="A479" s="4"/>
      <c r="B479" s="4"/>
      <c r="F479" s="4"/>
      <c r="M479" s="4"/>
      <c r="N479" s="4"/>
      <c r="Q479" s="4"/>
      <c r="R479" s="4"/>
      <c r="U479" s="4"/>
    </row>
    <row r="480" spans="1:21" ht="15.75" customHeight="1" x14ac:dyDescent="0.35">
      <c r="A480" s="4"/>
      <c r="B480" s="4"/>
      <c r="F480" s="4"/>
      <c r="M480" s="4"/>
      <c r="N480" s="4"/>
      <c r="Q480" s="4"/>
      <c r="R480" s="4"/>
      <c r="U480" s="4"/>
    </row>
    <row r="481" spans="1:21" ht="15.75" customHeight="1" x14ac:dyDescent="0.35">
      <c r="A481" s="4"/>
      <c r="B481" s="4"/>
      <c r="F481" s="4"/>
      <c r="M481" s="4"/>
      <c r="N481" s="4"/>
      <c r="Q481" s="4"/>
      <c r="R481" s="4"/>
      <c r="U481" s="4"/>
    </row>
    <row r="482" spans="1:21" ht="15.75" customHeight="1" x14ac:dyDescent="0.35">
      <c r="A482" s="4"/>
      <c r="B482" s="4"/>
      <c r="F482" s="4"/>
      <c r="M482" s="4"/>
      <c r="N482" s="4"/>
      <c r="Q482" s="4"/>
      <c r="R482" s="4"/>
      <c r="U482" s="4"/>
    </row>
    <row r="483" spans="1:21" ht="15.75" customHeight="1" x14ac:dyDescent="0.35">
      <c r="A483" s="4"/>
      <c r="B483" s="4"/>
      <c r="F483" s="4"/>
      <c r="M483" s="4"/>
      <c r="N483" s="4"/>
      <c r="Q483" s="4"/>
      <c r="R483" s="4"/>
      <c r="U483" s="4"/>
    </row>
    <row r="484" spans="1:21" ht="15.75" customHeight="1" x14ac:dyDescent="0.35">
      <c r="A484" s="4"/>
      <c r="B484" s="4"/>
      <c r="F484" s="4"/>
      <c r="M484" s="4"/>
      <c r="N484" s="4"/>
      <c r="Q484" s="4"/>
      <c r="R484" s="4"/>
      <c r="U484" s="4"/>
    </row>
    <row r="485" spans="1:21" ht="15.75" customHeight="1" x14ac:dyDescent="0.35">
      <c r="A485" s="4"/>
      <c r="B485" s="4"/>
      <c r="F485" s="4"/>
      <c r="M485" s="4"/>
      <c r="N485" s="4"/>
      <c r="Q485" s="4"/>
      <c r="R485" s="4"/>
      <c r="U485" s="4"/>
    </row>
    <row r="486" spans="1:21" ht="15.75" customHeight="1" x14ac:dyDescent="0.35">
      <c r="A486" s="4"/>
      <c r="B486" s="4"/>
      <c r="F486" s="4"/>
      <c r="M486" s="4"/>
      <c r="N486" s="4"/>
      <c r="Q486" s="4"/>
      <c r="R486" s="4"/>
      <c r="U486" s="4"/>
    </row>
    <row r="487" spans="1:21" ht="15.75" customHeight="1" x14ac:dyDescent="0.35">
      <c r="A487" s="4"/>
      <c r="B487" s="4"/>
      <c r="F487" s="4"/>
      <c r="M487" s="4"/>
      <c r="N487" s="4"/>
      <c r="Q487" s="4"/>
      <c r="R487" s="4"/>
      <c r="U487" s="4"/>
    </row>
    <row r="488" spans="1:21" ht="15.75" customHeight="1" x14ac:dyDescent="0.35">
      <c r="A488" s="4"/>
      <c r="B488" s="4"/>
      <c r="F488" s="4"/>
      <c r="M488" s="4"/>
      <c r="N488" s="4"/>
      <c r="Q488" s="4"/>
      <c r="R488" s="4"/>
      <c r="U488" s="4"/>
    </row>
    <row r="489" spans="1:21" ht="15.75" customHeight="1" x14ac:dyDescent="0.35">
      <c r="A489" s="4"/>
      <c r="B489" s="4"/>
      <c r="F489" s="4"/>
      <c r="M489" s="4"/>
      <c r="N489" s="4"/>
      <c r="Q489" s="4"/>
      <c r="R489" s="4"/>
      <c r="U489" s="4"/>
    </row>
    <row r="490" spans="1:21" ht="15.75" customHeight="1" x14ac:dyDescent="0.35">
      <c r="A490" s="4"/>
      <c r="B490" s="4"/>
      <c r="F490" s="4"/>
      <c r="M490" s="4"/>
      <c r="N490" s="4"/>
      <c r="Q490" s="4"/>
      <c r="R490" s="4"/>
      <c r="U490" s="4"/>
    </row>
    <row r="491" spans="1:21" ht="15.75" customHeight="1" x14ac:dyDescent="0.35">
      <c r="A491" s="4"/>
      <c r="B491" s="4"/>
      <c r="F491" s="4"/>
      <c r="M491" s="4"/>
      <c r="N491" s="4"/>
      <c r="Q491" s="4"/>
      <c r="R491" s="4"/>
      <c r="U491" s="4"/>
    </row>
    <row r="492" spans="1:21" ht="15.75" customHeight="1" x14ac:dyDescent="0.35">
      <c r="A492" s="4"/>
      <c r="B492" s="4"/>
      <c r="F492" s="4"/>
      <c r="M492" s="4"/>
      <c r="N492" s="4"/>
      <c r="Q492" s="4"/>
      <c r="R492" s="4"/>
      <c r="U492" s="4"/>
    </row>
    <row r="493" spans="1:21" ht="15.75" customHeight="1" x14ac:dyDescent="0.35">
      <c r="A493" s="4"/>
      <c r="B493" s="4"/>
      <c r="F493" s="4"/>
      <c r="M493" s="4"/>
      <c r="N493" s="4"/>
      <c r="Q493" s="4"/>
      <c r="R493" s="4"/>
      <c r="U493" s="4"/>
    </row>
    <row r="494" spans="1:21" ht="15.75" customHeight="1" x14ac:dyDescent="0.35">
      <c r="A494" s="4"/>
      <c r="B494" s="4"/>
      <c r="F494" s="4"/>
      <c r="M494" s="4"/>
      <c r="N494" s="4"/>
      <c r="Q494" s="4"/>
      <c r="R494" s="4"/>
      <c r="U494" s="4"/>
    </row>
    <row r="495" spans="1:21" ht="15.75" customHeight="1" x14ac:dyDescent="0.35">
      <c r="A495" s="4"/>
      <c r="B495" s="4"/>
      <c r="F495" s="4"/>
      <c r="M495" s="4"/>
      <c r="N495" s="4"/>
      <c r="Q495" s="4"/>
      <c r="R495" s="4"/>
      <c r="U495" s="4"/>
    </row>
    <row r="496" spans="1:21" ht="15.75" customHeight="1" x14ac:dyDescent="0.35">
      <c r="A496" s="4"/>
      <c r="B496" s="4"/>
      <c r="F496" s="4"/>
      <c r="M496" s="4"/>
      <c r="N496" s="4"/>
      <c r="Q496" s="4"/>
      <c r="R496" s="4"/>
      <c r="U496" s="4"/>
    </row>
    <row r="497" spans="1:21" ht="15.75" customHeight="1" x14ac:dyDescent="0.35">
      <c r="A497" s="4"/>
      <c r="B497" s="4"/>
      <c r="F497" s="4"/>
      <c r="M497" s="4"/>
      <c r="N497" s="4"/>
      <c r="Q497" s="4"/>
      <c r="R497" s="4"/>
      <c r="U497" s="4"/>
    </row>
    <row r="498" spans="1:21" ht="15.75" customHeight="1" x14ac:dyDescent="0.35">
      <c r="A498" s="4"/>
      <c r="B498" s="4"/>
      <c r="F498" s="4"/>
      <c r="M498" s="4"/>
      <c r="N498" s="4"/>
      <c r="Q498" s="4"/>
      <c r="R498" s="4"/>
      <c r="U498" s="4"/>
    </row>
    <row r="499" spans="1:21" ht="15.75" customHeight="1" x14ac:dyDescent="0.35">
      <c r="A499" s="4"/>
      <c r="B499" s="4"/>
      <c r="F499" s="4"/>
      <c r="M499" s="4"/>
      <c r="N499" s="4"/>
      <c r="Q499" s="4"/>
      <c r="R499" s="4"/>
      <c r="U499" s="4"/>
    </row>
    <row r="500" spans="1:21" ht="15.75" customHeight="1" x14ac:dyDescent="0.35">
      <c r="A500" s="4"/>
      <c r="B500" s="4"/>
      <c r="F500" s="4"/>
      <c r="M500" s="4"/>
      <c r="N500" s="4"/>
      <c r="Q500" s="4"/>
      <c r="R500" s="4"/>
      <c r="U500" s="4"/>
    </row>
    <row r="501" spans="1:21" ht="15.75" customHeight="1" x14ac:dyDescent="0.35">
      <c r="A501" s="4"/>
      <c r="B501" s="4"/>
      <c r="F501" s="4"/>
      <c r="M501" s="4"/>
      <c r="N501" s="4"/>
      <c r="Q501" s="4"/>
      <c r="R501" s="4"/>
      <c r="U501" s="4"/>
    </row>
    <row r="502" spans="1:21" ht="15.75" customHeight="1" x14ac:dyDescent="0.35">
      <c r="A502" s="4"/>
      <c r="B502" s="4"/>
      <c r="F502" s="4"/>
      <c r="M502" s="4"/>
      <c r="N502" s="4"/>
      <c r="Q502" s="4"/>
      <c r="R502" s="4"/>
      <c r="U502" s="4"/>
    </row>
    <row r="503" spans="1:21" ht="15.75" customHeight="1" x14ac:dyDescent="0.35">
      <c r="A503" s="4"/>
      <c r="B503" s="4"/>
      <c r="F503" s="4"/>
      <c r="M503" s="4"/>
      <c r="N503" s="4"/>
      <c r="Q503" s="4"/>
      <c r="R503" s="4"/>
      <c r="U503" s="4"/>
    </row>
    <row r="504" spans="1:21" ht="15.75" customHeight="1" x14ac:dyDescent="0.35">
      <c r="A504" s="4"/>
      <c r="B504" s="4"/>
      <c r="F504" s="4"/>
      <c r="M504" s="4"/>
      <c r="N504" s="4"/>
      <c r="Q504" s="4"/>
      <c r="R504" s="4"/>
      <c r="U504" s="4"/>
    </row>
    <row r="505" spans="1:21" ht="15.75" customHeight="1" x14ac:dyDescent="0.35">
      <c r="A505" s="4"/>
      <c r="B505" s="4"/>
      <c r="F505" s="4"/>
      <c r="M505" s="4"/>
      <c r="N505" s="4"/>
      <c r="Q505" s="4"/>
      <c r="R505" s="4"/>
      <c r="U505" s="4"/>
    </row>
    <row r="506" spans="1:21" ht="15.75" customHeight="1" x14ac:dyDescent="0.35">
      <c r="A506" s="4"/>
      <c r="B506" s="4"/>
      <c r="F506" s="4"/>
      <c r="M506" s="4"/>
      <c r="N506" s="4"/>
      <c r="Q506" s="4"/>
      <c r="R506" s="4"/>
      <c r="U506" s="4"/>
    </row>
    <row r="507" spans="1:21" ht="15.75" customHeight="1" x14ac:dyDescent="0.35">
      <c r="A507" s="4"/>
      <c r="B507" s="4"/>
      <c r="F507" s="4"/>
      <c r="M507" s="4"/>
      <c r="N507" s="4"/>
      <c r="Q507" s="4"/>
      <c r="R507" s="4"/>
      <c r="U507" s="4"/>
    </row>
    <row r="508" spans="1:21" ht="15.75" customHeight="1" x14ac:dyDescent="0.35">
      <c r="A508" s="4"/>
      <c r="B508" s="4"/>
      <c r="F508" s="4"/>
      <c r="M508" s="4"/>
      <c r="N508" s="4"/>
      <c r="Q508" s="4"/>
      <c r="R508" s="4"/>
      <c r="U508" s="4"/>
    </row>
    <row r="509" spans="1:21" ht="15.75" customHeight="1" x14ac:dyDescent="0.35">
      <c r="A509" s="4"/>
      <c r="B509" s="4"/>
      <c r="F509" s="4"/>
      <c r="M509" s="4"/>
      <c r="N509" s="4"/>
      <c r="Q509" s="4"/>
      <c r="R509" s="4"/>
      <c r="U509" s="4"/>
    </row>
    <row r="510" spans="1:21" ht="15.75" customHeight="1" x14ac:dyDescent="0.35">
      <c r="A510" s="4"/>
      <c r="B510" s="4"/>
      <c r="F510" s="4"/>
      <c r="M510" s="4"/>
      <c r="N510" s="4"/>
      <c r="Q510" s="4"/>
      <c r="R510" s="4"/>
      <c r="U510" s="4"/>
    </row>
    <row r="511" spans="1:21" ht="15.75" customHeight="1" x14ac:dyDescent="0.35">
      <c r="A511" s="4"/>
      <c r="B511" s="4"/>
      <c r="F511" s="4"/>
      <c r="M511" s="4"/>
      <c r="N511" s="4"/>
      <c r="Q511" s="4"/>
      <c r="R511" s="4"/>
      <c r="U511" s="4"/>
    </row>
    <row r="512" spans="1:21" ht="15.75" customHeight="1" x14ac:dyDescent="0.35">
      <c r="A512" s="4"/>
      <c r="B512" s="4"/>
      <c r="F512" s="4"/>
      <c r="M512" s="4"/>
      <c r="N512" s="4"/>
      <c r="Q512" s="4"/>
      <c r="R512" s="4"/>
      <c r="U512" s="4"/>
    </row>
    <row r="513" spans="1:21" ht="15.75" customHeight="1" x14ac:dyDescent="0.35">
      <c r="A513" s="4"/>
      <c r="B513" s="4"/>
      <c r="F513" s="4"/>
      <c r="M513" s="4"/>
      <c r="N513" s="4"/>
      <c r="Q513" s="4"/>
      <c r="R513" s="4"/>
      <c r="U513" s="4"/>
    </row>
    <row r="514" spans="1:21" ht="15.75" customHeight="1" x14ac:dyDescent="0.35">
      <c r="A514" s="4"/>
      <c r="B514" s="4"/>
      <c r="F514" s="4"/>
      <c r="M514" s="4"/>
      <c r="N514" s="4"/>
      <c r="Q514" s="4"/>
      <c r="R514" s="4"/>
      <c r="U514" s="4"/>
    </row>
    <row r="515" spans="1:21" ht="15.75" customHeight="1" x14ac:dyDescent="0.35">
      <c r="A515" s="4"/>
      <c r="B515" s="4"/>
      <c r="F515" s="4"/>
      <c r="M515" s="4"/>
      <c r="N515" s="4"/>
      <c r="Q515" s="4"/>
      <c r="R515" s="4"/>
      <c r="U515" s="4"/>
    </row>
    <row r="516" spans="1:21" ht="15.75" customHeight="1" x14ac:dyDescent="0.35">
      <c r="A516" s="4"/>
      <c r="B516" s="4"/>
      <c r="F516" s="4"/>
      <c r="M516" s="4"/>
      <c r="N516" s="4"/>
      <c r="Q516" s="4"/>
      <c r="R516" s="4"/>
      <c r="U516" s="4"/>
    </row>
    <row r="517" spans="1:21" ht="15.75" customHeight="1" x14ac:dyDescent="0.35">
      <c r="A517" s="4"/>
      <c r="B517" s="4"/>
      <c r="F517" s="4"/>
      <c r="M517" s="4"/>
      <c r="N517" s="4"/>
      <c r="Q517" s="4"/>
      <c r="R517" s="4"/>
      <c r="U517" s="4"/>
    </row>
    <row r="518" spans="1:21" ht="15.75" customHeight="1" x14ac:dyDescent="0.35">
      <c r="A518" s="4"/>
      <c r="B518" s="4"/>
      <c r="F518" s="4"/>
      <c r="M518" s="4"/>
      <c r="N518" s="4"/>
      <c r="Q518" s="4"/>
      <c r="R518" s="4"/>
      <c r="U518" s="4"/>
    </row>
    <row r="519" spans="1:21" ht="15.75" customHeight="1" x14ac:dyDescent="0.35">
      <c r="A519" s="4"/>
      <c r="B519" s="4"/>
      <c r="F519" s="4"/>
      <c r="M519" s="4"/>
      <c r="N519" s="4"/>
      <c r="Q519" s="4"/>
      <c r="R519" s="4"/>
      <c r="U519" s="4"/>
    </row>
    <row r="520" spans="1:21" ht="15.75" customHeight="1" x14ac:dyDescent="0.35">
      <c r="A520" s="4"/>
      <c r="B520" s="4"/>
      <c r="F520" s="4"/>
      <c r="M520" s="4"/>
      <c r="N520" s="4"/>
      <c r="Q520" s="4"/>
      <c r="R520" s="4"/>
      <c r="U520" s="4"/>
    </row>
    <row r="521" spans="1:21" ht="15.75" customHeight="1" x14ac:dyDescent="0.35">
      <c r="A521" s="4"/>
      <c r="B521" s="4"/>
      <c r="F521" s="4"/>
      <c r="M521" s="4"/>
      <c r="N521" s="4"/>
      <c r="Q521" s="4"/>
      <c r="R521" s="4"/>
      <c r="U521" s="4"/>
    </row>
    <row r="522" spans="1:21" ht="15.75" customHeight="1" x14ac:dyDescent="0.35">
      <c r="A522" s="4"/>
      <c r="B522" s="4"/>
      <c r="F522" s="4"/>
      <c r="M522" s="4"/>
      <c r="N522" s="4"/>
      <c r="Q522" s="4"/>
      <c r="R522" s="4"/>
      <c r="U522" s="4"/>
    </row>
    <row r="523" spans="1:21" ht="15.75" customHeight="1" x14ac:dyDescent="0.35">
      <c r="A523" s="4"/>
      <c r="B523" s="4"/>
      <c r="F523" s="4"/>
      <c r="M523" s="4"/>
      <c r="N523" s="4"/>
      <c r="Q523" s="4"/>
      <c r="R523" s="4"/>
      <c r="U523" s="4"/>
    </row>
    <row r="524" spans="1:21" ht="15.75" customHeight="1" x14ac:dyDescent="0.35">
      <c r="A524" s="4"/>
      <c r="B524" s="4"/>
      <c r="F524" s="4"/>
      <c r="M524" s="4"/>
      <c r="N524" s="4"/>
      <c r="Q524" s="4"/>
      <c r="R524" s="4"/>
      <c r="U524" s="4"/>
    </row>
    <row r="525" spans="1:21" ht="15.75" customHeight="1" x14ac:dyDescent="0.35">
      <c r="A525" s="4"/>
      <c r="B525" s="4"/>
      <c r="F525" s="4"/>
      <c r="M525" s="4"/>
      <c r="N525" s="4"/>
      <c r="Q525" s="4"/>
      <c r="R525" s="4"/>
      <c r="U525" s="4"/>
    </row>
    <row r="526" spans="1:21" ht="15.75" customHeight="1" x14ac:dyDescent="0.35">
      <c r="A526" s="4"/>
      <c r="B526" s="4"/>
      <c r="F526" s="4"/>
      <c r="M526" s="4"/>
      <c r="N526" s="4"/>
      <c r="Q526" s="4"/>
      <c r="R526" s="4"/>
      <c r="U526" s="4"/>
    </row>
    <row r="527" spans="1:21" ht="15.75" customHeight="1" x14ac:dyDescent="0.35">
      <c r="A527" s="4"/>
      <c r="B527" s="4"/>
      <c r="F527" s="4"/>
      <c r="M527" s="4"/>
      <c r="N527" s="4"/>
      <c r="Q527" s="4"/>
      <c r="R527" s="4"/>
      <c r="U527" s="4"/>
    </row>
    <row r="528" spans="1:21" ht="15.75" customHeight="1" x14ac:dyDescent="0.35">
      <c r="A528" s="4"/>
      <c r="B528" s="4"/>
      <c r="F528" s="4"/>
      <c r="M528" s="4"/>
      <c r="N528" s="4"/>
      <c r="Q528" s="4"/>
      <c r="R528" s="4"/>
      <c r="U528" s="4"/>
    </row>
    <row r="529" spans="1:21" ht="15.75" customHeight="1" x14ac:dyDescent="0.35">
      <c r="A529" s="4"/>
      <c r="B529" s="4"/>
      <c r="F529" s="4"/>
      <c r="M529" s="4"/>
      <c r="N529" s="4"/>
      <c r="Q529" s="4"/>
      <c r="R529" s="4"/>
      <c r="U529" s="4"/>
    </row>
    <row r="530" spans="1:21" ht="15.75" customHeight="1" x14ac:dyDescent="0.35">
      <c r="A530" s="4"/>
      <c r="B530" s="4"/>
      <c r="F530" s="4"/>
      <c r="M530" s="4"/>
      <c r="N530" s="4"/>
      <c r="Q530" s="4"/>
      <c r="R530" s="4"/>
      <c r="U530" s="4"/>
    </row>
    <row r="531" spans="1:21" ht="15.75" customHeight="1" x14ac:dyDescent="0.35">
      <c r="A531" s="4"/>
      <c r="B531" s="4"/>
      <c r="F531" s="4"/>
      <c r="M531" s="4"/>
      <c r="N531" s="4"/>
      <c r="Q531" s="4"/>
      <c r="R531" s="4"/>
      <c r="U531" s="4"/>
    </row>
    <row r="532" spans="1:21" ht="15.75" customHeight="1" x14ac:dyDescent="0.35">
      <c r="A532" s="4"/>
      <c r="B532" s="4"/>
      <c r="F532" s="4"/>
      <c r="M532" s="4"/>
      <c r="N532" s="4"/>
      <c r="Q532" s="4"/>
      <c r="R532" s="4"/>
      <c r="U532" s="4"/>
    </row>
    <row r="533" spans="1:21" ht="15.75" customHeight="1" x14ac:dyDescent="0.35">
      <c r="A533" s="4"/>
      <c r="B533" s="4"/>
      <c r="F533" s="4"/>
      <c r="M533" s="4"/>
      <c r="N533" s="4"/>
      <c r="Q533" s="4"/>
      <c r="R533" s="4"/>
      <c r="U533" s="4"/>
    </row>
    <row r="534" spans="1:21" ht="15.75" customHeight="1" x14ac:dyDescent="0.35">
      <c r="A534" s="4"/>
      <c r="B534" s="4"/>
      <c r="F534" s="4"/>
      <c r="M534" s="4"/>
      <c r="N534" s="4"/>
      <c r="Q534" s="4"/>
      <c r="R534" s="4"/>
      <c r="U534" s="4"/>
    </row>
    <row r="535" spans="1:21" ht="15.75" customHeight="1" x14ac:dyDescent="0.35">
      <c r="A535" s="4"/>
      <c r="B535" s="4"/>
      <c r="F535" s="4"/>
      <c r="M535" s="4"/>
      <c r="N535" s="4"/>
      <c r="Q535" s="4"/>
      <c r="R535" s="4"/>
      <c r="U535" s="4"/>
    </row>
    <row r="536" spans="1:21" ht="15.75" customHeight="1" x14ac:dyDescent="0.35">
      <c r="A536" s="4"/>
      <c r="B536" s="4"/>
      <c r="F536" s="4"/>
      <c r="M536" s="4"/>
      <c r="N536" s="4"/>
      <c r="Q536" s="4"/>
      <c r="R536" s="4"/>
      <c r="U536" s="4"/>
    </row>
    <row r="537" spans="1:21" ht="15.75" customHeight="1" x14ac:dyDescent="0.35">
      <c r="A537" s="4"/>
      <c r="B537" s="4"/>
      <c r="F537" s="4"/>
      <c r="M537" s="4"/>
      <c r="N537" s="4"/>
      <c r="Q537" s="4"/>
      <c r="R537" s="4"/>
      <c r="U537" s="4"/>
    </row>
    <row r="538" spans="1:21" ht="15.75" customHeight="1" x14ac:dyDescent="0.35">
      <c r="A538" s="4"/>
      <c r="B538" s="4"/>
      <c r="F538" s="4"/>
      <c r="M538" s="4"/>
      <c r="N538" s="4"/>
      <c r="Q538" s="4"/>
      <c r="R538" s="4"/>
      <c r="U538" s="4"/>
    </row>
    <row r="539" spans="1:21" ht="15.75" customHeight="1" x14ac:dyDescent="0.35">
      <c r="A539" s="4"/>
      <c r="B539" s="4"/>
      <c r="F539" s="4"/>
      <c r="M539" s="4"/>
      <c r="N539" s="4"/>
      <c r="Q539" s="4"/>
      <c r="R539" s="4"/>
      <c r="U539" s="4"/>
    </row>
    <row r="540" spans="1:21" ht="15.75" customHeight="1" x14ac:dyDescent="0.35">
      <c r="A540" s="4"/>
      <c r="B540" s="4"/>
      <c r="F540" s="4"/>
      <c r="M540" s="4"/>
      <c r="N540" s="4"/>
      <c r="Q540" s="4"/>
      <c r="R540" s="4"/>
      <c r="U540" s="4"/>
    </row>
    <row r="541" spans="1:21" ht="15.75" customHeight="1" x14ac:dyDescent="0.35">
      <c r="A541" s="4"/>
      <c r="B541" s="4"/>
      <c r="F541" s="4"/>
      <c r="M541" s="4"/>
      <c r="N541" s="4"/>
      <c r="Q541" s="4"/>
      <c r="R541" s="4"/>
      <c r="U541" s="4"/>
    </row>
    <row r="542" spans="1:21" ht="15.75" customHeight="1" x14ac:dyDescent="0.35">
      <c r="A542" s="4"/>
      <c r="B542" s="4"/>
      <c r="F542" s="4"/>
      <c r="M542" s="4"/>
      <c r="N542" s="4"/>
      <c r="Q542" s="4"/>
      <c r="R542" s="4"/>
      <c r="U542" s="4"/>
    </row>
    <row r="543" spans="1:21" ht="15.75" customHeight="1" x14ac:dyDescent="0.35">
      <c r="A543" s="4"/>
      <c r="B543" s="4"/>
      <c r="F543" s="4"/>
      <c r="M543" s="4"/>
      <c r="N543" s="4"/>
      <c r="Q543" s="4"/>
      <c r="R543" s="4"/>
      <c r="U543" s="4"/>
    </row>
    <row r="544" spans="1:21" ht="15.75" customHeight="1" x14ac:dyDescent="0.35">
      <c r="A544" s="4"/>
      <c r="B544" s="4"/>
      <c r="F544" s="4"/>
      <c r="M544" s="4"/>
      <c r="N544" s="4"/>
      <c r="Q544" s="4"/>
      <c r="R544" s="4"/>
      <c r="U544" s="4"/>
    </row>
    <row r="545" spans="1:21" ht="15.75" customHeight="1" x14ac:dyDescent="0.35">
      <c r="A545" s="4"/>
      <c r="B545" s="4"/>
      <c r="F545" s="4"/>
      <c r="M545" s="4"/>
      <c r="N545" s="4"/>
      <c r="Q545" s="4"/>
      <c r="R545" s="4"/>
      <c r="U545" s="4"/>
    </row>
    <row r="546" spans="1:21" ht="15.75" customHeight="1" x14ac:dyDescent="0.35">
      <c r="A546" s="4"/>
      <c r="B546" s="4"/>
      <c r="F546" s="4"/>
      <c r="M546" s="4"/>
      <c r="N546" s="4"/>
      <c r="Q546" s="4"/>
      <c r="R546" s="4"/>
      <c r="U546" s="4"/>
    </row>
    <row r="547" spans="1:21" ht="15.75" customHeight="1" x14ac:dyDescent="0.35">
      <c r="A547" s="4"/>
      <c r="B547" s="4"/>
      <c r="F547" s="4"/>
      <c r="M547" s="4"/>
      <c r="N547" s="4"/>
      <c r="Q547" s="4"/>
      <c r="R547" s="4"/>
      <c r="U547" s="4"/>
    </row>
    <row r="548" spans="1:21" ht="15.75" customHeight="1" x14ac:dyDescent="0.35">
      <c r="A548" s="4"/>
      <c r="B548" s="4"/>
      <c r="F548" s="4"/>
      <c r="M548" s="4"/>
      <c r="N548" s="4"/>
      <c r="Q548" s="4"/>
      <c r="R548" s="4"/>
      <c r="U548" s="4"/>
    </row>
    <row r="549" spans="1:21" ht="15.75" customHeight="1" x14ac:dyDescent="0.35">
      <c r="A549" s="4"/>
      <c r="B549" s="4"/>
      <c r="F549" s="4"/>
      <c r="M549" s="4"/>
      <c r="N549" s="4"/>
      <c r="Q549" s="4"/>
      <c r="R549" s="4"/>
      <c r="U549" s="4"/>
    </row>
    <row r="550" spans="1:21" ht="15.75" customHeight="1" x14ac:dyDescent="0.35">
      <c r="A550" s="4"/>
      <c r="B550" s="4"/>
      <c r="F550" s="4"/>
      <c r="M550" s="4"/>
      <c r="N550" s="4"/>
      <c r="Q550" s="4"/>
      <c r="R550" s="4"/>
      <c r="U550" s="4"/>
    </row>
    <row r="551" spans="1:21" ht="15.75" customHeight="1" x14ac:dyDescent="0.35">
      <c r="A551" s="4"/>
      <c r="B551" s="4"/>
      <c r="F551" s="4"/>
      <c r="M551" s="4"/>
      <c r="N551" s="4"/>
      <c r="Q551" s="4"/>
      <c r="R551" s="4"/>
      <c r="U551" s="4"/>
    </row>
    <row r="552" spans="1:21" ht="15.75" customHeight="1" x14ac:dyDescent="0.35">
      <c r="A552" s="4"/>
      <c r="B552" s="4"/>
      <c r="F552" s="4"/>
      <c r="M552" s="4"/>
      <c r="N552" s="4"/>
      <c r="Q552" s="4"/>
      <c r="R552" s="4"/>
      <c r="U552" s="4"/>
    </row>
    <row r="553" spans="1:21" ht="15.75" customHeight="1" x14ac:dyDescent="0.35">
      <c r="A553" s="4"/>
      <c r="B553" s="4"/>
      <c r="F553" s="4"/>
      <c r="M553" s="4"/>
      <c r="N553" s="4"/>
      <c r="Q553" s="4"/>
      <c r="R553" s="4"/>
      <c r="U553" s="4"/>
    </row>
    <row r="554" spans="1:21" ht="15.75" customHeight="1" x14ac:dyDescent="0.35">
      <c r="A554" s="4"/>
      <c r="B554" s="4"/>
      <c r="F554" s="4"/>
      <c r="M554" s="4"/>
      <c r="N554" s="4"/>
      <c r="Q554" s="4"/>
      <c r="R554" s="4"/>
      <c r="U554" s="4"/>
    </row>
    <row r="555" spans="1:21" ht="15.75" customHeight="1" x14ac:dyDescent="0.35">
      <c r="A555" s="4"/>
      <c r="B555" s="4"/>
      <c r="F555" s="4"/>
      <c r="M555" s="4"/>
      <c r="N555" s="4"/>
      <c r="Q555" s="4"/>
      <c r="R555" s="4"/>
      <c r="U555" s="4"/>
    </row>
    <row r="556" spans="1:21" ht="15.75" customHeight="1" x14ac:dyDescent="0.35">
      <c r="A556" s="4"/>
      <c r="B556" s="4"/>
      <c r="F556" s="4"/>
      <c r="M556" s="4"/>
      <c r="N556" s="4"/>
      <c r="Q556" s="4"/>
      <c r="R556" s="4"/>
      <c r="U556" s="4"/>
    </row>
    <row r="557" spans="1:21" ht="15.75" customHeight="1" x14ac:dyDescent="0.35">
      <c r="A557" s="4"/>
      <c r="B557" s="4"/>
      <c r="F557" s="4"/>
      <c r="M557" s="4"/>
      <c r="N557" s="4"/>
      <c r="Q557" s="4"/>
      <c r="R557" s="4"/>
      <c r="U557" s="4"/>
    </row>
    <row r="558" spans="1:21" ht="15.75" customHeight="1" x14ac:dyDescent="0.35">
      <c r="A558" s="4"/>
      <c r="B558" s="4"/>
      <c r="F558" s="4"/>
      <c r="M558" s="4"/>
      <c r="N558" s="4"/>
      <c r="Q558" s="4"/>
      <c r="R558" s="4"/>
      <c r="U558" s="4"/>
    </row>
    <row r="559" spans="1:21" ht="15.75" customHeight="1" x14ac:dyDescent="0.35">
      <c r="A559" s="4"/>
      <c r="B559" s="4"/>
      <c r="F559" s="4"/>
      <c r="M559" s="4"/>
      <c r="N559" s="4"/>
      <c r="Q559" s="4"/>
      <c r="R559" s="4"/>
      <c r="U559" s="4"/>
    </row>
    <row r="560" spans="1:21" ht="15.75" customHeight="1" x14ac:dyDescent="0.35">
      <c r="A560" s="4"/>
      <c r="B560" s="4"/>
      <c r="F560" s="4"/>
      <c r="M560" s="4"/>
      <c r="N560" s="4"/>
      <c r="Q560" s="4"/>
      <c r="R560" s="4"/>
      <c r="U560" s="4"/>
    </row>
    <row r="561" spans="1:21" ht="15.75" customHeight="1" x14ac:dyDescent="0.35">
      <c r="A561" s="4"/>
      <c r="B561" s="4"/>
      <c r="F561" s="4"/>
      <c r="M561" s="4"/>
      <c r="N561" s="4"/>
      <c r="Q561" s="4"/>
      <c r="R561" s="4"/>
      <c r="U561" s="4"/>
    </row>
    <row r="562" spans="1:21" ht="15.75" customHeight="1" x14ac:dyDescent="0.35">
      <c r="A562" s="4"/>
      <c r="B562" s="4"/>
      <c r="F562" s="4"/>
      <c r="M562" s="4"/>
      <c r="N562" s="4"/>
      <c r="Q562" s="4"/>
      <c r="R562" s="4"/>
      <c r="U562" s="4"/>
    </row>
    <row r="563" spans="1:21" ht="15.75" customHeight="1" x14ac:dyDescent="0.35">
      <c r="A563" s="4"/>
      <c r="B563" s="4"/>
      <c r="F563" s="4"/>
      <c r="M563" s="4"/>
      <c r="N563" s="4"/>
      <c r="Q563" s="4"/>
      <c r="R563" s="4"/>
      <c r="U563" s="4"/>
    </row>
    <row r="564" spans="1:21" ht="15.75" customHeight="1" x14ac:dyDescent="0.35">
      <c r="A564" s="4"/>
      <c r="B564" s="4"/>
      <c r="F564" s="4"/>
      <c r="M564" s="4"/>
      <c r="N564" s="4"/>
      <c r="Q564" s="4"/>
      <c r="R564" s="4"/>
      <c r="U564" s="4"/>
    </row>
    <row r="565" spans="1:21" ht="15.75" customHeight="1" x14ac:dyDescent="0.35">
      <c r="A565" s="4"/>
      <c r="B565" s="4"/>
      <c r="F565" s="4"/>
      <c r="M565" s="4"/>
      <c r="N565" s="4"/>
      <c r="Q565" s="4"/>
      <c r="R565" s="4"/>
      <c r="U565" s="4"/>
    </row>
    <row r="566" spans="1:21" ht="15.75" customHeight="1" x14ac:dyDescent="0.35">
      <c r="A566" s="4"/>
      <c r="B566" s="4"/>
      <c r="F566" s="4"/>
      <c r="M566" s="4"/>
      <c r="N566" s="4"/>
      <c r="Q566" s="4"/>
      <c r="R566" s="4"/>
      <c r="U566" s="4"/>
    </row>
    <row r="567" spans="1:21" ht="15.75" customHeight="1" x14ac:dyDescent="0.35">
      <c r="A567" s="4"/>
      <c r="B567" s="4"/>
      <c r="F567" s="4"/>
      <c r="M567" s="4"/>
      <c r="N567" s="4"/>
      <c r="Q567" s="4"/>
      <c r="R567" s="4"/>
      <c r="U567" s="4"/>
    </row>
    <row r="568" spans="1:21" ht="15.75" customHeight="1" x14ac:dyDescent="0.35">
      <c r="A568" s="4"/>
      <c r="B568" s="4"/>
      <c r="F568" s="4"/>
      <c r="M568" s="4"/>
      <c r="N568" s="4"/>
      <c r="Q568" s="4"/>
      <c r="R568" s="4"/>
      <c r="U568" s="4"/>
    </row>
    <row r="569" spans="1:21" ht="15.75" customHeight="1" x14ac:dyDescent="0.35">
      <c r="A569" s="4"/>
      <c r="B569" s="4"/>
      <c r="F569" s="4"/>
      <c r="M569" s="4"/>
      <c r="N569" s="4"/>
      <c r="Q569" s="4"/>
      <c r="R569" s="4"/>
      <c r="U569" s="4"/>
    </row>
    <row r="570" spans="1:21" ht="15.75" customHeight="1" x14ac:dyDescent="0.35">
      <c r="A570" s="4"/>
      <c r="B570" s="4"/>
      <c r="F570" s="4"/>
      <c r="M570" s="4"/>
      <c r="N570" s="4"/>
      <c r="Q570" s="4"/>
      <c r="R570" s="4"/>
      <c r="U570" s="4"/>
    </row>
    <row r="571" spans="1:21" ht="15.75" customHeight="1" x14ac:dyDescent="0.35">
      <c r="A571" s="4"/>
      <c r="B571" s="4"/>
      <c r="F571" s="4"/>
      <c r="M571" s="4"/>
      <c r="N571" s="4"/>
      <c r="Q571" s="4"/>
      <c r="R571" s="4"/>
      <c r="U571" s="4"/>
    </row>
    <row r="572" spans="1:21" ht="15.75" customHeight="1" x14ac:dyDescent="0.35">
      <c r="A572" s="4"/>
      <c r="B572" s="4"/>
      <c r="F572" s="4"/>
      <c r="M572" s="4"/>
      <c r="N572" s="4"/>
      <c r="Q572" s="4"/>
      <c r="R572" s="4"/>
      <c r="U572" s="4"/>
    </row>
    <row r="573" spans="1:21" ht="15.75" customHeight="1" x14ac:dyDescent="0.35">
      <c r="A573" s="4"/>
      <c r="B573" s="4"/>
      <c r="F573" s="4"/>
      <c r="M573" s="4"/>
      <c r="N573" s="4"/>
      <c r="Q573" s="4"/>
      <c r="R573" s="4"/>
      <c r="U573" s="4"/>
    </row>
    <row r="574" spans="1:21" ht="15.75" customHeight="1" x14ac:dyDescent="0.35">
      <c r="A574" s="4"/>
      <c r="B574" s="4"/>
      <c r="F574" s="4"/>
      <c r="M574" s="4"/>
      <c r="N574" s="4"/>
      <c r="Q574" s="4"/>
      <c r="R574" s="4"/>
      <c r="U574" s="4"/>
    </row>
    <row r="575" spans="1:21" ht="15.75" customHeight="1" x14ac:dyDescent="0.35">
      <c r="A575" s="4"/>
      <c r="B575" s="4"/>
      <c r="F575" s="4"/>
      <c r="M575" s="4"/>
      <c r="N575" s="4"/>
      <c r="Q575" s="4"/>
      <c r="R575" s="4"/>
      <c r="U575" s="4"/>
    </row>
    <row r="576" spans="1:21" ht="15.75" customHeight="1" x14ac:dyDescent="0.35">
      <c r="A576" s="4"/>
      <c r="B576" s="4"/>
      <c r="F576" s="4"/>
      <c r="M576" s="4"/>
      <c r="N576" s="4"/>
      <c r="Q576" s="4"/>
      <c r="R576" s="4"/>
      <c r="U576" s="4"/>
    </row>
    <row r="577" spans="1:21" ht="15.75" customHeight="1" x14ac:dyDescent="0.35">
      <c r="A577" s="4"/>
      <c r="B577" s="4"/>
      <c r="F577" s="4"/>
      <c r="M577" s="4"/>
      <c r="N577" s="4"/>
      <c r="Q577" s="4"/>
      <c r="R577" s="4"/>
      <c r="U577" s="4"/>
    </row>
    <row r="578" spans="1:21" ht="15.75" customHeight="1" x14ac:dyDescent="0.35">
      <c r="A578" s="4"/>
      <c r="B578" s="4"/>
      <c r="F578" s="4"/>
      <c r="M578" s="4"/>
      <c r="N578" s="4"/>
      <c r="Q578" s="4"/>
      <c r="R578" s="4"/>
      <c r="U578" s="4"/>
    </row>
    <row r="579" spans="1:21" ht="15.75" customHeight="1" x14ac:dyDescent="0.35">
      <c r="A579" s="4"/>
      <c r="B579" s="4"/>
      <c r="F579" s="4"/>
      <c r="M579" s="4"/>
      <c r="N579" s="4"/>
      <c r="Q579" s="4"/>
      <c r="R579" s="4"/>
      <c r="U579" s="4"/>
    </row>
    <row r="580" spans="1:21" ht="15.75" customHeight="1" x14ac:dyDescent="0.35">
      <c r="A580" s="4"/>
      <c r="B580" s="4"/>
      <c r="F580" s="4"/>
      <c r="M580" s="4"/>
      <c r="N580" s="4"/>
      <c r="Q580" s="4"/>
      <c r="R580" s="4"/>
      <c r="U580" s="4"/>
    </row>
    <row r="581" spans="1:21" ht="15.75" customHeight="1" x14ac:dyDescent="0.35">
      <c r="A581" s="4"/>
      <c r="B581" s="4"/>
      <c r="F581" s="4"/>
      <c r="M581" s="4"/>
      <c r="N581" s="4"/>
      <c r="Q581" s="4"/>
      <c r="R581" s="4"/>
      <c r="U581" s="4"/>
    </row>
    <row r="582" spans="1:21" ht="15.75" customHeight="1" x14ac:dyDescent="0.35">
      <c r="A582" s="4"/>
      <c r="B582" s="4"/>
      <c r="F582" s="4"/>
      <c r="M582" s="4"/>
      <c r="N582" s="4"/>
      <c r="Q582" s="4"/>
      <c r="R582" s="4"/>
      <c r="U582" s="4"/>
    </row>
    <row r="583" spans="1:21" ht="15.75" customHeight="1" x14ac:dyDescent="0.35">
      <c r="A583" s="4"/>
      <c r="B583" s="4"/>
      <c r="F583" s="4"/>
      <c r="M583" s="4"/>
      <c r="N583" s="4"/>
      <c r="Q583" s="4"/>
      <c r="R583" s="4"/>
      <c r="U583" s="4"/>
    </row>
    <row r="584" spans="1:21" ht="15.75" customHeight="1" x14ac:dyDescent="0.35">
      <c r="A584" s="4"/>
      <c r="B584" s="4"/>
      <c r="F584" s="4"/>
      <c r="M584" s="4"/>
      <c r="N584" s="4"/>
      <c r="Q584" s="4"/>
      <c r="R584" s="4"/>
      <c r="U584" s="4"/>
    </row>
    <row r="585" spans="1:21" ht="15.75" customHeight="1" x14ac:dyDescent="0.35">
      <c r="A585" s="4"/>
      <c r="B585" s="4"/>
      <c r="F585" s="4"/>
      <c r="M585" s="4"/>
      <c r="N585" s="4"/>
      <c r="Q585" s="4"/>
      <c r="R585" s="4"/>
      <c r="U585" s="4"/>
    </row>
    <row r="586" spans="1:21" ht="15.75" customHeight="1" x14ac:dyDescent="0.35">
      <c r="A586" s="4"/>
      <c r="B586" s="4"/>
      <c r="F586" s="4"/>
      <c r="M586" s="4"/>
      <c r="N586" s="4"/>
      <c r="Q586" s="4"/>
      <c r="R586" s="4"/>
      <c r="U586" s="4"/>
    </row>
    <row r="587" spans="1:21" ht="15.75" customHeight="1" x14ac:dyDescent="0.35">
      <c r="A587" s="4"/>
      <c r="B587" s="4"/>
      <c r="F587" s="4"/>
      <c r="M587" s="4"/>
      <c r="N587" s="4"/>
      <c r="Q587" s="4"/>
      <c r="R587" s="4"/>
      <c r="U587" s="4"/>
    </row>
    <row r="588" spans="1:21" ht="15.75" customHeight="1" x14ac:dyDescent="0.35">
      <c r="A588" s="4"/>
      <c r="B588" s="4"/>
      <c r="F588" s="4"/>
      <c r="M588" s="4"/>
      <c r="N588" s="4"/>
      <c r="Q588" s="4"/>
      <c r="R588" s="4"/>
      <c r="U588" s="4"/>
    </row>
    <row r="589" spans="1:21" ht="15.75" customHeight="1" x14ac:dyDescent="0.35">
      <c r="A589" s="4"/>
      <c r="B589" s="4"/>
      <c r="F589" s="4"/>
      <c r="M589" s="4"/>
      <c r="N589" s="4"/>
      <c r="Q589" s="4"/>
      <c r="R589" s="4"/>
      <c r="U589" s="4"/>
    </row>
    <row r="590" spans="1:21" ht="15.75" customHeight="1" x14ac:dyDescent="0.35">
      <c r="A590" s="4"/>
      <c r="B590" s="4"/>
      <c r="F590" s="4"/>
      <c r="M590" s="4"/>
      <c r="N590" s="4"/>
      <c r="Q590" s="4"/>
      <c r="R590" s="4"/>
      <c r="U590" s="4"/>
    </row>
    <row r="591" spans="1:21" ht="15.75" customHeight="1" x14ac:dyDescent="0.35">
      <c r="A591" s="4"/>
      <c r="B591" s="4"/>
      <c r="F591" s="4"/>
      <c r="M591" s="4"/>
      <c r="N591" s="4"/>
      <c r="Q591" s="4"/>
      <c r="R591" s="4"/>
      <c r="U591" s="4"/>
    </row>
    <row r="592" spans="1:21" ht="15.75" customHeight="1" x14ac:dyDescent="0.35">
      <c r="A592" s="4"/>
      <c r="B592" s="4"/>
      <c r="F592" s="4"/>
      <c r="M592" s="4"/>
      <c r="N592" s="4"/>
      <c r="Q592" s="4"/>
      <c r="R592" s="4"/>
      <c r="U592" s="4"/>
    </row>
    <row r="593" spans="1:21" ht="15.75" customHeight="1" x14ac:dyDescent="0.35">
      <c r="A593" s="4"/>
      <c r="B593" s="4"/>
      <c r="F593" s="4"/>
      <c r="M593" s="4"/>
      <c r="N593" s="4"/>
      <c r="Q593" s="4"/>
      <c r="R593" s="4"/>
      <c r="U593" s="4"/>
    </row>
    <row r="594" spans="1:21" ht="15.75" customHeight="1" x14ac:dyDescent="0.35">
      <c r="A594" s="4"/>
      <c r="B594" s="4"/>
      <c r="F594" s="4"/>
      <c r="M594" s="4"/>
      <c r="N594" s="4"/>
      <c r="Q594" s="4"/>
      <c r="R594" s="4"/>
      <c r="U594" s="4"/>
    </row>
    <row r="595" spans="1:21" ht="15.75" customHeight="1" x14ac:dyDescent="0.35">
      <c r="A595" s="4"/>
      <c r="B595" s="4"/>
      <c r="F595" s="4"/>
      <c r="M595" s="4"/>
      <c r="N595" s="4"/>
      <c r="Q595" s="4"/>
      <c r="R595" s="4"/>
      <c r="U595" s="4"/>
    </row>
    <row r="596" spans="1:21" ht="15.75" customHeight="1" x14ac:dyDescent="0.35">
      <c r="A596" s="4"/>
      <c r="B596" s="4"/>
      <c r="F596" s="4"/>
      <c r="M596" s="4"/>
      <c r="N596" s="4"/>
      <c r="Q596" s="4"/>
      <c r="R596" s="4"/>
      <c r="U596" s="4"/>
    </row>
    <row r="597" spans="1:21" ht="15.75" customHeight="1" x14ac:dyDescent="0.35">
      <c r="A597" s="4"/>
      <c r="B597" s="4"/>
      <c r="F597" s="4"/>
      <c r="M597" s="4"/>
      <c r="N597" s="4"/>
      <c r="Q597" s="4"/>
      <c r="R597" s="4"/>
      <c r="U597" s="4"/>
    </row>
    <row r="598" spans="1:21" ht="15.75" customHeight="1" x14ac:dyDescent="0.35">
      <c r="A598" s="4"/>
      <c r="B598" s="4"/>
      <c r="F598" s="4"/>
      <c r="M598" s="4"/>
      <c r="N598" s="4"/>
      <c r="Q598" s="4"/>
      <c r="R598" s="4"/>
      <c r="U598" s="4"/>
    </row>
    <row r="599" spans="1:21" ht="15.75" customHeight="1" x14ac:dyDescent="0.35">
      <c r="A599" s="4"/>
      <c r="B599" s="4"/>
      <c r="F599" s="4"/>
      <c r="M599" s="4"/>
      <c r="N599" s="4"/>
      <c r="Q599" s="4"/>
      <c r="R599" s="4"/>
      <c r="U599" s="4"/>
    </row>
    <row r="600" spans="1:21" ht="15.75" customHeight="1" x14ac:dyDescent="0.35">
      <c r="A600" s="4"/>
      <c r="B600" s="4"/>
      <c r="F600" s="4"/>
      <c r="M600" s="4"/>
      <c r="N600" s="4"/>
      <c r="Q600" s="4"/>
      <c r="R600" s="4"/>
      <c r="U600" s="4"/>
    </row>
    <row r="601" spans="1:21" ht="15.75" customHeight="1" x14ac:dyDescent="0.35">
      <c r="A601" s="4"/>
      <c r="B601" s="4"/>
      <c r="F601" s="4"/>
      <c r="M601" s="4"/>
      <c r="N601" s="4"/>
      <c r="Q601" s="4"/>
      <c r="R601" s="4"/>
      <c r="U601" s="4"/>
    </row>
    <row r="602" spans="1:21" ht="15.75" customHeight="1" x14ac:dyDescent="0.35">
      <c r="A602" s="4"/>
      <c r="B602" s="4"/>
      <c r="F602" s="4"/>
      <c r="M602" s="4"/>
      <c r="N602" s="4"/>
      <c r="Q602" s="4"/>
      <c r="R602" s="4"/>
      <c r="U602" s="4"/>
    </row>
    <row r="603" spans="1:21" ht="15.75" customHeight="1" x14ac:dyDescent="0.35">
      <c r="A603" s="4"/>
      <c r="B603" s="4"/>
      <c r="F603" s="4"/>
      <c r="M603" s="4"/>
      <c r="N603" s="4"/>
      <c r="Q603" s="4"/>
      <c r="R603" s="4"/>
      <c r="U603" s="4"/>
    </row>
    <row r="604" spans="1:21" ht="15.75" customHeight="1" x14ac:dyDescent="0.35">
      <c r="A604" s="4"/>
      <c r="B604" s="4"/>
      <c r="F604" s="4"/>
      <c r="M604" s="4"/>
      <c r="N604" s="4"/>
      <c r="Q604" s="4"/>
      <c r="R604" s="4"/>
      <c r="U604" s="4"/>
    </row>
    <row r="605" spans="1:21" ht="15.75" customHeight="1" x14ac:dyDescent="0.35">
      <c r="A605" s="4"/>
      <c r="B605" s="4"/>
      <c r="F605" s="4"/>
      <c r="M605" s="4"/>
      <c r="N605" s="4"/>
      <c r="Q605" s="4"/>
      <c r="R605" s="4"/>
      <c r="U605" s="4"/>
    </row>
    <row r="606" spans="1:21" ht="15.75" customHeight="1" x14ac:dyDescent="0.35">
      <c r="A606" s="4"/>
      <c r="B606" s="4"/>
      <c r="F606" s="4"/>
      <c r="M606" s="4"/>
      <c r="N606" s="4"/>
      <c r="Q606" s="4"/>
      <c r="R606" s="4"/>
      <c r="U606" s="4"/>
    </row>
    <row r="607" spans="1:21" ht="15.75" customHeight="1" x14ac:dyDescent="0.35">
      <c r="A607" s="4"/>
      <c r="B607" s="4"/>
      <c r="F607" s="4"/>
      <c r="M607" s="4"/>
      <c r="N607" s="4"/>
      <c r="Q607" s="4"/>
      <c r="R607" s="4"/>
      <c r="U607" s="4"/>
    </row>
    <row r="608" spans="1:21" ht="15.75" customHeight="1" x14ac:dyDescent="0.35">
      <c r="A608" s="4"/>
      <c r="B608" s="4"/>
      <c r="F608" s="4"/>
      <c r="M608" s="4"/>
      <c r="N608" s="4"/>
      <c r="Q608" s="4"/>
      <c r="R608" s="4"/>
      <c r="U608" s="4"/>
    </row>
    <row r="609" spans="1:21" ht="15.75" customHeight="1" x14ac:dyDescent="0.35">
      <c r="A609" s="4"/>
      <c r="B609" s="4"/>
      <c r="F609" s="4"/>
      <c r="M609" s="4"/>
      <c r="N609" s="4"/>
      <c r="Q609" s="4"/>
      <c r="R609" s="4"/>
      <c r="U609" s="4"/>
    </row>
    <row r="610" spans="1:21" ht="15.75" customHeight="1" x14ac:dyDescent="0.35">
      <c r="A610" s="4"/>
      <c r="B610" s="4"/>
      <c r="F610" s="4"/>
      <c r="M610" s="4"/>
      <c r="N610" s="4"/>
      <c r="Q610" s="4"/>
      <c r="R610" s="4"/>
      <c r="U610" s="4"/>
    </row>
    <row r="611" spans="1:21" ht="15.75" customHeight="1" x14ac:dyDescent="0.35">
      <c r="A611" s="4"/>
      <c r="B611" s="4"/>
      <c r="F611" s="4"/>
      <c r="M611" s="4"/>
      <c r="N611" s="4"/>
      <c r="Q611" s="4"/>
      <c r="R611" s="4"/>
      <c r="U611" s="4"/>
    </row>
    <row r="612" spans="1:21" ht="15.75" customHeight="1" x14ac:dyDescent="0.35">
      <c r="A612" s="4"/>
      <c r="B612" s="4"/>
      <c r="F612" s="4"/>
      <c r="M612" s="4"/>
      <c r="N612" s="4"/>
      <c r="Q612" s="4"/>
      <c r="R612" s="4"/>
      <c r="U612" s="4"/>
    </row>
    <row r="613" spans="1:21" ht="15.75" customHeight="1" x14ac:dyDescent="0.35">
      <c r="A613" s="4"/>
      <c r="B613" s="4"/>
      <c r="F613" s="4"/>
      <c r="M613" s="4"/>
      <c r="N613" s="4"/>
      <c r="Q613" s="4"/>
      <c r="R613" s="4"/>
      <c r="U613" s="4"/>
    </row>
    <row r="614" spans="1:21" ht="15.75" customHeight="1" x14ac:dyDescent="0.35">
      <c r="A614" s="4"/>
      <c r="B614" s="4"/>
      <c r="F614" s="4"/>
      <c r="M614" s="4"/>
      <c r="N614" s="4"/>
      <c r="Q614" s="4"/>
      <c r="R614" s="4"/>
      <c r="U614" s="4"/>
    </row>
    <row r="615" spans="1:21" ht="15.75" customHeight="1" x14ac:dyDescent="0.35">
      <c r="A615" s="4"/>
      <c r="B615" s="4"/>
      <c r="F615" s="4"/>
      <c r="M615" s="4"/>
      <c r="N615" s="4"/>
      <c r="Q615" s="4"/>
      <c r="R615" s="4"/>
      <c r="U615" s="4"/>
    </row>
    <row r="616" spans="1:21" ht="15.75" customHeight="1" x14ac:dyDescent="0.35">
      <c r="A616" s="4"/>
      <c r="B616" s="4"/>
      <c r="F616" s="4"/>
      <c r="M616" s="4"/>
      <c r="N616" s="4"/>
      <c r="Q616" s="4"/>
      <c r="R616" s="4"/>
      <c r="U616" s="4"/>
    </row>
    <row r="617" spans="1:21" ht="15.75" customHeight="1" x14ac:dyDescent="0.35">
      <c r="A617" s="4"/>
      <c r="B617" s="4"/>
      <c r="F617" s="4"/>
      <c r="M617" s="4"/>
      <c r="N617" s="4"/>
      <c r="Q617" s="4"/>
      <c r="R617" s="4"/>
      <c r="U617" s="4"/>
    </row>
    <row r="618" spans="1:21" ht="15.75" customHeight="1" x14ac:dyDescent="0.35">
      <c r="A618" s="4"/>
      <c r="B618" s="4"/>
      <c r="F618" s="4"/>
      <c r="M618" s="4"/>
      <c r="N618" s="4"/>
      <c r="Q618" s="4"/>
      <c r="R618" s="4"/>
      <c r="U618" s="4"/>
    </row>
    <row r="619" spans="1:21" ht="15.75" customHeight="1" x14ac:dyDescent="0.35">
      <c r="A619" s="4"/>
      <c r="B619" s="4"/>
      <c r="F619" s="4"/>
      <c r="M619" s="4"/>
      <c r="N619" s="4"/>
      <c r="Q619" s="4"/>
      <c r="R619" s="4"/>
      <c r="U619" s="4"/>
    </row>
    <row r="620" spans="1:21" ht="15.75" customHeight="1" x14ac:dyDescent="0.35">
      <c r="A620" s="4"/>
      <c r="B620" s="4"/>
      <c r="F620" s="4"/>
      <c r="M620" s="4"/>
      <c r="N620" s="4"/>
      <c r="Q620" s="4"/>
      <c r="R620" s="4"/>
      <c r="U620" s="4"/>
    </row>
    <row r="621" spans="1:21" ht="15.75" customHeight="1" x14ac:dyDescent="0.35">
      <c r="A621" s="4"/>
      <c r="B621" s="4"/>
      <c r="F621" s="4"/>
      <c r="M621" s="4"/>
      <c r="N621" s="4"/>
      <c r="Q621" s="4"/>
      <c r="R621" s="4"/>
      <c r="U621" s="4"/>
    </row>
    <row r="622" spans="1:21" ht="15.75" customHeight="1" x14ac:dyDescent="0.35">
      <c r="A622" s="4"/>
      <c r="B622" s="4"/>
      <c r="F622" s="4"/>
      <c r="M622" s="4"/>
      <c r="N622" s="4"/>
      <c r="Q622" s="4"/>
      <c r="R622" s="4"/>
      <c r="U622" s="4"/>
    </row>
    <row r="623" spans="1:21" ht="15.75" customHeight="1" x14ac:dyDescent="0.35">
      <c r="A623" s="4"/>
      <c r="B623" s="4"/>
      <c r="F623" s="4"/>
      <c r="M623" s="4"/>
      <c r="N623" s="4"/>
      <c r="Q623" s="4"/>
      <c r="R623" s="4"/>
      <c r="U623" s="4"/>
    </row>
    <row r="624" spans="1:21" ht="15.75" customHeight="1" x14ac:dyDescent="0.35">
      <c r="A624" s="4"/>
      <c r="B624" s="4"/>
      <c r="F624" s="4"/>
      <c r="M624" s="4"/>
      <c r="N624" s="4"/>
      <c r="Q624" s="4"/>
      <c r="R624" s="4"/>
      <c r="U624" s="4"/>
    </row>
    <row r="625" spans="1:21" ht="15.75" customHeight="1" x14ac:dyDescent="0.35">
      <c r="A625" s="4"/>
      <c r="B625" s="4"/>
      <c r="F625" s="4"/>
      <c r="M625" s="4"/>
      <c r="N625" s="4"/>
      <c r="Q625" s="4"/>
      <c r="R625" s="4"/>
      <c r="U625" s="4"/>
    </row>
    <row r="626" spans="1:21" ht="15.75" customHeight="1" x14ac:dyDescent="0.35">
      <c r="A626" s="4"/>
      <c r="B626" s="4"/>
      <c r="F626" s="4"/>
      <c r="M626" s="4"/>
      <c r="N626" s="4"/>
      <c r="Q626" s="4"/>
      <c r="R626" s="4"/>
      <c r="U626" s="4"/>
    </row>
    <row r="627" spans="1:21" ht="15.75" customHeight="1" x14ac:dyDescent="0.35">
      <c r="A627" s="4"/>
      <c r="B627" s="4"/>
      <c r="F627" s="4"/>
      <c r="M627" s="4"/>
      <c r="N627" s="4"/>
      <c r="Q627" s="4"/>
      <c r="R627" s="4"/>
      <c r="U627" s="4"/>
    </row>
    <row r="628" spans="1:21" ht="15.75" customHeight="1" x14ac:dyDescent="0.35">
      <c r="A628" s="4"/>
      <c r="B628" s="4"/>
      <c r="F628" s="4"/>
      <c r="M628" s="4"/>
      <c r="N628" s="4"/>
      <c r="Q628" s="4"/>
      <c r="R628" s="4"/>
      <c r="U628" s="4"/>
    </row>
    <row r="629" spans="1:21" ht="15.75" customHeight="1" x14ac:dyDescent="0.35">
      <c r="A629" s="4"/>
      <c r="B629" s="4"/>
      <c r="F629" s="4"/>
      <c r="M629" s="4"/>
      <c r="N629" s="4"/>
      <c r="Q629" s="4"/>
      <c r="R629" s="4"/>
      <c r="U629" s="4"/>
    </row>
    <row r="630" spans="1:21" ht="15.75" customHeight="1" x14ac:dyDescent="0.35">
      <c r="A630" s="4"/>
      <c r="B630" s="4"/>
      <c r="F630" s="4"/>
      <c r="M630" s="4"/>
      <c r="N630" s="4"/>
      <c r="Q630" s="4"/>
      <c r="R630" s="4"/>
      <c r="U630" s="4"/>
    </row>
    <row r="631" spans="1:21" ht="15.75" customHeight="1" x14ac:dyDescent="0.35">
      <c r="A631" s="4"/>
      <c r="B631" s="4"/>
      <c r="F631" s="4"/>
      <c r="M631" s="4"/>
      <c r="N631" s="4"/>
      <c r="Q631" s="4"/>
      <c r="R631" s="4"/>
      <c r="U631" s="4"/>
    </row>
    <row r="632" spans="1:21" ht="15.75" customHeight="1" x14ac:dyDescent="0.35">
      <c r="A632" s="4"/>
      <c r="B632" s="4"/>
      <c r="F632" s="4"/>
      <c r="M632" s="4"/>
      <c r="N632" s="4"/>
      <c r="Q632" s="4"/>
      <c r="R632" s="4"/>
      <c r="U632" s="4"/>
    </row>
    <row r="633" spans="1:21" ht="15.75" customHeight="1" x14ac:dyDescent="0.35">
      <c r="A633" s="4"/>
      <c r="B633" s="4"/>
      <c r="F633" s="4"/>
      <c r="M633" s="4"/>
      <c r="N633" s="4"/>
      <c r="Q633" s="4"/>
      <c r="R633" s="4"/>
      <c r="U633" s="4"/>
    </row>
    <row r="634" spans="1:21" ht="15.75" customHeight="1" x14ac:dyDescent="0.35">
      <c r="A634" s="4"/>
      <c r="B634" s="4"/>
      <c r="F634" s="4"/>
      <c r="M634" s="4"/>
      <c r="N634" s="4"/>
      <c r="Q634" s="4"/>
      <c r="R634" s="4"/>
      <c r="U634" s="4"/>
    </row>
    <row r="635" spans="1:21" ht="15.75" customHeight="1" x14ac:dyDescent="0.35">
      <c r="A635" s="4"/>
      <c r="B635" s="4"/>
      <c r="F635" s="4"/>
      <c r="M635" s="4"/>
      <c r="N635" s="4"/>
      <c r="Q635" s="4"/>
      <c r="R635" s="4"/>
      <c r="U635" s="4"/>
    </row>
    <row r="636" spans="1:21" ht="15.75" customHeight="1" x14ac:dyDescent="0.35">
      <c r="A636" s="4"/>
      <c r="B636" s="4"/>
      <c r="F636" s="4"/>
      <c r="M636" s="4"/>
      <c r="N636" s="4"/>
      <c r="Q636" s="4"/>
      <c r="R636" s="4"/>
      <c r="U636" s="4"/>
    </row>
    <row r="637" spans="1:21" ht="15.75" customHeight="1" x14ac:dyDescent="0.35">
      <c r="A637" s="4"/>
      <c r="B637" s="4"/>
      <c r="F637" s="4"/>
      <c r="M637" s="4"/>
      <c r="N637" s="4"/>
      <c r="Q637" s="4"/>
      <c r="R637" s="4"/>
      <c r="U637" s="4"/>
    </row>
    <row r="638" spans="1:21" ht="15.75" customHeight="1" x14ac:dyDescent="0.35">
      <c r="A638" s="4"/>
      <c r="B638" s="4"/>
      <c r="F638" s="4"/>
      <c r="M638" s="4"/>
      <c r="N638" s="4"/>
      <c r="Q638" s="4"/>
      <c r="R638" s="4"/>
      <c r="U638" s="4"/>
    </row>
    <row r="639" spans="1:21" ht="15.75" customHeight="1" x14ac:dyDescent="0.35">
      <c r="A639" s="4"/>
      <c r="B639" s="4"/>
      <c r="F639" s="4"/>
      <c r="M639" s="4"/>
      <c r="N639" s="4"/>
      <c r="Q639" s="4"/>
      <c r="R639" s="4"/>
      <c r="U639" s="4"/>
    </row>
    <row r="640" spans="1:21" ht="15.75" customHeight="1" x14ac:dyDescent="0.35">
      <c r="A640" s="4"/>
      <c r="B640" s="4"/>
      <c r="F640" s="4"/>
      <c r="M640" s="4"/>
      <c r="N640" s="4"/>
      <c r="Q640" s="4"/>
      <c r="R640" s="4"/>
      <c r="U640" s="4"/>
    </row>
    <row r="641" spans="1:21" ht="15.75" customHeight="1" x14ac:dyDescent="0.35">
      <c r="A641" s="4"/>
      <c r="B641" s="4"/>
      <c r="F641" s="4"/>
      <c r="M641" s="4"/>
      <c r="N641" s="4"/>
      <c r="Q641" s="4"/>
      <c r="R641" s="4"/>
      <c r="U641" s="4"/>
    </row>
    <row r="642" spans="1:21" ht="15.75" customHeight="1" x14ac:dyDescent="0.35">
      <c r="A642" s="4"/>
      <c r="B642" s="4"/>
      <c r="F642" s="4"/>
      <c r="M642" s="4"/>
      <c r="N642" s="4"/>
      <c r="Q642" s="4"/>
      <c r="R642" s="4"/>
      <c r="U642" s="4"/>
    </row>
    <row r="643" spans="1:21" ht="15.75" customHeight="1" x14ac:dyDescent="0.35">
      <c r="A643" s="4"/>
      <c r="B643" s="4"/>
      <c r="F643" s="4"/>
      <c r="M643" s="4"/>
      <c r="N643" s="4"/>
      <c r="Q643" s="4"/>
      <c r="R643" s="4"/>
      <c r="U643" s="4"/>
    </row>
    <row r="644" spans="1:21" ht="15.75" customHeight="1" x14ac:dyDescent="0.35">
      <c r="A644" s="4"/>
      <c r="B644" s="4"/>
      <c r="F644" s="4"/>
      <c r="M644" s="4"/>
      <c r="N644" s="4"/>
      <c r="Q644" s="4"/>
      <c r="R644" s="4"/>
      <c r="U644" s="4"/>
    </row>
    <row r="645" spans="1:21" ht="15.75" customHeight="1" x14ac:dyDescent="0.35">
      <c r="A645" s="4"/>
      <c r="B645" s="4"/>
      <c r="F645" s="4"/>
      <c r="M645" s="4"/>
      <c r="N645" s="4"/>
      <c r="Q645" s="4"/>
      <c r="R645" s="4"/>
      <c r="U645" s="4"/>
    </row>
    <row r="646" spans="1:21" ht="15.75" customHeight="1" x14ac:dyDescent="0.35">
      <c r="A646" s="4"/>
      <c r="B646" s="4"/>
      <c r="F646" s="4"/>
      <c r="M646" s="4"/>
      <c r="N646" s="4"/>
      <c r="Q646" s="4"/>
      <c r="R646" s="4"/>
      <c r="U646" s="4"/>
    </row>
    <row r="647" spans="1:21" ht="15.75" customHeight="1" x14ac:dyDescent="0.35">
      <c r="A647" s="4"/>
      <c r="B647" s="4"/>
      <c r="F647" s="4"/>
      <c r="M647" s="4"/>
      <c r="N647" s="4"/>
      <c r="Q647" s="4"/>
      <c r="R647" s="4"/>
      <c r="U647" s="4"/>
    </row>
    <row r="648" spans="1:21" ht="15.75" customHeight="1" x14ac:dyDescent="0.35">
      <c r="A648" s="4"/>
      <c r="B648" s="4"/>
      <c r="F648" s="4"/>
      <c r="M648" s="4"/>
      <c r="N648" s="4"/>
      <c r="Q648" s="4"/>
      <c r="R648" s="4"/>
      <c r="U648" s="4"/>
    </row>
    <row r="649" spans="1:21" ht="15.75" customHeight="1" x14ac:dyDescent="0.35">
      <c r="A649" s="4"/>
      <c r="B649" s="4"/>
      <c r="F649" s="4"/>
      <c r="M649" s="4"/>
      <c r="N649" s="4"/>
      <c r="Q649" s="4"/>
      <c r="R649" s="4"/>
      <c r="U649" s="4"/>
    </row>
    <row r="650" spans="1:21" ht="15.75" customHeight="1" x14ac:dyDescent="0.35">
      <c r="A650" s="4"/>
      <c r="B650" s="4"/>
      <c r="F650" s="4"/>
      <c r="M650" s="4"/>
      <c r="N650" s="4"/>
      <c r="Q650" s="4"/>
      <c r="R650" s="4"/>
      <c r="U650" s="4"/>
    </row>
    <row r="651" spans="1:21" ht="15.75" customHeight="1" x14ac:dyDescent="0.35">
      <c r="A651" s="4"/>
      <c r="B651" s="4"/>
      <c r="F651" s="4"/>
      <c r="M651" s="4"/>
      <c r="N651" s="4"/>
      <c r="Q651" s="4"/>
      <c r="R651" s="4"/>
      <c r="U651" s="4"/>
    </row>
    <row r="652" spans="1:21" ht="15.75" customHeight="1" x14ac:dyDescent="0.35">
      <c r="A652" s="4"/>
      <c r="B652" s="4"/>
      <c r="F652" s="4"/>
      <c r="M652" s="4"/>
      <c r="N652" s="4"/>
      <c r="Q652" s="4"/>
      <c r="R652" s="4"/>
      <c r="U652" s="4"/>
    </row>
    <row r="653" spans="1:21" ht="15.75" customHeight="1" x14ac:dyDescent="0.35">
      <c r="A653" s="4"/>
      <c r="B653" s="4"/>
      <c r="F653" s="4"/>
      <c r="M653" s="4"/>
      <c r="N653" s="4"/>
      <c r="Q653" s="4"/>
      <c r="R653" s="4"/>
      <c r="U653" s="4"/>
    </row>
    <row r="654" spans="1:21" ht="15.75" customHeight="1" x14ac:dyDescent="0.35">
      <c r="A654" s="4"/>
      <c r="B654" s="4"/>
      <c r="F654" s="4"/>
      <c r="M654" s="4"/>
      <c r="N654" s="4"/>
      <c r="Q654" s="4"/>
      <c r="R654" s="4"/>
      <c r="U654" s="4"/>
    </row>
    <row r="655" spans="1:21" ht="15.75" customHeight="1" x14ac:dyDescent="0.35">
      <c r="A655" s="4"/>
      <c r="B655" s="4"/>
      <c r="F655" s="4"/>
      <c r="M655" s="4"/>
      <c r="N655" s="4"/>
      <c r="Q655" s="4"/>
      <c r="R655" s="4"/>
      <c r="U655" s="4"/>
    </row>
    <row r="656" spans="1:21" ht="15.75" customHeight="1" x14ac:dyDescent="0.35">
      <c r="A656" s="4"/>
      <c r="B656" s="4"/>
      <c r="F656" s="4"/>
      <c r="M656" s="4"/>
      <c r="N656" s="4"/>
      <c r="Q656" s="4"/>
      <c r="R656" s="4"/>
      <c r="U656" s="4"/>
    </row>
    <row r="657" spans="1:21" ht="15.75" customHeight="1" x14ac:dyDescent="0.35">
      <c r="A657" s="4"/>
      <c r="B657" s="4"/>
      <c r="F657" s="4"/>
      <c r="M657" s="4"/>
      <c r="N657" s="4"/>
      <c r="Q657" s="4"/>
      <c r="R657" s="4"/>
      <c r="U657" s="4"/>
    </row>
    <row r="658" spans="1:21" ht="15.75" customHeight="1" x14ac:dyDescent="0.35">
      <c r="A658" s="4"/>
      <c r="B658" s="4"/>
      <c r="F658" s="4"/>
      <c r="M658" s="4"/>
      <c r="N658" s="4"/>
      <c r="Q658" s="4"/>
      <c r="R658" s="4"/>
      <c r="U658" s="4"/>
    </row>
    <row r="659" spans="1:21" ht="15.75" customHeight="1" x14ac:dyDescent="0.35">
      <c r="A659" s="4"/>
      <c r="B659" s="4"/>
      <c r="F659" s="4"/>
      <c r="M659" s="4"/>
      <c r="N659" s="4"/>
      <c r="Q659" s="4"/>
      <c r="R659" s="4"/>
      <c r="U659" s="4"/>
    </row>
    <row r="660" spans="1:21" ht="15.75" customHeight="1" x14ac:dyDescent="0.35">
      <c r="A660" s="4"/>
      <c r="B660" s="4"/>
      <c r="F660" s="4"/>
      <c r="M660" s="4"/>
      <c r="N660" s="4"/>
      <c r="Q660" s="4"/>
      <c r="R660" s="4"/>
      <c r="U660" s="4"/>
    </row>
    <row r="661" spans="1:21" ht="15.75" customHeight="1" x14ac:dyDescent="0.35">
      <c r="A661" s="4"/>
      <c r="B661" s="4"/>
      <c r="F661" s="4"/>
      <c r="M661" s="4"/>
      <c r="N661" s="4"/>
      <c r="Q661" s="4"/>
      <c r="R661" s="4"/>
      <c r="U661" s="4"/>
    </row>
    <row r="662" spans="1:21" ht="15.75" customHeight="1" x14ac:dyDescent="0.35">
      <c r="A662" s="4"/>
      <c r="B662" s="4"/>
      <c r="F662" s="4"/>
      <c r="M662" s="4"/>
      <c r="N662" s="4"/>
      <c r="Q662" s="4"/>
      <c r="R662" s="4"/>
      <c r="U662" s="4"/>
    </row>
    <row r="663" spans="1:21" ht="15.75" customHeight="1" x14ac:dyDescent="0.35">
      <c r="A663" s="4"/>
      <c r="B663" s="4"/>
      <c r="F663" s="4"/>
      <c r="M663" s="4"/>
      <c r="N663" s="4"/>
      <c r="Q663" s="4"/>
      <c r="R663" s="4"/>
      <c r="U663" s="4"/>
    </row>
    <row r="664" spans="1:21" ht="15.75" customHeight="1" x14ac:dyDescent="0.35">
      <c r="A664" s="4"/>
      <c r="B664" s="4"/>
      <c r="F664" s="4"/>
      <c r="M664" s="4"/>
      <c r="N664" s="4"/>
      <c r="Q664" s="4"/>
      <c r="R664" s="4"/>
      <c r="U664" s="4"/>
    </row>
    <row r="665" spans="1:21" ht="15.75" customHeight="1" x14ac:dyDescent="0.35">
      <c r="A665" s="4"/>
      <c r="B665" s="4"/>
      <c r="F665" s="4"/>
      <c r="M665" s="4"/>
      <c r="N665" s="4"/>
      <c r="Q665" s="4"/>
      <c r="R665" s="4"/>
      <c r="U665" s="4"/>
    </row>
    <row r="666" spans="1:21" ht="15.75" customHeight="1" x14ac:dyDescent="0.35">
      <c r="A666" s="4"/>
      <c r="B666" s="4"/>
      <c r="F666" s="4"/>
      <c r="M666" s="4"/>
      <c r="N666" s="4"/>
      <c r="Q666" s="4"/>
      <c r="R666" s="4"/>
      <c r="U666" s="4"/>
    </row>
    <row r="667" spans="1:21" ht="15.75" customHeight="1" x14ac:dyDescent="0.35">
      <c r="A667" s="4"/>
      <c r="B667" s="4"/>
      <c r="F667" s="4"/>
      <c r="M667" s="4"/>
      <c r="N667" s="4"/>
      <c r="Q667" s="4"/>
      <c r="R667" s="4"/>
      <c r="U667" s="4"/>
    </row>
    <row r="668" spans="1:21" ht="15.75" customHeight="1" x14ac:dyDescent="0.35">
      <c r="A668" s="4"/>
      <c r="B668" s="4"/>
      <c r="F668" s="4"/>
      <c r="M668" s="4"/>
      <c r="N668" s="4"/>
      <c r="Q668" s="4"/>
      <c r="R668" s="4"/>
      <c r="U668" s="4"/>
    </row>
    <row r="669" spans="1:21" ht="15.75" customHeight="1" x14ac:dyDescent="0.35">
      <c r="A669" s="4"/>
      <c r="B669" s="4"/>
      <c r="F669" s="4"/>
      <c r="M669" s="4"/>
      <c r="N669" s="4"/>
      <c r="Q669" s="4"/>
      <c r="R669" s="4"/>
      <c r="U669" s="4"/>
    </row>
    <row r="670" spans="1:21" ht="15.75" customHeight="1" x14ac:dyDescent="0.35">
      <c r="A670" s="4"/>
      <c r="B670" s="4"/>
      <c r="F670" s="4"/>
      <c r="M670" s="4"/>
      <c r="N670" s="4"/>
      <c r="Q670" s="4"/>
      <c r="R670" s="4"/>
      <c r="U670" s="4"/>
    </row>
    <row r="671" spans="1:21" ht="15.75" customHeight="1" x14ac:dyDescent="0.35">
      <c r="A671" s="4"/>
      <c r="B671" s="4"/>
      <c r="F671" s="4"/>
      <c r="M671" s="4"/>
      <c r="N671" s="4"/>
      <c r="Q671" s="4"/>
      <c r="R671" s="4"/>
      <c r="U671" s="4"/>
    </row>
    <row r="672" spans="1:21" ht="15.75" customHeight="1" x14ac:dyDescent="0.35">
      <c r="A672" s="4"/>
      <c r="B672" s="4"/>
      <c r="F672" s="4"/>
      <c r="M672" s="4"/>
      <c r="N672" s="4"/>
      <c r="Q672" s="4"/>
      <c r="R672" s="4"/>
      <c r="U672" s="4"/>
    </row>
    <row r="673" spans="1:21" ht="15.75" customHeight="1" x14ac:dyDescent="0.35">
      <c r="A673" s="4"/>
      <c r="B673" s="4"/>
      <c r="F673" s="4"/>
      <c r="M673" s="4"/>
      <c r="N673" s="4"/>
      <c r="Q673" s="4"/>
      <c r="R673" s="4"/>
      <c r="U673" s="4"/>
    </row>
    <row r="674" spans="1:21" ht="15.75" customHeight="1" x14ac:dyDescent="0.35">
      <c r="A674" s="4"/>
      <c r="B674" s="4"/>
      <c r="F674" s="4"/>
      <c r="M674" s="4"/>
      <c r="N674" s="4"/>
      <c r="Q674" s="4"/>
      <c r="R674" s="4"/>
      <c r="U674" s="4"/>
    </row>
    <row r="675" spans="1:21" ht="15.75" customHeight="1" x14ac:dyDescent="0.35">
      <c r="A675" s="4"/>
      <c r="B675" s="4"/>
      <c r="F675" s="4"/>
      <c r="M675" s="4"/>
      <c r="N675" s="4"/>
      <c r="Q675" s="4"/>
      <c r="R675" s="4"/>
      <c r="U675" s="4"/>
    </row>
    <row r="676" spans="1:21" ht="15.75" customHeight="1" x14ac:dyDescent="0.35">
      <c r="A676" s="4"/>
      <c r="B676" s="4"/>
      <c r="F676" s="4"/>
      <c r="M676" s="4"/>
      <c r="N676" s="4"/>
      <c r="Q676" s="4"/>
      <c r="R676" s="4"/>
      <c r="U676" s="4"/>
    </row>
    <row r="677" spans="1:21" ht="15.75" customHeight="1" x14ac:dyDescent="0.35">
      <c r="A677" s="4"/>
      <c r="B677" s="4"/>
      <c r="F677" s="4"/>
      <c r="M677" s="4"/>
      <c r="N677" s="4"/>
      <c r="Q677" s="4"/>
      <c r="R677" s="4"/>
      <c r="U677" s="4"/>
    </row>
    <row r="678" spans="1:21" ht="15.75" customHeight="1" x14ac:dyDescent="0.35">
      <c r="A678" s="4"/>
      <c r="B678" s="4"/>
      <c r="F678" s="4"/>
      <c r="M678" s="4"/>
      <c r="N678" s="4"/>
      <c r="Q678" s="4"/>
      <c r="R678" s="4"/>
      <c r="U678" s="4"/>
    </row>
    <row r="679" spans="1:21" ht="15.75" customHeight="1" x14ac:dyDescent="0.35">
      <c r="A679" s="4"/>
      <c r="B679" s="4"/>
      <c r="F679" s="4"/>
      <c r="M679" s="4"/>
      <c r="N679" s="4"/>
      <c r="Q679" s="4"/>
      <c r="R679" s="4"/>
      <c r="U679" s="4"/>
    </row>
    <row r="680" spans="1:21" ht="15.75" customHeight="1" x14ac:dyDescent="0.35">
      <c r="A680" s="4"/>
      <c r="B680" s="4"/>
      <c r="F680" s="4"/>
      <c r="M680" s="4"/>
      <c r="N680" s="4"/>
      <c r="Q680" s="4"/>
      <c r="R680" s="4"/>
      <c r="U680" s="4"/>
    </row>
    <row r="681" spans="1:21" ht="15.75" customHeight="1" x14ac:dyDescent="0.35">
      <c r="A681" s="4"/>
      <c r="B681" s="4"/>
      <c r="F681" s="4"/>
      <c r="M681" s="4"/>
      <c r="N681" s="4"/>
      <c r="Q681" s="4"/>
      <c r="R681" s="4"/>
      <c r="U681" s="4"/>
    </row>
    <row r="682" spans="1:21" ht="15.75" customHeight="1" x14ac:dyDescent="0.35">
      <c r="A682" s="4"/>
      <c r="B682" s="4"/>
      <c r="F682" s="4"/>
      <c r="M682" s="4"/>
      <c r="N682" s="4"/>
      <c r="Q682" s="4"/>
      <c r="R682" s="4"/>
      <c r="U682" s="4"/>
    </row>
    <row r="683" spans="1:21" ht="15.75" customHeight="1" x14ac:dyDescent="0.35">
      <c r="A683" s="4"/>
      <c r="B683" s="4"/>
      <c r="F683" s="4"/>
      <c r="M683" s="4"/>
      <c r="N683" s="4"/>
      <c r="Q683" s="4"/>
      <c r="R683" s="4"/>
      <c r="U683" s="4"/>
    </row>
    <row r="684" spans="1:21" ht="15.75" customHeight="1" x14ac:dyDescent="0.35">
      <c r="A684" s="4"/>
      <c r="B684" s="4"/>
      <c r="F684" s="4"/>
      <c r="M684" s="4"/>
      <c r="N684" s="4"/>
      <c r="Q684" s="4"/>
      <c r="R684" s="4"/>
      <c r="U684" s="4"/>
    </row>
    <row r="685" spans="1:21" ht="15.75" customHeight="1" x14ac:dyDescent="0.35">
      <c r="A685" s="4"/>
      <c r="B685" s="4"/>
      <c r="F685" s="4"/>
      <c r="M685" s="4"/>
      <c r="N685" s="4"/>
      <c r="Q685" s="4"/>
      <c r="R685" s="4"/>
      <c r="U685" s="4"/>
    </row>
    <row r="686" spans="1:21" ht="15.75" customHeight="1" x14ac:dyDescent="0.35">
      <c r="A686" s="4"/>
      <c r="B686" s="4"/>
      <c r="F686" s="4"/>
      <c r="M686" s="4"/>
      <c r="N686" s="4"/>
      <c r="Q686" s="4"/>
      <c r="R686" s="4"/>
      <c r="U686" s="4"/>
    </row>
    <row r="687" spans="1:21" ht="15.75" customHeight="1" x14ac:dyDescent="0.35">
      <c r="A687" s="4"/>
      <c r="B687" s="4"/>
      <c r="F687" s="4"/>
      <c r="M687" s="4"/>
      <c r="N687" s="4"/>
      <c r="Q687" s="4"/>
      <c r="R687" s="4"/>
      <c r="U687" s="4"/>
    </row>
    <row r="688" spans="1:21" ht="15.75" customHeight="1" x14ac:dyDescent="0.35">
      <c r="A688" s="4"/>
      <c r="B688" s="4"/>
      <c r="F688" s="4"/>
      <c r="M688" s="4"/>
      <c r="N688" s="4"/>
      <c r="Q688" s="4"/>
      <c r="R688" s="4"/>
      <c r="U688" s="4"/>
    </row>
    <row r="689" spans="1:21" ht="15.75" customHeight="1" x14ac:dyDescent="0.35">
      <c r="A689" s="4"/>
      <c r="B689" s="4"/>
      <c r="F689" s="4"/>
      <c r="M689" s="4"/>
      <c r="N689" s="4"/>
      <c r="Q689" s="4"/>
      <c r="R689" s="4"/>
      <c r="U689" s="4"/>
    </row>
    <row r="690" spans="1:21" ht="15.75" customHeight="1" x14ac:dyDescent="0.35">
      <c r="A690" s="4"/>
      <c r="B690" s="4"/>
      <c r="F690" s="4"/>
      <c r="M690" s="4"/>
      <c r="N690" s="4"/>
      <c r="Q690" s="4"/>
      <c r="R690" s="4"/>
      <c r="U690" s="4"/>
    </row>
    <row r="691" spans="1:21" ht="15.75" customHeight="1" x14ac:dyDescent="0.35">
      <c r="A691" s="4"/>
      <c r="B691" s="4"/>
      <c r="F691" s="4"/>
      <c r="M691" s="4"/>
      <c r="N691" s="4"/>
      <c r="Q691" s="4"/>
      <c r="R691" s="4"/>
      <c r="U691" s="4"/>
    </row>
    <row r="692" spans="1:21" ht="15.75" customHeight="1" x14ac:dyDescent="0.35">
      <c r="A692" s="4"/>
      <c r="B692" s="4"/>
      <c r="F692" s="4"/>
      <c r="M692" s="4"/>
      <c r="N692" s="4"/>
      <c r="Q692" s="4"/>
      <c r="R692" s="4"/>
      <c r="U692" s="4"/>
    </row>
    <row r="693" spans="1:21" ht="15.75" customHeight="1" x14ac:dyDescent="0.35">
      <c r="A693" s="4"/>
      <c r="B693" s="4"/>
      <c r="F693" s="4"/>
      <c r="M693" s="4"/>
      <c r="N693" s="4"/>
      <c r="Q693" s="4"/>
      <c r="R693" s="4"/>
      <c r="U693" s="4"/>
    </row>
    <row r="694" spans="1:21" ht="15.75" customHeight="1" x14ac:dyDescent="0.35">
      <c r="A694" s="4"/>
      <c r="B694" s="4"/>
      <c r="F694" s="4"/>
      <c r="M694" s="4"/>
      <c r="N694" s="4"/>
      <c r="Q694" s="4"/>
      <c r="R694" s="4"/>
      <c r="U694" s="4"/>
    </row>
    <row r="695" spans="1:21" ht="15.75" customHeight="1" x14ac:dyDescent="0.35">
      <c r="A695" s="4"/>
      <c r="B695" s="4"/>
      <c r="F695" s="4"/>
      <c r="M695" s="4"/>
      <c r="N695" s="4"/>
      <c r="Q695" s="4"/>
      <c r="R695" s="4"/>
      <c r="U695" s="4"/>
    </row>
    <row r="696" spans="1:21" ht="15.75" customHeight="1" x14ac:dyDescent="0.35">
      <c r="A696" s="4"/>
      <c r="B696" s="4"/>
      <c r="F696" s="4"/>
      <c r="M696" s="4"/>
      <c r="N696" s="4"/>
      <c r="Q696" s="4"/>
      <c r="R696" s="4"/>
      <c r="U696" s="4"/>
    </row>
    <row r="697" spans="1:21" ht="15.75" customHeight="1" x14ac:dyDescent="0.35">
      <c r="A697" s="4"/>
      <c r="B697" s="4"/>
      <c r="F697" s="4"/>
      <c r="M697" s="4"/>
      <c r="N697" s="4"/>
      <c r="Q697" s="4"/>
      <c r="R697" s="4"/>
      <c r="U697" s="4"/>
    </row>
    <row r="698" spans="1:21" ht="15.75" customHeight="1" x14ac:dyDescent="0.35">
      <c r="A698" s="4"/>
      <c r="B698" s="4"/>
      <c r="F698" s="4"/>
      <c r="M698" s="4"/>
      <c r="N698" s="4"/>
      <c r="Q698" s="4"/>
      <c r="R698" s="4"/>
      <c r="U698" s="4"/>
    </row>
    <row r="699" spans="1:21" ht="15.75" customHeight="1" x14ac:dyDescent="0.35">
      <c r="A699" s="4"/>
      <c r="B699" s="4"/>
      <c r="F699" s="4"/>
      <c r="M699" s="4"/>
      <c r="N699" s="4"/>
      <c r="Q699" s="4"/>
      <c r="R699" s="4"/>
      <c r="U699" s="4"/>
    </row>
    <row r="700" spans="1:21" ht="15.75" customHeight="1" x14ac:dyDescent="0.35">
      <c r="A700" s="4"/>
      <c r="B700" s="4"/>
      <c r="F700" s="4"/>
      <c r="M700" s="4"/>
      <c r="N700" s="4"/>
      <c r="Q700" s="4"/>
      <c r="R700" s="4"/>
      <c r="U700" s="4"/>
    </row>
    <row r="701" spans="1:21" ht="15.75" customHeight="1" x14ac:dyDescent="0.35">
      <c r="A701" s="4"/>
      <c r="B701" s="4"/>
      <c r="F701" s="4"/>
      <c r="M701" s="4"/>
      <c r="N701" s="4"/>
      <c r="Q701" s="4"/>
      <c r="R701" s="4"/>
      <c r="U701" s="4"/>
    </row>
    <row r="702" spans="1:21" ht="15.75" customHeight="1" x14ac:dyDescent="0.35">
      <c r="A702" s="4"/>
      <c r="B702" s="4"/>
      <c r="F702" s="4"/>
      <c r="M702" s="4"/>
      <c r="N702" s="4"/>
      <c r="Q702" s="4"/>
      <c r="R702" s="4"/>
      <c r="U702" s="4"/>
    </row>
    <row r="703" spans="1:21" ht="15.75" customHeight="1" x14ac:dyDescent="0.35">
      <c r="A703" s="4"/>
      <c r="B703" s="4"/>
      <c r="F703" s="4"/>
      <c r="M703" s="4"/>
      <c r="N703" s="4"/>
      <c r="Q703" s="4"/>
      <c r="R703" s="4"/>
      <c r="U703" s="4"/>
    </row>
    <row r="704" spans="1:21" ht="15.75" customHeight="1" x14ac:dyDescent="0.35">
      <c r="A704" s="4"/>
      <c r="B704" s="4"/>
      <c r="F704" s="4"/>
      <c r="M704" s="4"/>
      <c r="N704" s="4"/>
      <c r="Q704" s="4"/>
      <c r="R704" s="4"/>
      <c r="U704" s="4"/>
    </row>
    <row r="705" spans="1:21" ht="15.75" customHeight="1" x14ac:dyDescent="0.35">
      <c r="A705" s="4"/>
      <c r="B705" s="4"/>
      <c r="F705" s="4"/>
      <c r="M705" s="4"/>
      <c r="N705" s="4"/>
      <c r="Q705" s="4"/>
      <c r="R705" s="4"/>
      <c r="U705" s="4"/>
    </row>
    <row r="706" spans="1:21" ht="15.75" customHeight="1" x14ac:dyDescent="0.35">
      <c r="A706" s="4"/>
      <c r="B706" s="4"/>
      <c r="F706" s="4"/>
      <c r="M706" s="4"/>
      <c r="N706" s="4"/>
      <c r="Q706" s="4"/>
      <c r="R706" s="4"/>
      <c r="U706" s="4"/>
    </row>
    <row r="707" spans="1:21" ht="15.75" customHeight="1" x14ac:dyDescent="0.35">
      <c r="A707" s="4"/>
      <c r="B707" s="4"/>
      <c r="F707" s="4"/>
      <c r="M707" s="4"/>
      <c r="N707" s="4"/>
      <c r="Q707" s="4"/>
      <c r="R707" s="4"/>
      <c r="U707" s="4"/>
    </row>
    <row r="708" spans="1:21" ht="15.75" customHeight="1" x14ac:dyDescent="0.35">
      <c r="A708" s="4"/>
      <c r="B708" s="4"/>
      <c r="F708" s="4"/>
      <c r="M708" s="4"/>
      <c r="N708" s="4"/>
      <c r="Q708" s="4"/>
      <c r="R708" s="4"/>
      <c r="U708" s="4"/>
    </row>
    <row r="709" spans="1:21" ht="15.75" customHeight="1" x14ac:dyDescent="0.35">
      <c r="A709" s="4"/>
      <c r="B709" s="4"/>
      <c r="F709" s="4"/>
      <c r="M709" s="4"/>
      <c r="N709" s="4"/>
      <c r="Q709" s="4"/>
      <c r="R709" s="4"/>
      <c r="U709" s="4"/>
    </row>
    <row r="710" spans="1:21" ht="15.75" customHeight="1" x14ac:dyDescent="0.35">
      <c r="A710" s="4"/>
      <c r="B710" s="4"/>
      <c r="F710" s="4"/>
      <c r="M710" s="4"/>
      <c r="N710" s="4"/>
      <c r="Q710" s="4"/>
      <c r="R710" s="4"/>
      <c r="U710" s="4"/>
    </row>
    <row r="711" spans="1:21" ht="15.75" customHeight="1" x14ac:dyDescent="0.35">
      <c r="A711" s="4"/>
      <c r="B711" s="4"/>
      <c r="F711" s="4"/>
      <c r="M711" s="4"/>
      <c r="N711" s="4"/>
      <c r="Q711" s="4"/>
      <c r="R711" s="4"/>
      <c r="U711" s="4"/>
    </row>
    <row r="712" spans="1:21" ht="15.75" customHeight="1" x14ac:dyDescent="0.35">
      <c r="A712" s="4"/>
      <c r="B712" s="4"/>
      <c r="F712" s="4"/>
      <c r="M712" s="4"/>
      <c r="N712" s="4"/>
      <c r="Q712" s="4"/>
      <c r="R712" s="4"/>
      <c r="U712" s="4"/>
    </row>
    <row r="713" spans="1:21" ht="15.75" customHeight="1" x14ac:dyDescent="0.35">
      <c r="A713" s="4"/>
      <c r="B713" s="4"/>
      <c r="F713" s="4"/>
      <c r="M713" s="4"/>
      <c r="N713" s="4"/>
      <c r="Q713" s="4"/>
      <c r="R713" s="4"/>
      <c r="U713" s="4"/>
    </row>
    <row r="714" spans="1:21" ht="15.75" customHeight="1" x14ac:dyDescent="0.35">
      <c r="A714" s="4"/>
      <c r="B714" s="4"/>
      <c r="F714" s="4"/>
      <c r="M714" s="4"/>
      <c r="N714" s="4"/>
      <c r="Q714" s="4"/>
      <c r="R714" s="4"/>
      <c r="U714" s="4"/>
    </row>
    <row r="715" spans="1:21" ht="15.75" customHeight="1" x14ac:dyDescent="0.35">
      <c r="A715" s="4"/>
      <c r="B715" s="4"/>
      <c r="F715" s="4"/>
      <c r="M715" s="4"/>
      <c r="N715" s="4"/>
      <c r="Q715" s="4"/>
      <c r="R715" s="4"/>
      <c r="U715" s="4"/>
    </row>
    <row r="716" spans="1:21" ht="15.75" customHeight="1" x14ac:dyDescent="0.35">
      <c r="A716" s="4"/>
      <c r="B716" s="4"/>
      <c r="F716" s="4"/>
      <c r="M716" s="4"/>
      <c r="N716" s="4"/>
      <c r="Q716" s="4"/>
      <c r="R716" s="4"/>
      <c r="U716" s="4"/>
    </row>
    <row r="717" spans="1:21" ht="15.75" customHeight="1" x14ac:dyDescent="0.35">
      <c r="A717" s="4"/>
      <c r="B717" s="4"/>
      <c r="F717" s="4"/>
      <c r="M717" s="4"/>
      <c r="N717" s="4"/>
      <c r="Q717" s="4"/>
      <c r="R717" s="4"/>
      <c r="U717" s="4"/>
    </row>
    <row r="718" spans="1:21" ht="15.75" customHeight="1" x14ac:dyDescent="0.35">
      <c r="A718" s="4"/>
      <c r="B718" s="4"/>
      <c r="F718" s="4"/>
      <c r="M718" s="4"/>
      <c r="N718" s="4"/>
      <c r="Q718" s="4"/>
      <c r="R718" s="4"/>
      <c r="U718" s="4"/>
    </row>
    <row r="719" spans="1:21" ht="15.75" customHeight="1" x14ac:dyDescent="0.35">
      <c r="A719" s="4"/>
      <c r="B719" s="4"/>
      <c r="F719" s="4"/>
      <c r="M719" s="4"/>
      <c r="N719" s="4"/>
      <c r="Q719" s="4"/>
      <c r="R719" s="4"/>
      <c r="U719" s="4"/>
    </row>
    <row r="720" spans="1:21" ht="15.75" customHeight="1" x14ac:dyDescent="0.35">
      <c r="A720" s="4"/>
      <c r="B720" s="4"/>
      <c r="F720" s="4"/>
      <c r="M720" s="4"/>
      <c r="N720" s="4"/>
      <c r="Q720" s="4"/>
      <c r="R720" s="4"/>
      <c r="U720" s="4"/>
    </row>
    <row r="721" spans="1:21" ht="15.75" customHeight="1" x14ac:dyDescent="0.35">
      <c r="A721" s="4"/>
      <c r="B721" s="4"/>
      <c r="F721" s="4"/>
      <c r="M721" s="4"/>
      <c r="N721" s="4"/>
      <c r="Q721" s="4"/>
      <c r="R721" s="4"/>
      <c r="U721" s="4"/>
    </row>
    <row r="722" spans="1:21" ht="15.75" customHeight="1" x14ac:dyDescent="0.35">
      <c r="A722" s="4"/>
      <c r="B722" s="4"/>
      <c r="F722" s="4"/>
      <c r="M722" s="4"/>
      <c r="N722" s="4"/>
      <c r="Q722" s="4"/>
      <c r="R722" s="4"/>
      <c r="U722" s="4"/>
    </row>
    <row r="723" spans="1:21" ht="15.75" customHeight="1" x14ac:dyDescent="0.35">
      <c r="A723" s="4"/>
      <c r="B723" s="4"/>
      <c r="F723" s="4"/>
      <c r="M723" s="4"/>
      <c r="N723" s="4"/>
      <c r="Q723" s="4"/>
      <c r="R723" s="4"/>
      <c r="U723" s="4"/>
    </row>
    <row r="724" spans="1:21" ht="15.75" customHeight="1" x14ac:dyDescent="0.35">
      <c r="A724" s="4"/>
      <c r="B724" s="4"/>
      <c r="F724" s="4"/>
      <c r="M724" s="4"/>
      <c r="N724" s="4"/>
      <c r="Q724" s="4"/>
      <c r="R724" s="4"/>
      <c r="U724" s="4"/>
    </row>
    <row r="725" spans="1:21" ht="15.75" customHeight="1" x14ac:dyDescent="0.35">
      <c r="A725" s="4"/>
      <c r="B725" s="4"/>
      <c r="F725" s="4"/>
      <c r="M725" s="4"/>
      <c r="N725" s="4"/>
      <c r="Q725" s="4"/>
      <c r="R725" s="4"/>
      <c r="U725" s="4"/>
    </row>
    <row r="726" spans="1:21" ht="15.75" customHeight="1" x14ac:dyDescent="0.35">
      <c r="A726" s="4"/>
      <c r="B726" s="4"/>
      <c r="F726" s="4"/>
      <c r="M726" s="4"/>
      <c r="N726" s="4"/>
      <c r="Q726" s="4"/>
      <c r="R726" s="4"/>
      <c r="U726" s="4"/>
    </row>
    <row r="727" spans="1:21" ht="15.75" customHeight="1" x14ac:dyDescent="0.35">
      <c r="A727" s="4"/>
      <c r="B727" s="4"/>
      <c r="F727" s="4"/>
      <c r="M727" s="4"/>
      <c r="N727" s="4"/>
      <c r="Q727" s="4"/>
      <c r="R727" s="4"/>
      <c r="U727" s="4"/>
    </row>
    <row r="728" spans="1:21" ht="15.75" customHeight="1" x14ac:dyDescent="0.35">
      <c r="A728" s="4"/>
      <c r="B728" s="4"/>
      <c r="F728" s="4"/>
      <c r="M728" s="4"/>
      <c r="N728" s="4"/>
      <c r="Q728" s="4"/>
      <c r="R728" s="4"/>
      <c r="U728" s="4"/>
    </row>
    <row r="729" spans="1:21" ht="15.75" customHeight="1" x14ac:dyDescent="0.35">
      <c r="A729" s="4"/>
      <c r="B729" s="4"/>
      <c r="F729" s="4"/>
      <c r="M729" s="4"/>
      <c r="N729" s="4"/>
      <c r="Q729" s="4"/>
      <c r="R729" s="4"/>
      <c r="U729" s="4"/>
    </row>
    <row r="730" spans="1:21" ht="15.75" customHeight="1" x14ac:dyDescent="0.35">
      <c r="A730" s="4"/>
      <c r="B730" s="4"/>
      <c r="F730" s="4"/>
      <c r="M730" s="4"/>
      <c r="N730" s="4"/>
      <c r="Q730" s="4"/>
      <c r="R730" s="4"/>
      <c r="U730" s="4"/>
    </row>
    <row r="731" spans="1:21" ht="15.75" customHeight="1" x14ac:dyDescent="0.35">
      <c r="A731" s="4"/>
      <c r="B731" s="4"/>
      <c r="F731" s="4"/>
      <c r="M731" s="4"/>
      <c r="N731" s="4"/>
      <c r="Q731" s="4"/>
      <c r="R731" s="4"/>
      <c r="U731" s="4"/>
    </row>
    <row r="732" spans="1:21" ht="15.75" customHeight="1" x14ac:dyDescent="0.35">
      <c r="A732" s="4"/>
      <c r="B732" s="4"/>
      <c r="F732" s="4"/>
      <c r="M732" s="4"/>
      <c r="N732" s="4"/>
      <c r="Q732" s="4"/>
      <c r="R732" s="4"/>
      <c r="U732" s="4"/>
    </row>
    <row r="733" spans="1:21" ht="15.75" customHeight="1" x14ac:dyDescent="0.35">
      <c r="A733" s="4"/>
      <c r="B733" s="4"/>
      <c r="F733" s="4"/>
      <c r="M733" s="4"/>
      <c r="N733" s="4"/>
      <c r="Q733" s="4"/>
      <c r="R733" s="4"/>
      <c r="U733" s="4"/>
    </row>
    <row r="734" spans="1:21" ht="15.75" customHeight="1" x14ac:dyDescent="0.35">
      <c r="A734" s="4"/>
      <c r="B734" s="4"/>
      <c r="F734" s="4"/>
      <c r="M734" s="4"/>
      <c r="N734" s="4"/>
      <c r="Q734" s="4"/>
      <c r="R734" s="4"/>
      <c r="U734" s="4"/>
    </row>
    <row r="735" spans="1:21" ht="15.75" customHeight="1" x14ac:dyDescent="0.35">
      <c r="A735" s="4"/>
      <c r="B735" s="4"/>
      <c r="F735" s="4"/>
      <c r="M735" s="4"/>
      <c r="N735" s="4"/>
      <c r="Q735" s="4"/>
      <c r="R735" s="4"/>
      <c r="U735" s="4"/>
    </row>
    <row r="736" spans="1:21" ht="15.75" customHeight="1" x14ac:dyDescent="0.35">
      <c r="A736" s="4"/>
      <c r="B736" s="4"/>
      <c r="F736" s="4"/>
      <c r="M736" s="4"/>
      <c r="N736" s="4"/>
      <c r="Q736" s="4"/>
      <c r="R736" s="4"/>
      <c r="U736" s="4"/>
    </row>
    <row r="737" spans="1:21" ht="15.75" customHeight="1" x14ac:dyDescent="0.35">
      <c r="A737" s="4"/>
      <c r="B737" s="4"/>
      <c r="F737" s="4"/>
      <c r="M737" s="4"/>
      <c r="N737" s="4"/>
      <c r="Q737" s="4"/>
      <c r="R737" s="4"/>
      <c r="U737" s="4"/>
    </row>
    <row r="738" spans="1:21" ht="15.75" customHeight="1" x14ac:dyDescent="0.35">
      <c r="A738" s="4"/>
      <c r="B738" s="4"/>
      <c r="F738" s="4"/>
      <c r="M738" s="4"/>
      <c r="N738" s="4"/>
      <c r="Q738" s="4"/>
      <c r="R738" s="4"/>
      <c r="U738" s="4"/>
    </row>
    <row r="739" spans="1:21" ht="15.75" customHeight="1" x14ac:dyDescent="0.35">
      <c r="A739" s="4"/>
      <c r="B739" s="4"/>
      <c r="F739" s="4"/>
      <c r="M739" s="4"/>
      <c r="N739" s="4"/>
      <c r="Q739" s="4"/>
      <c r="R739" s="4"/>
      <c r="U739" s="4"/>
    </row>
    <row r="740" spans="1:21" ht="15.75" customHeight="1" x14ac:dyDescent="0.35">
      <c r="A740" s="4"/>
      <c r="B740" s="4"/>
      <c r="F740" s="4"/>
      <c r="M740" s="4"/>
      <c r="N740" s="4"/>
      <c r="Q740" s="4"/>
      <c r="R740" s="4"/>
      <c r="U740" s="4"/>
    </row>
    <row r="741" spans="1:21" ht="15.75" customHeight="1" x14ac:dyDescent="0.35">
      <c r="A741" s="4"/>
      <c r="B741" s="4"/>
      <c r="F741" s="4"/>
      <c r="M741" s="4"/>
      <c r="N741" s="4"/>
      <c r="Q741" s="4"/>
      <c r="R741" s="4"/>
      <c r="U741" s="4"/>
    </row>
    <row r="742" spans="1:21" ht="15.75" customHeight="1" x14ac:dyDescent="0.35">
      <c r="A742" s="4"/>
      <c r="B742" s="4"/>
      <c r="F742" s="4"/>
      <c r="M742" s="4"/>
      <c r="N742" s="4"/>
      <c r="Q742" s="4"/>
      <c r="R742" s="4"/>
      <c r="U742" s="4"/>
    </row>
    <row r="743" spans="1:21" ht="15.75" customHeight="1" x14ac:dyDescent="0.35">
      <c r="A743" s="4"/>
      <c r="B743" s="4"/>
      <c r="F743" s="4"/>
      <c r="M743" s="4"/>
      <c r="N743" s="4"/>
      <c r="Q743" s="4"/>
      <c r="R743" s="4"/>
      <c r="U743" s="4"/>
    </row>
    <row r="744" spans="1:21" ht="15.75" customHeight="1" x14ac:dyDescent="0.35">
      <c r="A744" s="4"/>
      <c r="B744" s="4"/>
      <c r="F744" s="4"/>
      <c r="M744" s="4"/>
      <c r="N744" s="4"/>
      <c r="Q744" s="4"/>
      <c r="R744" s="4"/>
      <c r="U744" s="4"/>
    </row>
    <row r="745" spans="1:21" ht="15.75" customHeight="1" x14ac:dyDescent="0.35">
      <c r="A745" s="4"/>
      <c r="B745" s="4"/>
      <c r="F745" s="4"/>
      <c r="M745" s="4"/>
      <c r="N745" s="4"/>
      <c r="Q745" s="4"/>
      <c r="R745" s="4"/>
      <c r="U745" s="4"/>
    </row>
    <row r="746" spans="1:21" ht="15.75" customHeight="1" x14ac:dyDescent="0.35">
      <c r="A746" s="4"/>
      <c r="B746" s="4"/>
      <c r="F746" s="4"/>
      <c r="M746" s="4"/>
      <c r="N746" s="4"/>
      <c r="Q746" s="4"/>
      <c r="R746" s="4"/>
      <c r="U746" s="4"/>
    </row>
    <row r="747" spans="1:21" ht="15.75" customHeight="1" x14ac:dyDescent="0.35">
      <c r="A747" s="4"/>
      <c r="B747" s="4"/>
      <c r="F747" s="4"/>
      <c r="M747" s="4"/>
      <c r="N747" s="4"/>
      <c r="Q747" s="4"/>
      <c r="R747" s="4"/>
      <c r="U747" s="4"/>
    </row>
    <row r="748" spans="1:21" ht="15.75" customHeight="1" x14ac:dyDescent="0.35">
      <c r="A748" s="4"/>
      <c r="B748" s="4"/>
      <c r="F748" s="4"/>
      <c r="M748" s="4"/>
      <c r="N748" s="4"/>
      <c r="Q748" s="4"/>
      <c r="R748" s="4"/>
      <c r="U748" s="4"/>
    </row>
    <row r="749" spans="1:21" ht="15.75" customHeight="1" x14ac:dyDescent="0.35">
      <c r="A749" s="4"/>
      <c r="B749" s="4"/>
      <c r="F749" s="4"/>
      <c r="M749" s="4"/>
      <c r="N749" s="4"/>
      <c r="Q749" s="4"/>
      <c r="R749" s="4"/>
      <c r="U749" s="4"/>
    </row>
    <row r="750" spans="1:21" ht="15.75" customHeight="1" x14ac:dyDescent="0.35">
      <c r="A750" s="4"/>
      <c r="B750" s="4"/>
      <c r="F750" s="4"/>
      <c r="M750" s="4"/>
      <c r="N750" s="4"/>
      <c r="Q750" s="4"/>
      <c r="R750" s="4"/>
      <c r="U750" s="4"/>
    </row>
    <row r="751" spans="1:21" ht="15.75" customHeight="1" x14ac:dyDescent="0.35">
      <c r="A751" s="4"/>
      <c r="B751" s="4"/>
      <c r="F751" s="4"/>
      <c r="M751" s="4"/>
      <c r="N751" s="4"/>
      <c r="Q751" s="4"/>
      <c r="R751" s="4"/>
      <c r="U751" s="4"/>
    </row>
    <row r="752" spans="1:21" ht="15.75" customHeight="1" x14ac:dyDescent="0.35">
      <c r="A752" s="4"/>
      <c r="B752" s="4"/>
      <c r="F752" s="4"/>
      <c r="M752" s="4"/>
      <c r="N752" s="4"/>
      <c r="Q752" s="4"/>
      <c r="R752" s="4"/>
      <c r="U752" s="4"/>
    </row>
    <row r="753" spans="1:21" ht="15.75" customHeight="1" x14ac:dyDescent="0.35">
      <c r="A753" s="4"/>
      <c r="B753" s="4"/>
      <c r="F753" s="4"/>
      <c r="M753" s="4"/>
      <c r="N753" s="4"/>
      <c r="Q753" s="4"/>
      <c r="R753" s="4"/>
      <c r="U753" s="4"/>
    </row>
    <row r="754" spans="1:21" ht="15.75" customHeight="1" x14ac:dyDescent="0.35">
      <c r="A754" s="4"/>
      <c r="B754" s="4"/>
      <c r="F754" s="4"/>
      <c r="M754" s="4"/>
      <c r="N754" s="4"/>
      <c r="Q754" s="4"/>
      <c r="R754" s="4"/>
      <c r="U754" s="4"/>
    </row>
    <row r="755" spans="1:21" ht="15.75" customHeight="1" x14ac:dyDescent="0.35">
      <c r="A755" s="4"/>
      <c r="B755" s="4"/>
      <c r="F755" s="4"/>
      <c r="M755" s="4"/>
      <c r="N755" s="4"/>
      <c r="Q755" s="4"/>
      <c r="R755" s="4"/>
      <c r="U755" s="4"/>
    </row>
    <row r="756" spans="1:21" ht="15.75" customHeight="1" x14ac:dyDescent="0.35">
      <c r="A756" s="4"/>
      <c r="B756" s="4"/>
      <c r="F756" s="4"/>
      <c r="M756" s="4"/>
      <c r="N756" s="4"/>
      <c r="Q756" s="4"/>
      <c r="R756" s="4"/>
      <c r="U756" s="4"/>
    </row>
    <row r="757" spans="1:21" ht="15.75" customHeight="1" x14ac:dyDescent="0.35">
      <c r="A757" s="4"/>
      <c r="B757" s="4"/>
      <c r="F757" s="4"/>
      <c r="M757" s="4"/>
      <c r="N757" s="4"/>
      <c r="Q757" s="4"/>
      <c r="R757" s="4"/>
      <c r="U757" s="4"/>
    </row>
    <row r="758" spans="1:21" ht="15.75" customHeight="1" x14ac:dyDescent="0.35">
      <c r="A758" s="4"/>
      <c r="B758" s="4"/>
      <c r="F758" s="4"/>
      <c r="M758" s="4"/>
      <c r="N758" s="4"/>
      <c r="Q758" s="4"/>
      <c r="R758" s="4"/>
      <c r="U758" s="4"/>
    </row>
    <row r="759" spans="1:21" ht="15.75" customHeight="1" x14ac:dyDescent="0.35">
      <c r="A759" s="4"/>
      <c r="B759" s="4"/>
      <c r="F759" s="4"/>
      <c r="M759" s="4"/>
      <c r="N759" s="4"/>
      <c r="Q759" s="4"/>
      <c r="R759" s="4"/>
      <c r="U759" s="4"/>
    </row>
    <row r="760" spans="1:21" ht="15.75" customHeight="1" x14ac:dyDescent="0.35">
      <c r="A760" s="4"/>
      <c r="B760" s="4"/>
      <c r="F760" s="4"/>
      <c r="M760" s="4"/>
      <c r="N760" s="4"/>
      <c r="Q760" s="4"/>
      <c r="R760" s="4"/>
      <c r="U760" s="4"/>
    </row>
    <row r="761" spans="1:21" ht="15.75" customHeight="1" x14ac:dyDescent="0.35">
      <c r="A761" s="4"/>
      <c r="B761" s="4"/>
      <c r="F761" s="4"/>
      <c r="M761" s="4"/>
      <c r="N761" s="4"/>
      <c r="Q761" s="4"/>
      <c r="R761" s="4"/>
      <c r="U761" s="4"/>
    </row>
    <row r="762" spans="1:21" ht="15.75" customHeight="1" x14ac:dyDescent="0.35">
      <c r="A762" s="4"/>
      <c r="B762" s="4"/>
      <c r="F762" s="4"/>
      <c r="M762" s="4"/>
      <c r="N762" s="4"/>
      <c r="Q762" s="4"/>
      <c r="R762" s="4"/>
      <c r="U762" s="4"/>
    </row>
    <row r="763" spans="1:21" ht="15.75" customHeight="1" x14ac:dyDescent="0.35">
      <c r="A763" s="4"/>
      <c r="B763" s="4"/>
      <c r="F763" s="4"/>
      <c r="M763" s="4"/>
      <c r="N763" s="4"/>
      <c r="Q763" s="4"/>
      <c r="R763" s="4"/>
      <c r="U763" s="4"/>
    </row>
    <row r="764" spans="1:21" ht="15.75" customHeight="1" x14ac:dyDescent="0.35">
      <c r="A764" s="4"/>
      <c r="B764" s="4"/>
      <c r="F764" s="4"/>
      <c r="M764" s="4"/>
      <c r="N764" s="4"/>
      <c r="Q764" s="4"/>
      <c r="R764" s="4"/>
      <c r="U764" s="4"/>
    </row>
    <row r="765" spans="1:21" ht="15.75" customHeight="1" x14ac:dyDescent="0.35">
      <c r="A765" s="4"/>
      <c r="B765" s="4"/>
      <c r="F765" s="4"/>
      <c r="M765" s="4"/>
      <c r="N765" s="4"/>
      <c r="Q765" s="4"/>
      <c r="R765" s="4"/>
      <c r="U765" s="4"/>
    </row>
    <row r="766" spans="1:21" ht="15.75" customHeight="1" x14ac:dyDescent="0.35">
      <c r="A766" s="4"/>
      <c r="B766" s="4"/>
      <c r="F766" s="4"/>
      <c r="M766" s="4"/>
      <c r="N766" s="4"/>
      <c r="Q766" s="4"/>
      <c r="R766" s="4"/>
      <c r="U766" s="4"/>
    </row>
    <row r="767" spans="1:21" ht="15.75" customHeight="1" x14ac:dyDescent="0.35">
      <c r="A767" s="4"/>
      <c r="B767" s="4"/>
      <c r="F767" s="4"/>
      <c r="M767" s="4"/>
      <c r="N767" s="4"/>
      <c r="Q767" s="4"/>
      <c r="R767" s="4"/>
      <c r="U767" s="4"/>
    </row>
    <row r="768" spans="1:21" ht="15.75" customHeight="1" x14ac:dyDescent="0.35">
      <c r="A768" s="4"/>
      <c r="B768" s="4"/>
      <c r="F768" s="4"/>
      <c r="M768" s="4"/>
      <c r="N768" s="4"/>
      <c r="Q768" s="4"/>
      <c r="R768" s="4"/>
      <c r="U768" s="4"/>
    </row>
    <row r="769" spans="1:21" ht="15.75" customHeight="1" x14ac:dyDescent="0.35">
      <c r="A769" s="4"/>
      <c r="B769" s="4"/>
      <c r="F769" s="4"/>
      <c r="M769" s="4"/>
      <c r="N769" s="4"/>
      <c r="Q769" s="4"/>
      <c r="R769" s="4"/>
      <c r="U769" s="4"/>
    </row>
    <row r="770" spans="1:21" ht="15.75" customHeight="1" x14ac:dyDescent="0.35">
      <c r="A770" s="4"/>
      <c r="B770" s="4"/>
      <c r="F770" s="4"/>
      <c r="M770" s="4"/>
      <c r="N770" s="4"/>
      <c r="Q770" s="4"/>
      <c r="R770" s="4"/>
      <c r="U770" s="4"/>
    </row>
    <row r="771" spans="1:21" ht="15.75" customHeight="1" x14ac:dyDescent="0.35">
      <c r="A771" s="4"/>
      <c r="B771" s="4"/>
      <c r="F771" s="4"/>
      <c r="M771" s="4"/>
      <c r="N771" s="4"/>
      <c r="Q771" s="4"/>
      <c r="R771" s="4"/>
      <c r="U771" s="4"/>
    </row>
    <row r="772" spans="1:21" ht="15.75" customHeight="1" x14ac:dyDescent="0.35">
      <c r="A772" s="4"/>
      <c r="B772" s="4"/>
      <c r="F772" s="4"/>
      <c r="M772" s="4"/>
      <c r="N772" s="4"/>
      <c r="Q772" s="4"/>
      <c r="R772" s="4"/>
      <c r="U772" s="4"/>
    </row>
    <row r="773" spans="1:21" ht="15.75" customHeight="1" x14ac:dyDescent="0.35">
      <c r="A773" s="4"/>
      <c r="B773" s="4"/>
      <c r="F773" s="4"/>
      <c r="M773" s="4"/>
      <c r="N773" s="4"/>
      <c r="Q773" s="4"/>
      <c r="R773" s="4"/>
      <c r="U773" s="4"/>
    </row>
    <row r="774" spans="1:21" ht="15.75" customHeight="1" x14ac:dyDescent="0.35">
      <c r="A774" s="4"/>
      <c r="B774" s="4"/>
      <c r="F774" s="4"/>
      <c r="M774" s="4"/>
      <c r="N774" s="4"/>
      <c r="Q774" s="4"/>
      <c r="R774" s="4"/>
      <c r="U774" s="4"/>
    </row>
    <row r="775" spans="1:21" ht="15.75" customHeight="1" x14ac:dyDescent="0.35">
      <c r="A775" s="4"/>
      <c r="B775" s="4"/>
      <c r="F775" s="4"/>
      <c r="M775" s="4"/>
      <c r="N775" s="4"/>
      <c r="Q775" s="4"/>
      <c r="R775" s="4"/>
      <c r="U775" s="4"/>
    </row>
    <row r="776" spans="1:21" ht="15.75" customHeight="1" x14ac:dyDescent="0.35">
      <c r="A776" s="4"/>
      <c r="B776" s="4"/>
      <c r="F776" s="4"/>
      <c r="M776" s="4"/>
      <c r="N776" s="4"/>
      <c r="Q776" s="4"/>
      <c r="R776" s="4"/>
      <c r="U776" s="4"/>
    </row>
    <row r="777" spans="1:21" ht="15.75" customHeight="1" x14ac:dyDescent="0.35">
      <c r="A777" s="4"/>
      <c r="B777" s="4"/>
      <c r="F777" s="4"/>
      <c r="M777" s="4"/>
      <c r="N777" s="4"/>
      <c r="Q777" s="4"/>
      <c r="R777" s="4"/>
      <c r="U777" s="4"/>
    </row>
    <row r="778" spans="1:21" ht="15.75" customHeight="1" x14ac:dyDescent="0.35">
      <c r="A778" s="4"/>
      <c r="B778" s="4"/>
      <c r="F778" s="4"/>
      <c r="M778" s="4"/>
      <c r="N778" s="4"/>
      <c r="Q778" s="4"/>
      <c r="R778" s="4"/>
      <c r="U778" s="4"/>
    </row>
    <row r="779" spans="1:21" ht="15.75" customHeight="1" x14ac:dyDescent="0.35">
      <c r="A779" s="4"/>
      <c r="B779" s="4"/>
      <c r="F779" s="4"/>
      <c r="M779" s="4"/>
      <c r="N779" s="4"/>
      <c r="Q779" s="4"/>
      <c r="R779" s="4"/>
      <c r="U779" s="4"/>
    </row>
    <row r="780" spans="1:21" ht="15.75" customHeight="1" x14ac:dyDescent="0.35">
      <c r="A780" s="4"/>
      <c r="B780" s="4"/>
      <c r="F780" s="4"/>
      <c r="M780" s="4"/>
      <c r="N780" s="4"/>
      <c r="Q780" s="4"/>
      <c r="R780" s="4"/>
      <c r="U780" s="4"/>
    </row>
    <row r="781" spans="1:21" ht="15.75" customHeight="1" x14ac:dyDescent="0.35">
      <c r="A781" s="4"/>
      <c r="B781" s="4"/>
      <c r="F781" s="4"/>
      <c r="M781" s="4"/>
      <c r="N781" s="4"/>
      <c r="Q781" s="4"/>
      <c r="R781" s="4"/>
      <c r="U781" s="4"/>
    </row>
    <row r="782" spans="1:21" ht="15.75" customHeight="1" x14ac:dyDescent="0.35">
      <c r="A782" s="4"/>
      <c r="B782" s="4"/>
      <c r="F782" s="4"/>
      <c r="M782" s="4"/>
      <c r="N782" s="4"/>
      <c r="Q782" s="4"/>
      <c r="R782" s="4"/>
      <c r="U782" s="4"/>
    </row>
    <row r="783" spans="1:21" ht="15.75" customHeight="1" x14ac:dyDescent="0.35">
      <c r="A783" s="4"/>
      <c r="B783" s="4"/>
      <c r="F783" s="4"/>
      <c r="M783" s="4"/>
      <c r="N783" s="4"/>
      <c r="Q783" s="4"/>
      <c r="R783" s="4"/>
      <c r="U783" s="4"/>
    </row>
    <row r="784" spans="1:21" ht="15.75" customHeight="1" x14ac:dyDescent="0.35">
      <c r="A784" s="4"/>
      <c r="B784" s="4"/>
      <c r="F784" s="4"/>
      <c r="M784" s="4"/>
      <c r="N784" s="4"/>
      <c r="Q784" s="4"/>
      <c r="R784" s="4"/>
      <c r="U784" s="4"/>
    </row>
    <row r="785" spans="1:21" ht="15.75" customHeight="1" x14ac:dyDescent="0.35">
      <c r="A785" s="4"/>
      <c r="B785" s="4"/>
      <c r="F785" s="4"/>
      <c r="M785" s="4"/>
      <c r="N785" s="4"/>
      <c r="Q785" s="4"/>
      <c r="R785" s="4"/>
      <c r="U785" s="4"/>
    </row>
    <row r="786" spans="1:21" ht="15.75" customHeight="1" x14ac:dyDescent="0.35">
      <c r="A786" s="4"/>
      <c r="B786" s="4"/>
      <c r="F786" s="4"/>
      <c r="M786" s="4"/>
      <c r="N786" s="4"/>
      <c r="Q786" s="4"/>
      <c r="R786" s="4"/>
      <c r="U786" s="4"/>
    </row>
    <row r="787" spans="1:21" ht="15.75" customHeight="1" x14ac:dyDescent="0.35">
      <c r="A787" s="4"/>
      <c r="B787" s="4"/>
      <c r="F787" s="4"/>
      <c r="M787" s="4"/>
      <c r="N787" s="4"/>
      <c r="Q787" s="4"/>
      <c r="R787" s="4"/>
      <c r="U787" s="4"/>
    </row>
    <row r="788" spans="1:21" ht="15.75" customHeight="1" x14ac:dyDescent="0.35">
      <c r="A788" s="4"/>
      <c r="B788" s="4"/>
      <c r="F788" s="4"/>
      <c r="M788" s="4"/>
      <c r="N788" s="4"/>
      <c r="Q788" s="4"/>
      <c r="R788" s="4"/>
      <c r="U788" s="4"/>
    </row>
    <row r="789" spans="1:21" ht="15.75" customHeight="1" x14ac:dyDescent="0.35">
      <c r="A789" s="4"/>
      <c r="B789" s="4"/>
      <c r="F789" s="4"/>
      <c r="M789" s="4"/>
      <c r="N789" s="4"/>
      <c r="Q789" s="4"/>
      <c r="R789" s="4"/>
      <c r="U789" s="4"/>
    </row>
    <row r="790" spans="1:21" ht="15.75" customHeight="1" x14ac:dyDescent="0.35">
      <c r="A790" s="4"/>
      <c r="B790" s="4"/>
      <c r="F790" s="4"/>
      <c r="M790" s="4"/>
      <c r="N790" s="4"/>
      <c r="Q790" s="4"/>
      <c r="R790" s="4"/>
      <c r="U790" s="4"/>
    </row>
    <row r="791" spans="1:21" ht="15.75" customHeight="1" x14ac:dyDescent="0.35">
      <c r="A791" s="4"/>
      <c r="B791" s="4"/>
      <c r="F791" s="4"/>
      <c r="M791" s="4"/>
      <c r="N791" s="4"/>
      <c r="Q791" s="4"/>
      <c r="R791" s="4"/>
      <c r="U791" s="4"/>
    </row>
    <row r="792" spans="1:21" ht="15.75" customHeight="1" x14ac:dyDescent="0.35">
      <c r="A792" s="4"/>
      <c r="B792" s="4"/>
      <c r="F792" s="4"/>
      <c r="M792" s="4"/>
      <c r="N792" s="4"/>
      <c r="Q792" s="4"/>
      <c r="R792" s="4"/>
      <c r="U792" s="4"/>
    </row>
    <row r="793" spans="1:21" ht="15.75" customHeight="1" x14ac:dyDescent="0.35">
      <c r="A793" s="4"/>
      <c r="B793" s="4"/>
      <c r="F793" s="4"/>
      <c r="M793" s="4"/>
      <c r="N793" s="4"/>
      <c r="Q793" s="4"/>
      <c r="R793" s="4"/>
      <c r="U793" s="4"/>
    </row>
    <row r="794" spans="1:21" ht="15.75" customHeight="1" x14ac:dyDescent="0.35">
      <c r="A794" s="4"/>
      <c r="B794" s="4"/>
      <c r="F794" s="4"/>
      <c r="M794" s="4"/>
      <c r="N794" s="4"/>
      <c r="Q794" s="4"/>
      <c r="R794" s="4"/>
      <c r="U794" s="4"/>
    </row>
    <row r="795" spans="1:21" ht="15.75" customHeight="1" x14ac:dyDescent="0.35">
      <c r="A795" s="4"/>
      <c r="B795" s="4"/>
      <c r="F795" s="4"/>
      <c r="M795" s="4"/>
      <c r="N795" s="4"/>
      <c r="Q795" s="4"/>
      <c r="R795" s="4"/>
      <c r="U795" s="4"/>
    </row>
    <row r="796" spans="1:21" ht="15.75" customHeight="1" x14ac:dyDescent="0.35">
      <c r="A796" s="4"/>
      <c r="B796" s="4"/>
      <c r="F796" s="4"/>
      <c r="M796" s="4"/>
      <c r="N796" s="4"/>
      <c r="Q796" s="4"/>
      <c r="R796" s="4"/>
      <c r="U796" s="4"/>
    </row>
    <row r="797" spans="1:21" ht="15.75" customHeight="1" x14ac:dyDescent="0.35">
      <c r="A797" s="4"/>
      <c r="B797" s="4"/>
      <c r="F797" s="4"/>
      <c r="M797" s="4"/>
      <c r="N797" s="4"/>
      <c r="Q797" s="4"/>
      <c r="R797" s="4"/>
      <c r="U797" s="4"/>
    </row>
    <row r="798" spans="1:21" ht="15.75" customHeight="1" x14ac:dyDescent="0.35">
      <c r="A798" s="4"/>
      <c r="B798" s="4"/>
      <c r="F798" s="4"/>
      <c r="M798" s="4"/>
      <c r="N798" s="4"/>
      <c r="Q798" s="4"/>
      <c r="R798" s="4"/>
      <c r="U798" s="4"/>
    </row>
    <row r="799" spans="1:21" ht="15.75" customHeight="1" x14ac:dyDescent="0.35">
      <c r="A799" s="4"/>
      <c r="B799" s="4"/>
      <c r="F799" s="4"/>
      <c r="M799" s="4"/>
      <c r="N799" s="4"/>
      <c r="Q799" s="4"/>
      <c r="R799" s="4"/>
      <c r="U799" s="4"/>
    </row>
    <row r="800" spans="1:21" ht="15.75" customHeight="1" x14ac:dyDescent="0.35">
      <c r="A800" s="4"/>
      <c r="B800" s="4"/>
      <c r="F800" s="4"/>
      <c r="M800" s="4"/>
      <c r="N800" s="4"/>
      <c r="Q800" s="4"/>
      <c r="R800" s="4"/>
      <c r="U800" s="4"/>
    </row>
    <row r="801" spans="1:21" ht="15.75" customHeight="1" x14ac:dyDescent="0.35">
      <c r="A801" s="4"/>
      <c r="B801" s="4"/>
      <c r="F801" s="4"/>
      <c r="M801" s="4"/>
      <c r="N801" s="4"/>
      <c r="Q801" s="4"/>
      <c r="R801" s="4"/>
      <c r="U801" s="4"/>
    </row>
    <row r="802" spans="1:21" ht="15.75" customHeight="1" x14ac:dyDescent="0.35">
      <c r="A802" s="4"/>
      <c r="B802" s="4"/>
      <c r="F802" s="4"/>
      <c r="M802" s="4"/>
      <c r="N802" s="4"/>
      <c r="Q802" s="4"/>
      <c r="R802" s="4"/>
      <c r="U802" s="4"/>
    </row>
    <row r="803" spans="1:21" ht="15.75" customHeight="1" x14ac:dyDescent="0.35">
      <c r="A803" s="4"/>
      <c r="B803" s="4"/>
      <c r="F803" s="4"/>
      <c r="M803" s="4"/>
      <c r="N803" s="4"/>
      <c r="Q803" s="4"/>
      <c r="R803" s="4"/>
      <c r="U803" s="4"/>
    </row>
    <row r="804" spans="1:21" ht="15.75" customHeight="1" x14ac:dyDescent="0.35">
      <c r="A804" s="4"/>
      <c r="B804" s="4"/>
      <c r="F804" s="4"/>
      <c r="M804" s="4"/>
      <c r="N804" s="4"/>
      <c r="Q804" s="4"/>
      <c r="R804" s="4"/>
      <c r="U804" s="4"/>
    </row>
    <row r="805" spans="1:21" ht="15.75" customHeight="1" x14ac:dyDescent="0.35">
      <c r="A805" s="4"/>
      <c r="B805" s="4"/>
      <c r="F805" s="4"/>
      <c r="M805" s="4"/>
      <c r="N805" s="4"/>
      <c r="Q805" s="4"/>
      <c r="R805" s="4"/>
      <c r="U805" s="4"/>
    </row>
    <row r="806" spans="1:21" ht="15.75" customHeight="1" x14ac:dyDescent="0.35">
      <c r="A806" s="4"/>
      <c r="B806" s="4"/>
      <c r="F806" s="4"/>
      <c r="M806" s="4"/>
      <c r="N806" s="4"/>
      <c r="Q806" s="4"/>
      <c r="R806" s="4"/>
      <c r="U806" s="4"/>
    </row>
    <row r="807" spans="1:21" ht="15.75" customHeight="1" x14ac:dyDescent="0.35">
      <c r="A807" s="4"/>
      <c r="B807" s="4"/>
      <c r="F807" s="4"/>
      <c r="M807" s="4"/>
      <c r="N807" s="4"/>
      <c r="Q807" s="4"/>
      <c r="R807" s="4"/>
      <c r="U807" s="4"/>
    </row>
    <row r="808" spans="1:21" ht="15.75" customHeight="1" x14ac:dyDescent="0.35">
      <c r="A808" s="4"/>
      <c r="B808" s="4"/>
      <c r="F808" s="4"/>
      <c r="M808" s="4"/>
      <c r="N808" s="4"/>
      <c r="Q808" s="4"/>
      <c r="R808" s="4"/>
      <c r="U808" s="4"/>
    </row>
    <row r="809" spans="1:21" ht="15.75" customHeight="1" x14ac:dyDescent="0.35">
      <c r="A809" s="4"/>
      <c r="B809" s="4"/>
      <c r="F809" s="4"/>
      <c r="M809" s="4"/>
      <c r="N809" s="4"/>
      <c r="Q809" s="4"/>
      <c r="R809" s="4"/>
      <c r="U809" s="4"/>
    </row>
    <row r="810" spans="1:21" ht="15.75" customHeight="1" x14ac:dyDescent="0.35">
      <c r="A810" s="4"/>
      <c r="B810" s="4"/>
      <c r="F810" s="4"/>
      <c r="M810" s="4"/>
      <c r="N810" s="4"/>
      <c r="Q810" s="4"/>
      <c r="R810" s="4"/>
      <c r="U810" s="4"/>
    </row>
    <row r="811" spans="1:21" ht="15.75" customHeight="1" x14ac:dyDescent="0.35">
      <c r="A811" s="4"/>
      <c r="B811" s="4"/>
      <c r="F811" s="4"/>
      <c r="M811" s="4"/>
      <c r="N811" s="4"/>
      <c r="Q811" s="4"/>
      <c r="R811" s="4"/>
      <c r="U811" s="4"/>
    </row>
    <row r="812" spans="1:21" ht="15.75" customHeight="1" x14ac:dyDescent="0.35">
      <c r="A812" s="4"/>
      <c r="B812" s="4"/>
      <c r="F812" s="4"/>
      <c r="M812" s="4"/>
      <c r="N812" s="4"/>
      <c r="Q812" s="4"/>
      <c r="R812" s="4"/>
      <c r="U812" s="4"/>
    </row>
    <row r="813" spans="1:21" ht="15.75" customHeight="1" x14ac:dyDescent="0.35">
      <c r="A813" s="4"/>
      <c r="B813" s="4"/>
      <c r="F813" s="4"/>
      <c r="M813" s="4"/>
      <c r="N813" s="4"/>
      <c r="Q813" s="4"/>
      <c r="R813" s="4"/>
      <c r="U813" s="4"/>
    </row>
    <row r="814" spans="1:21" ht="15.75" customHeight="1" x14ac:dyDescent="0.35">
      <c r="A814" s="4"/>
      <c r="B814" s="4"/>
      <c r="F814" s="4"/>
      <c r="M814" s="4"/>
      <c r="N814" s="4"/>
      <c r="Q814" s="4"/>
      <c r="R814" s="4"/>
      <c r="U814" s="4"/>
    </row>
    <row r="815" spans="1:21" ht="15.75" customHeight="1" x14ac:dyDescent="0.35">
      <c r="A815" s="4"/>
      <c r="B815" s="4"/>
      <c r="F815" s="4"/>
      <c r="M815" s="4"/>
      <c r="N815" s="4"/>
      <c r="Q815" s="4"/>
      <c r="R815" s="4"/>
      <c r="U815" s="4"/>
    </row>
    <row r="816" spans="1:21" ht="15.75" customHeight="1" x14ac:dyDescent="0.35">
      <c r="A816" s="4"/>
      <c r="B816" s="4"/>
      <c r="F816" s="4"/>
      <c r="M816" s="4"/>
      <c r="N816" s="4"/>
      <c r="Q816" s="4"/>
      <c r="R816" s="4"/>
      <c r="U816" s="4"/>
    </row>
    <row r="817" spans="1:21" ht="15.75" customHeight="1" x14ac:dyDescent="0.35">
      <c r="A817" s="4"/>
      <c r="B817" s="4"/>
      <c r="F817" s="4"/>
      <c r="M817" s="4"/>
      <c r="N817" s="4"/>
      <c r="Q817" s="4"/>
      <c r="R817" s="4"/>
      <c r="U817" s="4"/>
    </row>
    <row r="818" spans="1:21" ht="15.75" customHeight="1" x14ac:dyDescent="0.35">
      <c r="A818" s="4"/>
      <c r="B818" s="4"/>
      <c r="F818" s="4"/>
      <c r="M818" s="4"/>
      <c r="N818" s="4"/>
      <c r="Q818" s="4"/>
      <c r="R818" s="4"/>
      <c r="U818" s="4"/>
    </row>
    <row r="819" spans="1:21" ht="15.75" customHeight="1" x14ac:dyDescent="0.35">
      <c r="A819" s="4"/>
      <c r="B819" s="4"/>
      <c r="F819" s="4"/>
      <c r="M819" s="4"/>
      <c r="N819" s="4"/>
      <c r="Q819" s="4"/>
      <c r="R819" s="4"/>
      <c r="U819" s="4"/>
    </row>
    <row r="820" spans="1:21" ht="15.75" customHeight="1" x14ac:dyDescent="0.35">
      <c r="A820" s="4"/>
      <c r="B820" s="4"/>
      <c r="F820" s="4"/>
      <c r="M820" s="4"/>
      <c r="N820" s="4"/>
      <c r="Q820" s="4"/>
      <c r="R820" s="4"/>
      <c r="U820" s="4"/>
    </row>
    <row r="821" spans="1:21" ht="15.75" customHeight="1" x14ac:dyDescent="0.35">
      <c r="A821" s="4"/>
      <c r="B821" s="4"/>
      <c r="F821" s="4"/>
      <c r="M821" s="4"/>
      <c r="N821" s="4"/>
      <c r="Q821" s="4"/>
      <c r="R821" s="4"/>
      <c r="U821" s="4"/>
    </row>
    <row r="822" spans="1:21" ht="15.75" customHeight="1" x14ac:dyDescent="0.35">
      <c r="A822" s="4"/>
      <c r="B822" s="4"/>
      <c r="F822" s="4"/>
      <c r="M822" s="4"/>
      <c r="N822" s="4"/>
      <c r="Q822" s="4"/>
      <c r="R822" s="4"/>
      <c r="U822" s="4"/>
    </row>
    <row r="823" spans="1:21" ht="15.75" customHeight="1" x14ac:dyDescent="0.35">
      <c r="A823" s="4"/>
      <c r="B823" s="4"/>
      <c r="F823" s="4"/>
      <c r="M823" s="4"/>
      <c r="N823" s="4"/>
      <c r="Q823" s="4"/>
      <c r="R823" s="4"/>
      <c r="U823" s="4"/>
    </row>
    <row r="824" spans="1:21" ht="15.75" customHeight="1" x14ac:dyDescent="0.35">
      <c r="A824" s="4"/>
      <c r="B824" s="4"/>
      <c r="F824" s="4"/>
      <c r="M824" s="4"/>
      <c r="N824" s="4"/>
      <c r="Q824" s="4"/>
      <c r="R824" s="4"/>
      <c r="U824" s="4"/>
    </row>
    <row r="825" spans="1:21" ht="15.75" customHeight="1" x14ac:dyDescent="0.35">
      <c r="A825" s="4"/>
      <c r="B825" s="4"/>
      <c r="F825" s="4"/>
      <c r="M825" s="4"/>
      <c r="N825" s="4"/>
      <c r="Q825" s="4"/>
      <c r="R825" s="4"/>
      <c r="U825" s="4"/>
    </row>
    <row r="826" spans="1:21" ht="15.75" customHeight="1" x14ac:dyDescent="0.35">
      <c r="A826" s="4"/>
      <c r="B826" s="4"/>
      <c r="F826" s="4"/>
      <c r="M826" s="4"/>
      <c r="N826" s="4"/>
      <c r="Q826" s="4"/>
      <c r="R826" s="4"/>
      <c r="U826" s="4"/>
    </row>
    <row r="827" spans="1:21" ht="15.75" customHeight="1" x14ac:dyDescent="0.35">
      <c r="A827" s="4"/>
      <c r="B827" s="4"/>
      <c r="F827" s="4"/>
      <c r="M827" s="4"/>
      <c r="N827" s="4"/>
      <c r="Q827" s="4"/>
      <c r="R827" s="4"/>
      <c r="U827" s="4"/>
    </row>
    <row r="828" spans="1:21" ht="15.75" customHeight="1" x14ac:dyDescent="0.35">
      <c r="A828" s="4"/>
      <c r="B828" s="4"/>
      <c r="F828" s="4"/>
      <c r="M828" s="4"/>
      <c r="N828" s="4"/>
      <c r="Q828" s="4"/>
      <c r="R828" s="4"/>
      <c r="U828" s="4"/>
    </row>
    <row r="829" spans="1:21" ht="15.75" customHeight="1" x14ac:dyDescent="0.35">
      <c r="A829" s="4"/>
      <c r="B829" s="4"/>
      <c r="F829" s="4"/>
      <c r="M829" s="4"/>
      <c r="N829" s="4"/>
      <c r="Q829" s="4"/>
      <c r="R829" s="4"/>
      <c r="U829" s="4"/>
    </row>
    <row r="830" spans="1:21" ht="15.75" customHeight="1" x14ac:dyDescent="0.35">
      <c r="A830" s="4"/>
      <c r="B830" s="4"/>
      <c r="F830" s="4"/>
      <c r="M830" s="4"/>
      <c r="N830" s="4"/>
      <c r="Q830" s="4"/>
      <c r="R830" s="4"/>
      <c r="U830" s="4"/>
    </row>
    <row r="831" spans="1:21" ht="15.75" customHeight="1" x14ac:dyDescent="0.35">
      <c r="A831" s="4"/>
      <c r="B831" s="4"/>
      <c r="F831" s="4"/>
      <c r="M831" s="4"/>
      <c r="N831" s="4"/>
      <c r="Q831" s="4"/>
      <c r="R831" s="4"/>
      <c r="U831" s="4"/>
    </row>
    <row r="832" spans="1:21" ht="15.75" customHeight="1" x14ac:dyDescent="0.35">
      <c r="A832" s="4"/>
      <c r="B832" s="4"/>
      <c r="F832" s="4"/>
      <c r="M832" s="4"/>
      <c r="N832" s="4"/>
      <c r="Q832" s="4"/>
      <c r="R832" s="4"/>
      <c r="U832" s="4"/>
    </row>
    <row r="833" spans="1:21" ht="15.75" customHeight="1" x14ac:dyDescent="0.35">
      <c r="A833" s="4"/>
      <c r="B833" s="4"/>
      <c r="F833" s="4"/>
      <c r="M833" s="4"/>
      <c r="N833" s="4"/>
      <c r="Q833" s="4"/>
      <c r="R833" s="4"/>
      <c r="U833" s="4"/>
    </row>
    <row r="834" spans="1:21" ht="15.75" customHeight="1" x14ac:dyDescent="0.35">
      <c r="A834" s="4"/>
      <c r="B834" s="4"/>
      <c r="F834" s="4"/>
      <c r="M834" s="4"/>
      <c r="N834" s="4"/>
      <c r="Q834" s="4"/>
      <c r="R834" s="4"/>
      <c r="U834" s="4"/>
    </row>
    <row r="835" spans="1:21" ht="15.75" customHeight="1" x14ac:dyDescent="0.35">
      <c r="A835" s="4"/>
      <c r="B835" s="4"/>
      <c r="F835" s="4"/>
      <c r="M835" s="4"/>
      <c r="N835" s="4"/>
      <c r="Q835" s="4"/>
      <c r="R835" s="4"/>
      <c r="U835" s="4"/>
    </row>
    <row r="836" spans="1:21" ht="15.75" customHeight="1" x14ac:dyDescent="0.35">
      <c r="A836" s="4"/>
      <c r="B836" s="4"/>
      <c r="F836" s="4"/>
      <c r="M836" s="4"/>
      <c r="N836" s="4"/>
      <c r="Q836" s="4"/>
      <c r="R836" s="4"/>
      <c r="U836" s="4"/>
    </row>
    <row r="837" spans="1:21" ht="15.75" customHeight="1" x14ac:dyDescent="0.35">
      <c r="A837" s="4"/>
      <c r="B837" s="4"/>
      <c r="F837" s="4"/>
      <c r="M837" s="4"/>
      <c r="N837" s="4"/>
      <c r="Q837" s="4"/>
      <c r="R837" s="4"/>
      <c r="U837" s="4"/>
    </row>
    <row r="838" spans="1:21" ht="15.75" customHeight="1" x14ac:dyDescent="0.35">
      <c r="A838" s="4"/>
      <c r="B838" s="4"/>
      <c r="F838" s="4"/>
      <c r="M838" s="4"/>
      <c r="N838" s="4"/>
      <c r="Q838" s="4"/>
      <c r="R838" s="4"/>
      <c r="U838" s="4"/>
    </row>
    <row r="839" spans="1:21" ht="15.75" customHeight="1" x14ac:dyDescent="0.35">
      <c r="A839" s="4"/>
      <c r="B839" s="4"/>
      <c r="F839" s="4"/>
      <c r="M839" s="4"/>
      <c r="N839" s="4"/>
      <c r="Q839" s="4"/>
      <c r="R839" s="4"/>
      <c r="U839" s="4"/>
    </row>
    <row r="840" spans="1:21" ht="15.75" customHeight="1" x14ac:dyDescent="0.35">
      <c r="A840" s="4"/>
      <c r="B840" s="4"/>
      <c r="F840" s="4"/>
      <c r="M840" s="4"/>
      <c r="N840" s="4"/>
      <c r="Q840" s="4"/>
      <c r="R840" s="4"/>
      <c r="U840" s="4"/>
    </row>
    <row r="841" spans="1:21" ht="15.75" customHeight="1" x14ac:dyDescent="0.35">
      <c r="A841" s="4"/>
      <c r="B841" s="4"/>
      <c r="F841" s="4"/>
      <c r="M841" s="4"/>
      <c r="N841" s="4"/>
      <c r="Q841" s="4"/>
      <c r="R841" s="4"/>
      <c r="U841" s="4"/>
    </row>
    <row r="842" spans="1:21" ht="15.75" customHeight="1" x14ac:dyDescent="0.35">
      <c r="A842" s="4"/>
      <c r="B842" s="4"/>
      <c r="F842" s="4"/>
      <c r="M842" s="4"/>
      <c r="N842" s="4"/>
      <c r="Q842" s="4"/>
      <c r="R842" s="4"/>
      <c r="U842" s="4"/>
    </row>
    <row r="843" spans="1:21" ht="15.75" customHeight="1" x14ac:dyDescent="0.35">
      <c r="A843" s="4"/>
      <c r="B843" s="4"/>
      <c r="F843" s="4"/>
      <c r="M843" s="4"/>
      <c r="N843" s="4"/>
      <c r="Q843" s="4"/>
      <c r="R843" s="4"/>
      <c r="U843" s="4"/>
    </row>
    <row r="844" spans="1:21" ht="15.75" customHeight="1" x14ac:dyDescent="0.35">
      <c r="A844" s="4"/>
      <c r="B844" s="4"/>
      <c r="F844" s="4"/>
      <c r="M844" s="4"/>
      <c r="N844" s="4"/>
      <c r="Q844" s="4"/>
      <c r="R844" s="4"/>
      <c r="U844" s="4"/>
    </row>
    <row r="845" spans="1:21" ht="15.75" customHeight="1" x14ac:dyDescent="0.35">
      <c r="A845" s="4"/>
      <c r="B845" s="4"/>
      <c r="F845" s="4"/>
      <c r="M845" s="4"/>
      <c r="N845" s="4"/>
      <c r="Q845" s="4"/>
      <c r="R845" s="4"/>
      <c r="U845" s="4"/>
    </row>
    <row r="846" spans="1:21" ht="15.75" customHeight="1" x14ac:dyDescent="0.35">
      <c r="A846" s="4"/>
      <c r="B846" s="4"/>
      <c r="F846" s="4"/>
      <c r="M846" s="4"/>
      <c r="N846" s="4"/>
      <c r="Q846" s="4"/>
      <c r="R846" s="4"/>
      <c r="U846" s="4"/>
    </row>
    <row r="847" spans="1:21" ht="15.75" customHeight="1" x14ac:dyDescent="0.35">
      <c r="A847" s="4"/>
      <c r="B847" s="4"/>
      <c r="F847" s="4"/>
      <c r="M847" s="4"/>
      <c r="N847" s="4"/>
      <c r="Q847" s="4"/>
      <c r="R847" s="4"/>
      <c r="U847" s="4"/>
    </row>
    <row r="848" spans="1:21" ht="15.75" customHeight="1" x14ac:dyDescent="0.35">
      <c r="A848" s="4"/>
      <c r="B848" s="4"/>
      <c r="F848" s="4"/>
      <c r="M848" s="4"/>
      <c r="N848" s="4"/>
      <c r="Q848" s="4"/>
      <c r="R848" s="4"/>
      <c r="U848" s="4"/>
    </row>
    <row r="849" spans="1:21" ht="15.75" customHeight="1" x14ac:dyDescent="0.35">
      <c r="A849" s="4"/>
      <c r="B849" s="4"/>
      <c r="F849" s="4"/>
      <c r="M849" s="4"/>
      <c r="N849" s="4"/>
      <c r="Q849" s="4"/>
      <c r="R849" s="4"/>
      <c r="U849" s="4"/>
    </row>
    <row r="850" spans="1:21" ht="15.75" customHeight="1" x14ac:dyDescent="0.35">
      <c r="A850" s="4"/>
      <c r="B850" s="4"/>
      <c r="F850" s="4"/>
      <c r="M850" s="4"/>
      <c r="N850" s="4"/>
      <c r="Q850" s="4"/>
      <c r="R850" s="4"/>
      <c r="U850" s="4"/>
    </row>
    <row r="851" spans="1:21" ht="15.75" customHeight="1" x14ac:dyDescent="0.35">
      <c r="A851" s="4"/>
      <c r="B851" s="4"/>
      <c r="F851" s="4"/>
      <c r="M851" s="4"/>
      <c r="N851" s="4"/>
      <c r="Q851" s="4"/>
      <c r="R851" s="4"/>
      <c r="U851" s="4"/>
    </row>
    <row r="852" spans="1:21" ht="15.75" customHeight="1" x14ac:dyDescent="0.35">
      <c r="A852" s="4"/>
      <c r="B852" s="4"/>
      <c r="F852" s="4"/>
      <c r="M852" s="4"/>
      <c r="N852" s="4"/>
      <c r="Q852" s="4"/>
      <c r="R852" s="4"/>
      <c r="U852" s="4"/>
    </row>
    <row r="853" spans="1:21" ht="15.75" customHeight="1" x14ac:dyDescent="0.35">
      <c r="A853" s="4"/>
      <c r="B853" s="4"/>
      <c r="F853" s="4"/>
      <c r="M853" s="4"/>
      <c r="N853" s="4"/>
      <c r="Q853" s="4"/>
      <c r="R853" s="4"/>
      <c r="U853" s="4"/>
    </row>
    <row r="854" spans="1:21" ht="15.75" customHeight="1" x14ac:dyDescent="0.35">
      <c r="A854" s="4"/>
      <c r="B854" s="4"/>
      <c r="F854" s="4"/>
      <c r="M854" s="4"/>
      <c r="N854" s="4"/>
      <c r="Q854" s="4"/>
      <c r="R854" s="4"/>
      <c r="U854" s="4"/>
    </row>
    <row r="855" spans="1:21" ht="15.75" customHeight="1" x14ac:dyDescent="0.35">
      <c r="A855" s="4"/>
      <c r="B855" s="4"/>
      <c r="F855" s="4"/>
      <c r="M855" s="4"/>
      <c r="N855" s="4"/>
      <c r="Q855" s="4"/>
      <c r="R855" s="4"/>
      <c r="U855" s="4"/>
    </row>
    <row r="856" spans="1:21" ht="15.75" customHeight="1" x14ac:dyDescent="0.35">
      <c r="A856" s="4"/>
      <c r="B856" s="4"/>
      <c r="F856" s="4"/>
      <c r="M856" s="4"/>
      <c r="N856" s="4"/>
      <c r="Q856" s="4"/>
      <c r="R856" s="4"/>
      <c r="U856" s="4"/>
    </row>
    <row r="857" spans="1:21" ht="15.75" customHeight="1" x14ac:dyDescent="0.35">
      <c r="A857" s="4"/>
      <c r="B857" s="4"/>
      <c r="F857" s="4"/>
      <c r="M857" s="4"/>
      <c r="N857" s="4"/>
      <c r="Q857" s="4"/>
      <c r="R857" s="4"/>
      <c r="U857" s="4"/>
    </row>
    <row r="858" spans="1:21" ht="15.75" customHeight="1" x14ac:dyDescent="0.35">
      <c r="A858" s="4"/>
      <c r="B858" s="4"/>
      <c r="F858" s="4"/>
      <c r="M858" s="4"/>
      <c r="N858" s="4"/>
      <c r="Q858" s="4"/>
      <c r="R858" s="4"/>
      <c r="U858" s="4"/>
    </row>
    <row r="859" spans="1:21" ht="15.75" customHeight="1" x14ac:dyDescent="0.35">
      <c r="A859" s="4"/>
      <c r="B859" s="4"/>
      <c r="F859" s="4"/>
      <c r="M859" s="4"/>
      <c r="N859" s="4"/>
      <c r="Q859" s="4"/>
      <c r="R859" s="4"/>
      <c r="U859" s="4"/>
    </row>
    <row r="860" spans="1:21" ht="15.75" customHeight="1" x14ac:dyDescent="0.35">
      <c r="A860" s="4"/>
      <c r="B860" s="4"/>
      <c r="F860" s="4"/>
      <c r="M860" s="4"/>
      <c r="N860" s="4"/>
      <c r="Q860" s="4"/>
      <c r="R860" s="4"/>
      <c r="U860" s="4"/>
    </row>
    <row r="861" spans="1:21" ht="15.75" customHeight="1" x14ac:dyDescent="0.35">
      <c r="A861" s="4"/>
      <c r="B861" s="4"/>
      <c r="F861" s="4"/>
      <c r="M861" s="4"/>
      <c r="N861" s="4"/>
      <c r="Q861" s="4"/>
      <c r="R861" s="4"/>
      <c r="U861" s="4"/>
    </row>
    <row r="862" spans="1:21" ht="15.75" customHeight="1" x14ac:dyDescent="0.35">
      <c r="A862" s="4"/>
      <c r="B862" s="4"/>
      <c r="F862" s="4"/>
      <c r="M862" s="4"/>
      <c r="N862" s="4"/>
      <c r="Q862" s="4"/>
      <c r="R862" s="4"/>
      <c r="U862" s="4"/>
    </row>
    <row r="863" spans="1:21" ht="15.75" customHeight="1" x14ac:dyDescent="0.35">
      <c r="A863" s="4"/>
      <c r="B863" s="4"/>
      <c r="F863" s="4"/>
      <c r="M863" s="4"/>
      <c r="N863" s="4"/>
      <c r="Q863" s="4"/>
      <c r="R863" s="4"/>
      <c r="U863" s="4"/>
    </row>
    <row r="864" spans="1:21" ht="15.75" customHeight="1" x14ac:dyDescent="0.35">
      <c r="A864" s="4"/>
      <c r="B864" s="4"/>
      <c r="F864" s="4"/>
      <c r="M864" s="4"/>
      <c r="N864" s="4"/>
      <c r="Q864" s="4"/>
      <c r="R864" s="4"/>
      <c r="U864" s="4"/>
    </row>
    <row r="865" spans="1:21" ht="15.75" customHeight="1" x14ac:dyDescent="0.35">
      <c r="A865" s="4"/>
      <c r="B865" s="4"/>
      <c r="F865" s="4"/>
      <c r="M865" s="4"/>
      <c r="N865" s="4"/>
      <c r="Q865" s="4"/>
      <c r="R865" s="4"/>
      <c r="U865" s="4"/>
    </row>
    <row r="866" spans="1:21" ht="15.75" customHeight="1" x14ac:dyDescent="0.35">
      <c r="A866" s="4"/>
      <c r="B866" s="4"/>
      <c r="F866" s="4"/>
      <c r="M866" s="4"/>
      <c r="N866" s="4"/>
      <c r="Q866" s="4"/>
      <c r="R866" s="4"/>
      <c r="U866" s="4"/>
    </row>
    <row r="867" spans="1:21" ht="15.75" customHeight="1" x14ac:dyDescent="0.35">
      <c r="A867" s="4"/>
      <c r="B867" s="4"/>
      <c r="F867" s="4"/>
      <c r="M867" s="4"/>
      <c r="N867" s="4"/>
      <c r="Q867" s="4"/>
      <c r="R867" s="4"/>
      <c r="U867" s="4"/>
    </row>
    <row r="868" spans="1:21" ht="15.75" customHeight="1" x14ac:dyDescent="0.35">
      <c r="A868" s="4"/>
      <c r="B868" s="4"/>
      <c r="F868" s="4"/>
      <c r="M868" s="4"/>
      <c r="N868" s="4"/>
      <c r="Q868" s="4"/>
      <c r="R868" s="4"/>
      <c r="U868" s="4"/>
    </row>
    <row r="869" spans="1:21" ht="15.75" customHeight="1" x14ac:dyDescent="0.35">
      <c r="A869" s="4"/>
      <c r="B869" s="4"/>
      <c r="F869" s="4"/>
      <c r="M869" s="4"/>
      <c r="N869" s="4"/>
      <c r="Q869" s="4"/>
      <c r="R869" s="4"/>
      <c r="U869" s="4"/>
    </row>
    <row r="870" spans="1:21" ht="15.75" customHeight="1" x14ac:dyDescent="0.35">
      <c r="A870" s="4"/>
      <c r="B870" s="4"/>
      <c r="F870" s="4"/>
      <c r="M870" s="4"/>
      <c r="N870" s="4"/>
      <c r="Q870" s="4"/>
      <c r="R870" s="4"/>
      <c r="U870" s="4"/>
    </row>
    <row r="871" spans="1:21" ht="15.75" customHeight="1" x14ac:dyDescent="0.35">
      <c r="A871" s="4"/>
      <c r="B871" s="4"/>
      <c r="F871" s="4"/>
      <c r="M871" s="4"/>
      <c r="N871" s="4"/>
      <c r="Q871" s="4"/>
      <c r="R871" s="4"/>
      <c r="U871" s="4"/>
    </row>
    <row r="872" spans="1:21" ht="15.75" customHeight="1" x14ac:dyDescent="0.35">
      <c r="A872" s="4"/>
      <c r="B872" s="4"/>
      <c r="F872" s="4"/>
      <c r="M872" s="4"/>
      <c r="N872" s="4"/>
      <c r="Q872" s="4"/>
      <c r="R872" s="4"/>
      <c r="U872" s="4"/>
    </row>
    <row r="873" spans="1:21" ht="15.75" customHeight="1" x14ac:dyDescent="0.35">
      <c r="A873" s="4"/>
      <c r="B873" s="4"/>
      <c r="F873" s="4"/>
      <c r="M873" s="4"/>
      <c r="N873" s="4"/>
      <c r="Q873" s="4"/>
      <c r="R873" s="4"/>
      <c r="U873" s="4"/>
    </row>
    <row r="874" spans="1:21" ht="15.75" customHeight="1" x14ac:dyDescent="0.35">
      <c r="A874" s="4"/>
      <c r="B874" s="4"/>
      <c r="F874" s="4"/>
      <c r="M874" s="4"/>
      <c r="N874" s="4"/>
      <c r="Q874" s="4"/>
      <c r="R874" s="4"/>
      <c r="U874" s="4"/>
    </row>
    <row r="875" spans="1:21" ht="15.75" customHeight="1" x14ac:dyDescent="0.35">
      <c r="A875" s="4"/>
      <c r="B875" s="4"/>
      <c r="F875" s="4"/>
      <c r="M875" s="4"/>
      <c r="N875" s="4"/>
      <c r="Q875" s="4"/>
      <c r="R875" s="4"/>
      <c r="U875" s="4"/>
    </row>
    <row r="876" spans="1:21" ht="15.75" customHeight="1" x14ac:dyDescent="0.35">
      <c r="A876" s="4"/>
      <c r="B876" s="4"/>
      <c r="F876" s="4"/>
      <c r="M876" s="4"/>
      <c r="N876" s="4"/>
      <c r="Q876" s="4"/>
      <c r="R876" s="4"/>
      <c r="U876" s="4"/>
    </row>
    <row r="877" spans="1:21" ht="15.75" customHeight="1" x14ac:dyDescent="0.35">
      <c r="A877" s="4"/>
      <c r="B877" s="4"/>
      <c r="F877" s="4"/>
      <c r="M877" s="4"/>
      <c r="N877" s="4"/>
      <c r="Q877" s="4"/>
      <c r="R877" s="4"/>
      <c r="U877" s="4"/>
    </row>
    <row r="878" spans="1:21" ht="15.75" customHeight="1" x14ac:dyDescent="0.35">
      <c r="A878" s="4"/>
      <c r="B878" s="4"/>
      <c r="F878" s="4"/>
      <c r="M878" s="4"/>
      <c r="N878" s="4"/>
      <c r="Q878" s="4"/>
      <c r="R878" s="4"/>
      <c r="U878" s="4"/>
    </row>
    <row r="879" spans="1:21" ht="15.75" customHeight="1" x14ac:dyDescent="0.35">
      <c r="A879" s="4"/>
      <c r="B879" s="4"/>
      <c r="F879" s="4"/>
      <c r="M879" s="4"/>
      <c r="N879" s="4"/>
      <c r="Q879" s="4"/>
      <c r="R879" s="4"/>
      <c r="U879" s="4"/>
    </row>
    <row r="880" spans="1:21" ht="15.75" customHeight="1" x14ac:dyDescent="0.35">
      <c r="A880" s="4"/>
      <c r="B880" s="4"/>
      <c r="F880" s="4"/>
      <c r="M880" s="4"/>
      <c r="N880" s="4"/>
      <c r="Q880" s="4"/>
      <c r="R880" s="4"/>
      <c r="U880" s="4"/>
    </row>
    <row r="881" spans="1:21" ht="15.75" customHeight="1" x14ac:dyDescent="0.35">
      <c r="A881" s="4"/>
      <c r="B881" s="4"/>
      <c r="F881" s="4"/>
      <c r="M881" s="4"/>
      <c r="N881" s="4"/>
      <c r="Q881" s="4"/>
      <c r="R881" s="4"/>
      <c r="U881" s="4"/>
    </row>
    <row r="882" spans="1:21" ht="15.75" customHeight="1" x14ac:dyDescent="0.35">
      <c r="A882" s="4"/>
      <c r="B882" s="4"/>
      <c r="F882" s="4"/>
      <c r="M882" s="4"/>
      <c r="N882" s="4"/>
      <c r="Q882" s="4"/>
      <c r="R882" s="4"/>
      <c r="U882" s="4"/>
    </row>
    <row r="883" spans="1:21" ht="15.75" customHeight="1" x14ac:dyDescent="0.35">
      <c r="A883" s="4"/>
      <c r="B883" s="4"/>
      <c r="F883" s="4"/>
      <c r="M883" s="4"/>
      <c r="N883" s="4"/>
      <c r="Q883" s="4"/>
      <c r="R883" s="4"/>
      <c r="U883" s="4"/>
    </row>
    <row r="884" spans="1:21" ht="15.75" customHeight="1" x14ac:dyDescent="0.35">
      <c r="A884" s="4"/>
      <c r="B884" s="4"/>
      <c r="F884" s="4"/>
      <c r="M884" s="4"/>
      <c r="N884" s="4"/>
      <c r="Q884" s="4"/>
      <c r="R884" s="4"/>
      <c r="U884" s="4"/>
    </row>
    <row r="885" spans="1:21" ht="15.75" customHeight="1" x14ac:dyDescent="0.35">
      <c r="A885" s="4"/>
      <c r="B885" s="4"/>
      <c r="F885" s="4"/>
      <c r="M885" s="4"/>
      <c r="N885" s="4"/>
      <c r="Q885" s="4"/>
      <c r="R885" s="4"/>
      <c r="U885" s="4"/>
    </row>
    <row r="886" spans="1:21" ht="15.75" customHeight="1" x14ac:dyDescent="0.35">
      <c r="A886" s="4"/>
      <c r="B886" s="4"/>
      <c r="F886" s="4"/>
      <c r="M886" s="4"/>
      <c r="N886" s="4"/>
      <c r="Q886" s="4"/>
      <c r="R886" s="4"/>
      <c r="U886" s="4"/>
    </row>
    <row r="887" spans="1:21" ht="15.75" customHeight="1" x14ac:dyDescent="0.35">
      <c r="A887" s="4"/>
      <c r="B887" s="4"/>
      <c r="F887" s="4"/>
      <c r="M887" s="4"/>
      <c r="N887" s="4"/>
      <c r="Q887" s="4"/>
      <c r="R887" s="4"/>
      <c r="U887" s="4"/>
    </row>
    <row r="888" spans="1:21" ht="15.75" customHeight="1" x14ac:dyDescent="0.35">
      <c r="A888" s="4"/>
      <c r="B888" s="4"/>
      <c r="F888" s="4"/>
      <c r="M888" s="4"/>
      <c r="N888" s="4"/>
      <c r="Q888" s="4"/>
      <c r="R888" s="4"/>
      <c r="U888" s="4"/>
    </row>
    <row r="889" spans="1:21" ht="15.75" customHeight="1" x14ac:dyDescent="0.35">
      <c r="A889" s="4"/>
      <c r="B889" s="4"/>
      <c r="F889" s="4"/>
      <c r="M889" s="4"/>
      <c r="N889" s="4"/>
      <c r="Q889" s="4"/>
      <c r="R889" s="4"/>
      <c r="U889" s="4"/>
    </row>
    <row r="890" spans="1:21" ht="15.75" customHeight="1" x14ac:dyDescent="0.35">
      <c r="A890" s="4"/>
      <c r="B890" s="4"/>
      <c r="F890" s="4"/>
      <c r="M890" s="4"/>
      <c r="N890" s="4"/>
      <c r="Q890" s="4"/>
      <c r="R890" s="4"/>
      <c r="U890" s="4"/>
    </row>
    <row r="891" spans="1:21" ht="15.75" customHeight="1" x14ac:dyDescent="0.35">
      <c r="A891" s="4"/>
      <c r="B891" s="4"/>
      <c r="F891" s="4"/>
      <c r="M891" s="4"/>
      <c r="N891" s="4"/>
      <c r="Q891" s="4"/>
      <c r="R891" s="4"/>
      <c r="U891" s="4"/>
    </row>
    <row r="892" spans="1:21" ht="15.75" customHeight="1" x14ac:dyDescent="0.35">
      <c r="A892" s="4"/>
      <c r="B892" s="4"/>
      <c r="F892" s="4"/>
      <c r="M892" s="4"/>
      <c r="N892" s="4"/>
      <c r="Q892" s="4"/>
      <c r="R892" s="4"/>
      <c r="U892" s="4"/>
    </row>
    <row r="893" spans="1:21" ht="15.75" customHeight="1" x14ac:dyDescent="0.35">
      <c r="A893" s="4"/>
      <c r="B893" s="4"/>
      <c r="F893" s="4"/>
      <c r="M893" s="4"/>
      <c r="N893" s="4"/>
      <c r="Q893" s="4"/>
      <c r="R893" s="4"/>
      <c r="U893" s="4"/>
    </row>
    <row r="894" spans="1:21" ht="15.75" customHeight="1" x14ac:dyDescent="0.35">
      <c r="A894" s="4"/>
      <c r="B894" s="4"/>
      <c r="F894" s="4"/>
      <c r="M894" s="4"/>
      <c r="N894" s="4"/>
      <c r="Q894" s="4"/>
      <c r="R894" s="4"/>
      <c r="U894" s="4"/>
    </row>
    <row r="895" spans="1:21" ht="15.75" customHeight="1" x14ac:dyDescent="0.35">
      <c r="A895" s="4"/>
      <c r="B895" s="4"/>
      <c r="F895" s="4"/>
      <c r="M895" s="4"/>
      <c r="N895" s="4"/>
      <c r="Q895" s="4"/>
      <c r="R895" s="4"/>
      <c r="U895" s="4"/>
    </row>
    <row r="896" spans="1:21" ht="15.75" customHeight="1" x14ac:dyDescent="0.35">
      <c r="A896" s="4"/>
      <c r="B896" s="4"/>
      <c r="F896" s="4"/>
      <c r="M896" s="4"/>
      <c r="N896" s="4"/>
      <c r="Q896" s="4"/>
      <c r="R896" s="4"/>
      <c r="U896" s="4"/>
    </row>
    <row r="897" spans="1:21" ht="15.75" customHeight="1" x14ac:dyDescent="0.35">
      <c r="A897" s="4"/>
      <c r="B897" s="4"/>
      <c r="F897" s="4"/>
      <c r="M897" s="4"/>
      <c r="N897" s="4"/>
      <c r="Q897" s="4"/>
      <c r="R897" s="4"/>
      <c r="U897" s="4"/>
    </row>
    <row r="898" spans="1:21" ht="15.75" customHeight="1" x14ac:dyDescent="0.35">
      <c r="A898" s="4"/>
      <c r="B898" s="4"/>
      <c r="F898" s="4"/>
      <c r="M898" s="4"/>
      <c r="N898" s="4"/>
      <c r="Q898" s="4"/>
      <c r="R898" s="4"/>
      <c r="U898" s="4"/>
    </row>
    <row r="899" spans="1:21" ht="15.75" customHeight="1" x14ac:dyDescent="0.35">
      <c r="A899" s="4"/>
      <c r="B899" s="4"/>
      <c r="F899" s="4"/>
      <c r="M899" s="4"/>
      <c r="N899" s="4"/>
      <c r="Q899" s="4"/>
      <c r="R899" s="4"/>
      <c r="U899" s="4"/>
    </row>
    <row r="900" spans="1:21" ht="15.75" customHeight="1" x14ac:dyDescent="0.35">
      <c r="A900" s="4"/>
      <c r="B900" s="4"/>
      <c r="F900" s="4"/>
      <c r="M900" s="4"/>
      <c r="N900" s="4"/>
      <c r="Q900" s="4"/>
      <c r="R900" s="4"/>
      <c r="U900" s="4"/>
    </row>
    <row r="901" spans="1:21" ht="15.75" customHeight="1" x14ac:dyDescent="0.35">
      <c r="A901" s="4"/>
      <c r="B901" s="4"/>
      <c r="F901" s="4"/>
      <c r="M901" s="4"/>
      <c r="N901" s="4"/>
      <c r="Q901" s="4"/>
      <c r="R901" s="4"/>
      <c r="U901" s="4"/>
    </row>
    <row r="902" spans="1:21" ht="15.75" customHeight="1" x14ac:dyDescent="0.35">
      <c r="A902" s="4"/>
      <c r="B902" s="4"/>
      <c r="F902" s="4"/>
      <c r="M902" s="4"/>
      <c r="N902" s="4"/>
      <c r="Q902" s="4"/>
      <c r="R902" s="4"/>
      <c r="U902" s="4"/>
    </row>
    <row r="903" spans="1:21" ht="15.75" customHeight="1" x14ac:dyDescent="0.35">
      <c r="A903" s="4"/>
      <c r="B903" s="4"/>
      <c r="F903" s="4"/>
      <c r="M903" s="4"/>
      <c r="N903" s="4"/>
      <c r="Q903" s="4"/>
      <c r="R903" s="4"/>
      <c r="U903" s="4"/>
    </row>
    <row r="904" spans="1:21" ht="15.75" customHeight="1" x14ac:dyDescent="0.35">
      <c r="A904" s="4"/>
      <c r="B904" s="4"/>
      <c r="F904" s="4"/>
      <c r="M904" s="4"/>
      <c r="N904" s="4"/>
      <c r="Q904" s="4"/>
      <c r="R904" s="4"/>
      <c r="U904" s="4"/>
    </row>
    <row r="905" spans="1:21" ht="15.75" customHeight="1" x14ac:dyDescent="0.35">
      <c r="A905" s="4"/>
      <c r="B905" s="4"/>
      <c r="F905" s="4"/>
      <c r="M905" s="4"/>
      <c r="N905" s="4"/>
      <c r="Q905" s="4"/>
      <c r="R905" s="4"/>
      <c r="U905" s="4"/>
    </row>
    <row r="906" spans="1:21" ht="15.75" customHeight="1" x14ac:dyDescent="0.35">
      <c r="A906" s="4"/>
      <c r="B906" s="4"/>
      <c r="F906" s="4"/>
      <c r="M906" s="4"/>
      <c r="N906" s="4"/>
      <c r="Q906" s="4"/>
      <c r="R906" s="4"/>
      <c r="U906" s="4"/>
    </row>
    <row r="907" spans="1:21" ht="15.75" customHeight="1" x14ac:dyDescent="0.35">
      <c r="A907" s="4"/>
      <c r="B907" s="4"/>
      <c r="F907" s="4"/>
      <c r="M907" s="4"/>
      <c r="N907" s="4"/>
      <c r="Q907" s="4"/>
      <c r="R907" s="4"/>
      <c r="U907" s="4"/>
    </row>
    <row r="908" spans="1:21" ht="15.75" customHeight="1" x14ac:dyDescent="0.35">
      <c r="A908" s="4"/>
      <c r="B908" s="4"/>
      <c r="F908" s="4"/>
      <c r="M908" s="4"/>
      <c r="N908" s="4"/>
      <c r="Q908" s="4"/>
      <c r="R908" s="4"/>
      <c r="U908" s="4"/>
    </row>
    <row r="909" spans="1:21" ht="15.75" customHeight="1" x14ac:dyDescent="0.35">
      <c r="A909" s="4"/>
      <c r="B909" s="4"/>
      <c r="F909" s="4"/>
      <c r="M909" s="4"/>
      <c r="N909" s="4"/>
      <c r="Q909" s="4"/>
      <c r="R909" s="4"/>
      <c r="U909" s="4"/>
    </row>
    <row r="910" spans="1:21" ht="15.75" customHeight="1" x14ac:dyDescent="0.35">
      <c r="A910" s="4"/>
      <c r="B910" s="4"/>
      <c r="F910" s="4"/>
      <c r="M910" s="4"/>
      <c r="N910" s="4"/>
      <c r="Q910" s="4"/>
      <c r="R910" s="4"/>
      <c r="U910" s="4"/>
    </row>
    <row r="911" spans="1:21" ht="15.75" customHeight="1" x14ac:dyDescent="0.35">
      <c r="A911" s="4"/>
      <c r="B911" s="4"/>
      <c r="F911" s="4"/>
      <c r="M911" s="4"/>
      <c r="N911" s="4"/>
      <c r="Q911" s="4"/>
      <c r="R911" s="4"/>
      <c r="U911" s="4"/>
    </row>
    <row r="912" spans="1:21" ht="15.75" customHeight="1" x14ac:dyDescent="0.35">
      <c r="A912" s="4"/>
      <c r="B912" s="4"/>
      <c r="F912" s="4"/>
      <c r="M912" s="4"/>
      <c r="N912" s="4"/>
      <c r="Q912" s="4"/>
      <c r="R912" s="4"/>
      <c r="U912" s="4"/>
    </row>
    <row r="913" spans="1:21" ht="15.75" customHeight="1" x14ac:dyDescent="0.35">
      <c r="A913" s="4"/>
      <c r="B913" s="4"/>
      <c r="F913" s="4"/>
      <c r="M913" s="4"/>
      <c r="N913" s="4"/>
      <c r="Q913" s="4"/>
      <c r="R913" s="4"/>
      <c r="U913" s="4"/>
    </row>
    <row r="914" spans="1:21" ht="15.75" customHeight="1" x14ac:dyDescent="0.35">
      <c r="A914" s="4"/>
      <c r="B914" s="4"/>
      <c r="F914" s="4"/>
      <c r="M914" s="4"/>
      <c r="N914" s="4"/>
      <c r="Q914" s="4"/>
      <c r="R914" s="4"/>
      <c r="U914" s="4"/>
    </row>
    <row r="915" spans="1:21" ht="15.75" customHeight="1" x14ac:dyDescent="0.35">
      <c r="A915" s="4"/>
      <c r="B915" s="4"/>
      <c r="F915" s="4"/>
      <c r="M915" s="4"/>
      <c r="N915" s="4"/>
      <c r="Q915" s="4"/>
      <c r="R915" s="4"/>
      <c r="U915" s="4"/>
    </row>
    <row r="916" spans="1:21" ht="15.75" customHeight="1" x14ac:dyDescent="0.35">
      <c r="A916" s="4"/>
      <c r="B916" s="4"/>
      <c r="F916" s="4"/>
      <c r="M916" s="4"/>
      <c r="N916" s="4"/>
      <c r="Q916" s="4"/>
      <c r="R916" s="4"/>
      <c r="U916" s="4"/>
    </row>
    <row r="917" spans="1:21" ht="15.75" customHeight="1" x14ac:dyDescent="0.35">
      <c r="A917" s="4"/>
      <c r="B917" s="4"/>
      <c r="F917" s="4"/>
      <c r="M917" s="4"/>
      <c r="N917" s="4"/>
      <c r="Q917" s="4"/>
      <c r="R917" s="4"/>
      <c r="U917" s="4"/>
    </row>
    <row r="918" spans="1:21" ht="15.75" customHeight="1" x14ac:dyDescent="0.35">
      <c r="A918" s="4"/>
      <c r="B918" s="4"/>
      <c r="F918" s="4"/>
      <c r="M918" s="4"/>
      <c r="N918" s="4"/>
      <c r="Q918" s="4"/>
      <c r="R918" s="4"/>
      <c r="U918" s="4"/>
    </row>
    <row r="919" spans="1:21" ht="15.75" customHeight="1" x14ac:dyDescent="0.35">
      <c r="A919" s="4"/>
      <c r="B919" s="4"/>
      <c r="F919" s="4"/>
      <c r="M919" s="4"/>
      <c r="N919" s="4"/>
      <c r="Q919" s="4"/>
      <c r="R919" s="4"/>
      <c r="U919" s="4"/>
    </row>
    <row r="920" spans="1:21" ht="15.75" customHeight="1" x14ac:dyDescent="0.35">
      <c r="A920" s="4"/>
      <c r="B920" s="4"/>
      <c r="F920" s="4"/>
      <c r="M920" s="4"/>
      <c r="N920" s="4"/>
      <c r="Q920" s="4"/>
      <c r="R920" s="4"/>
      <c r="U920" s="4"/>
    </row>
    <row r="921" spans="1:21" ht="15.75" customHeight="1" x14ac:dyDescent="0.35">
      <c r="A921" s="4"/>
      <c r="B921" s="4"/>
      <c r="F921" s="4"/>
      <c r="M921" s="4"/>
      <c r="N921" s="4"/>
      <c r="Q921" s="4"/>
      <c r="R921" s="4"/>
      <c r="U921" s="4"/>
    </row>
    <row r="922" spans="1:21" ht="15.75" customHeight="1" x14ac:dyDescent="0.35">
      <c r="A922" s="4"/>
      <c r="B922" s="4"/>
      <c r="F922" s="4"/>
      <c r="M922" s="4"/>
      <c r="N922" s="4"/>
      <c r="Q922" s="4"/>
      <c r="R922" s="4"/>
      <c r="U922" s="4"/>
    </row>
    <row r="923" spans="1:21" ht="15.75" customHeight="1" x14ac:dyDescent="0.35">
      <c r="A923" s="4"/>
      <c r="B923" s="4"/>
      <c r="F923" s="4"/>
      <c r="M923" s="4"/>
      <c r="N923" s="4"/>
      <c r="Q923" s="4"/>
      <c r="R923" s="4"/>
      <c r="U923" s="4"/>
    </row>
    <row r="924" spans="1:21" ht="15.75" customHeight="1" x14ac:dyDescent="0.35">
      <c r="A924" s="4"/>
      <c r="B924" s="4"/>
      <c r="F924" s="4"/>
      <c r="M924" s="4"/>
      <c r="N924" s="4"/>
      <c r="Q924" s="4"/>
      <c r="R924" s="4"/>
      <c r="U924" s="4"/>
    </row>
    <row r="925" spans="1:21" ht="15.75" customHeight="1" x14ac:dyDescent="0.35">
      <c r="A925" s="4"/>
      <c r="B925" s="4"/>
      <c r="F925" s="4"/>
      <c r="M925" s="4"/>
      <c r="N925" s="4"/>
      <c r="Q925" s="4"/>
      <c r="R925" s="4"/>
      <c r="U925" s="4"/>
    </row>
    <row r="926" spans="1:21" ht="15.75" customHeight="1" x14ac:dyDescent="0.35">
      <c r="A926" s="4"/>
      <c r="B926" s="4"/>
      <c r="F926" s="4"/>
      <c r="M926" s="4"/>
      <c r="N926" s="4"/>
      <c r="Q926" s="4"/>
      <c r="R926" s="4"/>
      <c r="U926" s="4"/>
    </row>
    <row r="927" spans="1:21" ht="15.75" customHeight="1" x14ac:dyDescent="0.35">
      <c r="A927" s="4"/>
      <c r="B927" s="4"/>
      <c r="F927" s="4"/>
      <c r="M927" s="4"/>
      <c r="N927" s="4"/>
      <c r="Q927" s="4"/>
      <c r="R927" s="4"/>
      <c r="U927" s="4"/>
    </row>
    <row r="928" spans="1:21" ht="15.75" customHeight="1" x14ac:dyDescent="0.35">
      <c r="A928" s="4"/>
      <c r="B928" s="4"/>
      <c r="F928" s="4"/>
      <c r="M928" s="4"/>
      <c r="N928" s="4"/>
      <c r="Q928" s="4"/>
      <c r="R928" s="4"/>
      <c r="U928" s="4"/>
    </row>
    <row r="929" spans="1:21" ht="15.75" customHeight="1" x14ac:dyDescent="0.35">
      <c r="A929" s="4"/>
      <c r="B929" s="4"/>
      <c r="F929" s="4"/>
      <c r="M929" s="4"/>
      <c r="N929" s="4"/>
      <c r="Q929" s="4"/>
      <c r="R929" s="4"/>
      <c r="U929" s="4"/>
    </row>
    <row r="930" spans="1:21" ht="15.75" customHeight="1" x14ac:dyDescent="0.35">
      <c r="A930" s="4"/>
      <c r="B930" s="4"/>
      <c r="F930" s="4"/>
      <c r="M930" s="4"/>
      <c r="N930" s="4"/>
      <c r="Q930" s="4"/>
      <c r="R930" s="4"/>
      <c r="U930" s="4"/>
    </row>
    <row r="931" spans="1:21" ht="15.75" customHeight="1" x14ac:dyDescent="0.35">
      <c r="A931" s="4"/>
      <c r="B931" s="4"/>
      <c r="F931" s="4"/>
      <c r="M931" s="4"/>
      <c r="N931" s="4"/>
      <c r="Q931" s="4"/>
      <c r="R931" s="4"/>
      <c r="U931" s="4"/>
    </row>
    <row r="932" spans="1:21" ht="15.75" customHeight="1" x14ac:dyDescent="0.35">
      <c r="A932" s="4"/>
      <c r="B932" s="4"/>
      <c r="F932" s="4"/>
      <c r="M932" s="4"/>
      <c r="N932" s="4"/>
      <c r="Q932" s="4"/>
      <c r="R932" s="4"/>
      <c r="U932" s="4"/>
    </row>
    <row r="933" spans="1:21" ht="15.75" customHeight="1" x14ac:dyDescent="0.35">
      <c r="A933" s="4"/>
      <c r="B933" s="4"/>
      <c r="F933" s="4"/>
      <c r="M933" s="4"/>
      <c r="N933" s="4"/>
      <c r="Q933" s="4"/>
      <c r="R933" s="4"/>
      <c r="U933" s="4"/>
    </row>
    <row r="934" spans="1:21" ht="15.75" customHeight="1" x14ac:dyDescent="0.35">
      <c r="A934" s="4"/>
      <c r="B934" s="4"/>
      <c r="F934" s="4"/>
      <c r="M934" s="4"/>
      <c r="N934" s="4"/>
      <c r="Q934" s="4"/>
      <c r="R934" s="4"/>
      <c r="U934" s="4"/>
    </row>
    <row r="935" spans="1:21" ht="15.75" customHeight="1" x14ac:dyDescent="0.35">
      <c r="A935" s="4"/>
      <c r="B935" s="4"/>
      <c r="F935" s="4"/>
      <c r="M935" s="4"/>
      <c r="N935" s="4"/>
      <c r="Q935" s="4"/>
      <c r="R935" s="4"/>
      <c r="U935" s="4"/>
    </row>
    <row r="936" spans="1:21" ht="15.75" customHeight="1" x14ac:dyDescent="0.35">
      <c r="A936" s="4"/>
      <c r="B936" s="4"/>
      <c r="F936" s="4"/>
      <c r="M936" s="4"/>
      <c r="N936" s="4"/>
      <c r="Q936" s="4"/>
      <c r="R936" s="4"/>
      <c r="U936" s="4"/>
    </row>
    <row r="937" spans="1:21" ht="15.75" customHeight="1" x14ac:dyDescent="0.35">
      <c r="A937" s="4"/>
      <c r="B937" s="4"/>
      <c r="F937" s="4"/>
      <c r="M937" s="4"/>
      <c r="N937" s="4"/>
      <c r="Q937" s="4"/>
      <c r="R937" s="4"/>
      <c r="U937" s="4"/>
    </row>
    <row r="938" spans="1:21" ht="15.75" customHeight="1" x14ac:dyDescent="0.35">
      <c r="A938" s="4"/>
      <c r="B938" s="4"/>
      <c r="F938" s="4"/>
      <c r="M938" s="4"/>
      <c r="N938" s="4"/>
      <c r="Q938" s="4"/>
      <c r="R938" s="4"/>
      <c r="U938" s="4"/>
    </row>
    <row r="939" spans="1:21" ht="15.75" customHeight="1" x14ac:dyDescent="0.35">
      <c r="A939" s="4"/>
      <c r="B939" s="4"/>
      <c r="F939" s="4"/>
      <c r="M939" s="4"/>
      <c r="N939" s="4"/>
      <c r="Q939" s="4"/>
      <c r="R939" s="4"/>
      <c r="U939" s="4"/>
    </row>
    <row r="940" spans="1:21" ht="15.75" customHeight="1" x14ac:dyDescent="0.35">
      <c r="A940" s="4"/>
      <c r="B940" s="4"/>
      <c r="F940" s="4"/>
      <c r="M940" s="4"/>
      <c r="N940" s="4"/>
      <c r="Q940" s="4"/>
      <c r="R940" s="4"/>
      <c r="U940" s="4"/>
    </row>
    <row r="941" spans="1:21" ht="15.75" customHeight="1" x14ac:dyDescent="0.35">
      <c r="A941" s="4"/>
      <c r="B941" s="4"/>
      <c r="F941" s="4"/>
      <c r="M941" s="4"/>
      <c r="N941" s="4"/>
      <c r="Q941" s="4"/>
      <c r="R941" s="4"/>
      <c r="U941" s="4"/>
    </row>
    <row r="942" spans="1:21" ht="15.75" customHeight="1" x14ac:dyDescent="0.35">
      <c r="A942" s="4"/>
      <c r="B942" s="4"/>
      <c r="F942" s="4"/>
      <c r="M942" s="4"/>
      <c r="N942" s="4"/>
      <c r="Q942" s="4"/>
      <c r="R942" s="4"/>
      <c r="U942" s="4"/>
    </row>
    <row r="943" spans="1:21" ht="15.75" customHeight="1" x14ac:dyDescent="0.35">
      <c r="A943" s="4"/>
      <c r="B943" s="4"/>
      <c r="F943" s="4"/>
      <c r="M943" s="4"/>
      <c r="N943" s="4"/>
      <c r="Q943" s="4"/>
      <c r="R943" s="4"/>
      <c r="U943" s="4"/>
    </row>
    <row r="944" spans="1:21" ht="15.75" customHeight="1" x14ac:dyDescent="0.35">
      <c r="A944" s="4"/>
      <c r="B944" s="4"/>
      <c r="F944" s="4"/>
      <c r="M944" s="4"/>
      <c r="N944" s="4"/>
      <c r="Q944" s="4"/>
      <c r="R944" s="4"/>
      <c r="U944" s="4"/>
    </row>
    <row r="945" spans="1:21" ht="15.75" customHeight="1" x14ac:dyDescent="0.35">
      <c r="A945" s="4"/>
      <c r="B945" s="4"/>
      <c r="F945" s="4"/>
      <c r="M945" s="4"/>
      <c r="N945" s="4"/>
      <c r="Q945" s="4"/>
      <c r="R945" s="4"/>
      <c r="U945" s="4"/>
    </row>
    <row r="946" spans="1:21" ht="15.75" customHeight="1" x14ac:dyDescent="0.35">
      <c r="A946" s="4"/>
      <c r="B946" s="4"/>
      <c r="F946" s="4"/>
      <c r="M946" s="4"/>
      <c r="N946" s="4"/>
      <c r="Q946" s="4"/>
      <c r="R946" s="4"/>
      <c r="U946" s="4"/>
    </row>
    <row r="947" spans="1:21" ht="15.75" customHeight="1" x14ac:dyDescent="0.35">
      <c r="A947" s="4"/>
      <c r="B947" s="4"/>
      <c r="F947" s="4"/>
      <c r="M947" s="4"/>
      <c r="N947" s="4"/>
      <c r="Q947" s="4"/>
      <c r="R947" s="4"/>
      <c r="U947" s="4"/>
    </row>
    <row r="948" spans="1:21" ht="15.75" customHeight="1" x14ac:dyDescent="0.35">
      <c r="A948" s="4"/>
      <c r="B948" s="4"/>
      <c r="F948" s="4"/>
      <c r="M948" s="4"/>
      <c r="N948" s="4"/>
      <c r="Q948" s="4"/>
      <c r="R948" s="4"/>
      <c r="U948" s="4"/>
    </row>
    <row r="949" spans="1:21" ht="15.75" customHeight="1" x14ac:dyDescent="0.35">
      <c r="A949" s="4"/>
      <c r="B949" s="4"/>
      <c r="F949" s="4"/>
      <c r="M949" s="4"/>
      <c r="N949" s="4"/>
      <c r="Q949" s="4"/>
      <c r="R949" s="4"/>
      <c r="U949" s="4"/>
    </row>
    <row r="950" spans="1:21" ht="15.75" customHeight="1" x14ac:dyDescent="0.35">
      <c r="A950" s="4"/>
      <c r="B950" s="4"/>
      <c r="F950" s="4"/>
      <c r="M950" s="4"/>
      <c r="N950" s="4"/>
      <c r="Q950" s="4"/>
      <c r="R950" s="4"/>
      <c r="U950" s="4"/>
    </row>
    <row r="951" spans="1:21" ht="15.75" customHeight="1" x14ac:dyDescent="0.35">
      <c r="A951" s="4"/>
      <c r="B951" s="4"/>
      <c r="F951" s="4"/>
      <c r="M951" s="4"/>
      <c r="N951" s="4"/>
      <c r="Q951" s="4"/>
      <c r="R951" s="4"/>
      <c r="U951" s="4"/>
    </row>
    <row r="952" spans="1:21" ht="15.75" customHeight="1" x14ac:dyDescent="0.35">
      <c r="A952" s="4"/>
      <c r="B952" s="4"/>
      <c r="F952" s="4"/>
      <c r="M952" s="4"/>
      <c r="N952" s="4"/>
      <c r="Q952" s="4"/>
      <c r="R952" s="4"/>
      <c r="U952" s="4"/>
    </row>
    <row r="953" spans="1:21" ht="15.75" customHeight="1" x14ac:dyDescent="0.35">
      <c r="A953" s="4"/>
      <c r="B953" s="4"/>
      <c r="F953" s="4"/>
      <c r="M953" s="4"/>
      <c r="N953" s="4"/>
      <c r="Q953" s="4"/>
      <c r="R953" s="4"/>
      <c r="U953" s="4"/>
    </row>
    <row r="954" spans="1:21" ht="15.75" customHeight="1" x14ac:dyDescent="0.35">
      <c r="A954" s="4"/>
      <c r="B954" s="4"/>
      <c r="F954" s="4"/>
      <c r="M954" s="4"/>
      <c r="N954" s="4"/>
      <c r="Q954" s="4"/>
      <c r="R954" s="4"/>
      <c r="U954" s="4"/>
    </row>
    <row r="955" spans="1:21" ht="15.75" customHeight="1" x14ac:dyDescent="0.35">
      <c r="A955" s="4"/>
      <c r="B955" s="4"/>
      <c r="F955" s="4"/>
      <c r="M955" s="4"/>
      <c r="N955" s="4"/>
      <c r="Q955" s="4"/>
      <c r="R955" s="4"/>
      <c r="U955" s="4"/>
    </row>
    <row r="956" spans="1:21" ht="15.75" customHeight="1" x14ac:dyDescent="0.35">
      <c r="A956" s="4"/>
      <c r="B956" s="4"/>
      <c r="F956" s="4"/>
      <c r="M956" s="4"/>
      <c r="N956" s="4"/>
      <c r="Q956" s="4"/>
      <c r="R956" s="4"/>
      <c r="U956" s="4"/>
    </row>
    <row r="957" spans="1:21" ht="15.75" customHeight="1" x14ac:dyDescent="0.35">
      <c r="A957" s="4"/>
      <c r="B957" s="4"/>
      <c r="F957" s="4"/>
      <c r="M957" s="4"/>
      <c r="N957" s="4"/>
      <c r="Q957" s="4"/>
      <c r="R957" s="4"/>
      <c r="U957" s="4"/>
    </row>
    <row r="958" spans="1:21" ht="15.75" customHeight="1" x14ac:dyDescent="0.35">
      <c r="A958" s="4"/>
      <c r="B958" s="4"/>
      <c r="F958" s="4"/>
      <c r="M958" s="4"/>
      <c r="N958" s="4"/>
      <c r="Q958" s="4"/>
      <c r="R958" s="4"/>
      <c r="U958" s="4"/>
    </row>
    <row r="959" spans="1:21" ht="15.75" customHeight="1" x14ac:dyDescent="0.35">
      <c r="A959" s="4"/>
      <c r="B959" s="4"/>
      <c r="F959" s="4"/>
      <c r="M959" s="4"/>
      <c r="N959" s="4"/>
      <c r="Q959" s="4"/>
      <c r="R959" s="4"/>
      <c r="U959" s="4"/>
    </row>
    <row r="960" spans="1:21" ht="15.75" customHeight="1" x14ac:dyDescent="0.35">
      <c r="A960" s="4"/>
      <c r="B960" s="4"/>
      <c r="F960" s="4"/>
      <c r="M960" s="4"/>
      <c r="N960" s="4"/>
      <c r="Q960" s="4"/>
      <c r="R960" s="4"/>
      <c r="U960" s="4"/>
    </row>
    <row r="961" spans="1:21" ht="15.75" customHeight="1" x14ac:dyDescent="0.35">
      <c r="A961" s="4"/>
      <c r="B961" s="4"/>
      <c r="F961" s="4"/>
      <c r="M961" s="4"/>
      <c r="N961" s="4"/>
      <c r="Q961" s="4"/>
      <c r="R961" s="4"/>
      <c r="U961" s="4"/>
    </row>
    <row r="962" spans="1:21" ht="15.75" customHeight="1" x14ac:dyDescent="0.35">
      <c r="A962" s="4"/>
      <c r="B962" s="4"/>
      <c r="F962" s="4"/>
      <c r="M962" s="4"/>
      <c r="N962" s="4"/>
      <c r="Q962" s="4"/>
      <c r="R962" s="4"/>
      <c r="U962" s="4"/>
    </row>
    <row r="963" spans="1:21" ht="15.75" customHeight="1" x14ac:dyDescent="0.35">
      <c r="A963" s="4"/>
      <c r="B963" s="4"/>
      <c r="F963" s="4"/>
      <c r="M963" s="4"/>
      <c r="N963" s="4"/>
      <c r="Q963" s="4"/>
      <c r="R963" s="4"/>
      <c r="U963" s="4"/>
    </row>
    <row r="964" spans="1:21" ht="15.75" customHeight="1" x14ac:dyDescent="0.35">
      <c r="A964" s="4"/>
      <c r="B964" s="4"/>
      <c r="F964" s="4"/>
      <c r="M964" s="4"/>
      <c r="N964" s="4"/>
      <c r="Q964" s="4"/>
      <c r="R964" s="4"/>
      <c r="U964" s="4"/>
    </row>
    <row r="965" spans="1:21" ht="15.75" customHeight="1" x14ac:dyDescent="0.35">
      <c r="A965" s="4"/>
      <c r="B965" s="4"/>
      <c r="F965" s="4"/>
      <c r="M965" s="4"/>
      <c r="N965" s="4"/>
      <c r="Q965" s="4"/>
      <c r="R965" s="4"/>
      <c r="U965" s="4"/>
    </row>
    <row r="966" spans="1:21" ht="15.75" customHeight="1" x14ac:dyDescent="0.35">
      <c r="A966" s="4"/>
      <c r="B966" s="4"/>
      <c r="F966" s="4"/>
      <c r="M966" s="4"/>
      <c r="N966" s="4"/>
      <c r="Q966" s="4"/>
      <c r="R966" s="4"/>
      <c r="U966" s="4"/>
    </row>
    <row r="967" spans="1:21" ht="15.75" customHeight="1" x14ac:dyDescent="0.35">
      <c r="A967" s="4"/>
      <c r="B967" s="4"/>
      <c r="F967" s="4"/>
      <c r="M967" s="4"/>
      <c r="N967" s="4"/>
      <c r="Q967" s="4"/>
      <c r="R967" s="4"/>
      <c r="U967" s="4"/>
    </row>
    <row r="968" spans="1:21" ht="15.75" customHeight="1" x14ac:dyDescent="0.35">
      <c r="A968" s="4"/>
      <c r="B968" s="4"/>
      <c r="F968" s="4"/>
      <c r="M968" s="4"/>
      <c r="N968" s="4"/>
      <c r="Q968" s="4"/>
      <c r="R968" s="4"/>
      <c r="U968" s="4"/>
    </row>
    <row r="969" spans="1:21" ht="15.75" customHeight="1" x14ac:dyDescent="0.35">
      <c r="A969" s="4"/>
      <c r="B969" s="4"/>
      <c r="F969" s="4"/>
      <c r="M969" s="4"/>
      <c r="N969" s="4"/>
      <c r="Q969" s="4"/>
      <c r="R969" s="4"/>
      <c r="U969" s="4"/>
    </row>
    <row r="970" spans="1:21" ht="15.75" customHeight="1" x14ac:dyDescent="0.35">
      <c r="A970" s="4"/>
      <c r="B970" s="4"/>
      <c r="F970" s="4"/>
      <c r="M970" s="4"/>
      <c r="N970" s="4"/>
      <c r="Q970" s="4"/>
      <c r="R970" s="4"/>
      <c r="U970" s="4"/>
    </row>
    <row r="971" spans="1:21" ht="15.75" customHeight="1" x14ac:dyDescent="0.35">
      <c r="A971" s="4"/>
      <c r="B971" s="4"/>
      <c r="F971" s="4"/>
      <c r="M971" s="4"/>
      <c r="N971" s="4"/>
      <c r="Q971" s="4"/>
      <c r="R971" s="4"/>
      <c r="U971" s="4"/>
    </row>
    <row r="972" spans="1:21" ht="15.75" customHeight="1" x14ac:dyDescent="0.35">
      <c r="A972" s="4"/>
      <c r="B972" s="4"/>
      <c r="F972" s="4"/>
      <c r="M972" s="4"/>
      <c r="N972" s="4"/>
      <c r="Q972" s="4"/>
      <c r="R972" s="4"/>
      <c r="U972" s="4"/>
    </row>
    <row r="973" spans="1:21" ht="15.75" customHeight="1" x14ac:dyDescent="0.35">
      <c r="A973" s="4"/>
      <c r="B973" s="4"/>
      <c r="F973" s="4"/>
      <c r="M973" s="4"/>
      <c r="N973" s="4"/>
      <c r="Q973" s="4"/>
      <c r="R973" s="4"/>
      <c r="U973" s="4"/>
    </row>
    <row r="974" spans="1:21" ht="15.75" customHeight="1" x14ac:dyDescent="0.35">
      <c r="A974" s="4"/>
      <c r="B974" s="4"/>
      <c r="F974" s="4"/>
      <c r="M974" s="4"/>
      <c r="N974" s="4"/>
      <c r="Q974" s="4"/>
      <c r="R974" s="4"/>
      <c r="U974" s="4"/>
    </row>
    <row r="975" spans="1:21" ht="15.75" customHeight="1" x14ac:dyDescent="0.35">
      <c r="A975" s="4"/>
      <c r="B975" s="4"/>
      <c r="F975" s="4"/>
      <c r="M975" s="4"/>
      <c r="N975" s="4"/>
      <c r="Q975" s="4"/>
      <c r="R975" s="4"/>
      <c r="U975" s="4"/>
    </row>
    <row r="976" spans="1:21" ht="15.75" customHeight="1" x14ac:dyDescent="0.35">
      <c r="A976" s="4"/>
      <c r="B976" s="4"/>
      <c r="F976" s="4"/>
      <c r="M976" s="4"/>
      <c r="N976" s="4"/>
      <c r="Q976" s="4"/>
      <c r="R976" s="4"/>
      <c r="U976" s="4"/>
    </row>
    <row r="977" spans="1:21" ht="15.75" customHeight="1" x14ac:dyDescent="0.35">
      <c r="A977" s="4"/>
      <c r="B977" s="4"/>
      <c r="F977" s="4"/>
      <c r="M977" s="4"/>
      <c r="N977" s="4"/>
      <c r="Q977" s="4"/>
      <c r="R977" s="4"/>
      <c r="U977" s="4"/>
    </row>
    <row r="978" spans="1:21" ht="15.75" customHeight="1" x14ac:dyDescent="0.35">
      <c r="A978" s="4"/>
      <c r="B978" s="4"/>
      <c r="F978" s="4"/>
      <c r="M978" s="4"/>
      <c r="N978" s="4"/>
      <c r="Q978" s="4"/>
      <c r="R978" s="4"/>
      <c r="U978" s="4"/>
    </row>
    <row r="979" spans="1:21" ht="15.75" customHeight="1" x14ac:dyDescent="0.35">
      <c r="A979" s="4"/>
      <c r="B979" s="4"/>
      <c r="F979" s="4"/>
      <c r="M979" s="4"/>
      <c r="N979" s="4"/>
      <c r="Q979" s="4"/>
      <c r="R979" s="4"/>
      <c r="U979" s="4"/>
    </row>
    <row r="980" spans="1:21" ht="15.75" customHeight="1" x14ac:dyDescent="0.35">
      <c r="A980" s="4"/>
      <c r="B980" s="4"/>
      <c r="F980" s="4"/>
      <c r="M980" s="4"/>
      <c r="N980" s="4"/>
      <c r="Q980" s="4"/>
      <c r="R980" s="4"/>
      <c r="U980" s="4"/>
    </row>
    <row r="981" spans="1:21" ht="15.75" customHeight="1" x14ac:dyDescent="0.35">
      <c r="A981" s="4"/>
      <c r="B981" s="4"/>
      <c r="F981" s="4"/>
      <c r="M981" s="4"/>
      <c r="N981" s="4"/>
      <c r="Q981" s="4"/>
      <c r="R981" s="4"/>
      <c r="U981" s="4"/>
    </row>
    <row r="982" spans="1:21" ht="15.75" customHeight="1" x14ac:dyDescent="0.35">
      <c r="A982" s="4"/>
      <c r="B982" s="4"/>
      <c r="F982" s="4"/>
      <c r="M982" s="4"/>
      <c r="N982" s="4"/>
      <c r="Q982" s="4"/>
      <c r="R982" s="4"/>
      <c r="U982" s="4"/>
    </row>
    <row r="983" spans="1:21" ht="15.75" customHeight="1" x14ac:dyDescent="0.35">
      <c r="A983" s="4"/>
      <c r="B983" s="4"/>
      <c r="F983" s="4"/>
      <c r="M983" s="4"/>
      <c r="N983" s="4"/>
      <c r="Q983" s="4"/>
      <c r="R983" s="4"/>
      <c r="U983" s="4"/>
    </row>
    <row r="984" spans="1:21" ht="15.75" customHeight="1" x14ac:dyDescent="0.35">
      <c r="A984" s="4"/>
      <c r="B984" s="4"/>
      <c r="F984" s="4"/>
      <c r="M984" s="4"/>
      <c r="N984" s="4"/>
      <c r="Q984" s="4"/>
      <c r="R984" s="4"/>
      <c r="U984" s="4"/>
    </row>
    <row r="985" spans="1:21" ht="15.75" customHeight="1" x14ac:dyDescent="0.35">
      <c r="A985" s="4"/>
      <c r="B985" s="4"/>
      <c r="F985" s="4"/>
      <c r="M985" s="4"/>
      <c r="N985" s="4"/>
      <c r="Q985" s="4"/>
      <c r="R985" s="4"/>
      <c r="U985" s="4"/>
    </row>
    <row r="986" spans="1:21" ht="15.75" customHeight="1" x14ac:dyDescent="0.35">
      <c r="A986" s="4"/>
      <c r="B986" s="4"/>
      <c r="F986" s="4"/>
      <c r="M986" s="4"/>
      <c r="N986" s="4"/>
      <c r="Q986" s="4"/>
      <c r="R986" s="4"/>
      <c r="U986" s="4"/>
    </row>
    <row r="987" spans="1:21" ht="15.75" customHeight="1" x14ac:dyDescent="0.35">
      <c r="A987" s="4"/>
      <c r="B987" s="4"/>
      <c r="F987" s="4"/>
      <c r="M987" s="4"/>
      <c r="N987" s="4"/>
      <c r="Q987" s="4"/>
      <c r="R987" s="4"/>
      <c r="U987" s="4"/>
    </row>
    <row r="988" spans="1:21" ht="15.75" customHeight="1" x14ac:dyDescent="0.35">
      <c r="A988" s="4"/>
      <c r="B988" s="4"/>
      <c r="F988" s="4"/>
      <c r="M988" s="4"/>
      <c r="N988" s="4"/>
      <c r="Q988" s="4"/>
      <c r="R988" s="4"/>
      <c r="U988" s="4"/>
    </row>
    <row r="989" spans="1:21" ht="15.75" customHeight="1" x14ac:dyDescent="0.35">
      <c r="A989" s="4"/>
      <c r="B989" s="4"/>
      <c r="F989" s="4"/>
      <c r="M989" s="4"/>
      <c r="N989" s="4"/>
      <c r="Q989" s="4"/>
      <c r="R989" s="4"/>
      <c r="U989" s="4"/>
    </row>
    <row r="990" spans="1:21" ht="15.75" customHeight="1" x14ac:dyDescent="0.35">
      <c r="A990" s="4"/>
      <c r="B990" s="4"/>
      <c r="F990" s="4"/>
      <c r="M990" s="4"/>
      <c r="N990" s="4"/>
      <c r="Q990" s="4"/>
      <c r="R990" s="4"/>
      <c r="U990" s="4"/>
    </row>
    <row r="991" spans="1:21" ht="15.75" customHeight="1" x14ac:dyDescent="0.35">
      <c r="A991" s="4"/>
      <c r="B991" s="4"/>
      <c r="F991" s="4"/>
      <c r="M991" s="4"/>
      <c r="N991" s="4"/>
      <c r="Q991" s="4"/>
      <c r="R991" s="4"/>
      <c r="U991" s="4"/>
    </row>
    <row r="992" spans="1:21" ht="15.75" customHeight="1" x14ac:dyDescent="0.35">
      <c r="A992" s="4"/>
      <c r="B992" s="4"/>
      <c r="F992" s="4"/>
      <c r="M992" s="4"/>
      <c r="N992" s="4"/>
      <c r="Q992" s="4"/>
      <c r="R992" s="4"/>
      <c r="U992" s="4"/>
    </row>
    <row r="993" spans="1:21" ht="15.75" customHeight="1" x14ac:dyDescent="0.35">
      <c r="A993" s="4"/>
      <c r="B993" s="4"/>
      <c r="F993" s="4"/>
      <c r="M993" s="4"/>
      <c r="N993" s="4"/>
      <c r="Q993" s="4"/>
      <c r="R993" s="4"/>
      <c r="U993" s="4"/>
    </row>
    <row r="994" spans="1:21" ht="15.75" customHeight="1" x14ac:dyDescent="0.35">
      <c r="A994" s="4"/>
      <c r="B994" s="4"/>
      <c r="F994" s="4"/>
      <c r="M994" s="4"/>
      <c r="N994" s="4"/>
      <c r="Q994" s="4"/>
      <c r="R994" s="4"/>
      <c r="U994" s="4"/>
    </row>
    <row r="995" spans="1:21" ht="15.75" customHeight="1" x14ac:dyDescent="0.35">
      <c r="A995" s="4"/>
      <c r="B995" s="4"/>
      <c r="F995" s="4"/>
      <c r="M995" s="4"/>
      <c r="N995" s="4"/>
      <c r="Q995" s="4"/>
      <c r="R995" s="4"/>
      <c r="U995" s="4"/>
    </row>
    <row r="996" spans="1:21" ht="15.75" customHeight="1" x14ac:dyDescent="0.35">
      <c r="A996" s="4"/>
      <c r="B996" s="4"/>
      <c r="F996" s="4"/>
      <c r="M996" s="4"/>
      <c r="N996" s="4"/>
      <c r="Q996" s="4"/>
      <c r="R996" s="4"/>
      <c r="U996" s="4"/>
    </row>
    <row r="997" spans="1:21" ht="15.75" customHeight="1" x14ac:dyDescent="0.35">
      <c r="A997" s="4"/>
      <c r="B997" s="4"/>
      <c r="F997" s="4"/>
      <c r="M997" s="4"/>
      <c r="N997" s="4"/>
      <c r="Q997" s="4"/>
      <c r="R997" s="4"/>
      <c r="U997" s="4"/>
    </row>
    <row r="998" spans="1:21" ht="15.75" customHeight="1" x14ac:dyDescent="0.35">
      <c r="A998" s="4"/>
      <c r="B998" s="4"/>
      <c r="F998" s="4"/>
      <c r="M998" s="4"/>
      <c r="N998" s="4"/>
      <c r="Q998" s="4"/>
      <c r="R998" s="4"/>
      <c r="U998" s="4"/>
    </row>
    <row r="999" spans="1:21" ht="15.75" customHeight="1" x14ac:dyDescent="0.35">
      <c r="A999" s="4"/>
      <c r="B999" s="4"/>
      <c r="F999" s="4"/>
      <c r="M999" s="4"/>
      <c r="N999" s="4"/>
      <c r="Q999" s="4"/>
      <c r="R999" s="4"/>
      <c r="U999" s="4"/>
    </row>
    <row r="1000" spans="1:21" ht="15.75" customHeight="1" x14ac:dyDescent="0.35">
      <c r="A1000" s="4"/>
      <c r="B1000" s="4"/>
      <c r="F1000" s="4"/>
      <c r="M1000" s="4"/>
      <c r="N1000" s="4"/>
      <c r="Q1000" s="4"/>
      <c r="R1000" s="4"/>
      <c r="U1000" s="4"/>
    </row>
  </sheetData>
  <autoFilter ref="A3:U3" xr:uid="{00000000-0009-0000-0000-000006000000}"/>
  <mergeCells count="2">
    <mergeCell ref="A1:A2"/>
    <mergeCell ref="D1:T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600-000000000000}">
          <x14:formula1>
            <xm:f>KETERANGAN!$M$4:$M$9</xm:f>
          </x14:formula1>
          <xm:sqref>M4:M1000</xm:sqref>
        </x14:dataValidation>
        <x14:dataValidation type="list" allowBlank="1" showErrorMessage="1" xr:uid="{00000000-0002-0000-0600-000001000000}">
          <x14:formula1>
            <xm:f>KETERANGAN!$N$4:$N$12</xm:f>
          </x14:formula1>
          <xm:sqref>N4:N1000</xm:sqref>
        </x14:dataValidation>
        <x14:dataValidation type="list" allowBlank="1" showErrorMessage="1" xr:uid="{00000000-0002-0000-0600-000002000000}">
          <x14:formula1>
            <xm:f>KETERANGAN!$R$4:$R$7</xm:f>
          </x14:formula1>
          <xm:sqref>R4:R1000</xm:sqref>
        </x14:dataValidation>
        <x14:dataValidation type="list" allowBlank="1" showErrorMessage="1" xr:uid="{00000000-0002-0000-0600-000003000000}">
          <x14:formula1>
            <xm:f>KETERANGAN!$F$4:$F$5</xm:f>
          </x14:formula1>
          <xm:sqref>F4:F1000</xm:sqref>
        </x14:dataValidation>
        <x14:dataValidation type="list" allowBlank="1" showErrorMessage="1" xr:uid="{00000000-0002-0000-0600-000004000000}">
          <x14:formula1>
            <xm:f>KETERANGAN!$B$4:$B$5</xm:f>
          </x14:formula1>
          <xm:sqref>B4:B1000</xm:sqref>
        </x14:dataValidation>
        <x14:dataValidation type="list" allowBlank="1" showErrorMessage="1" xr:uid="{00000000-0002-0000-0600-000005000000}">
          <x14:formula1>
            <xm:f>KETERANGAN!$Q$4:$Q$8</xm:f>
          </x14:formula1>
          <xm:sqref>Q4:Q1000</xm:sqref>
        </x14:dataValidation>
        <x14:dataValidation type="list" allowBlank="1" showErrorMessage="1" xr:uid="{00000000-0002-0000-0600-000006000000}">
          <x14:formula1>
            <xm:f>KETERANGAN!$U$4:$U$8</xm:f>
          </x14:formula1>
          <xm:sqref>U4:U1000</xm:sqref>
        </x14:dataValidation>
        <x14:dataValidation type="list" allowBlank="1" showErrorMessage="1" xr:uid="{00000000-0002-0000-0600-000007000000}">
          <x14:formula1>
            <xm:f>KETERANGAN!$A$4:$A$34</xm:f>
          </x14:formula1>
          <xm:sqref>A4:A1000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Laporan Potensi Wilayah</vt:lpstr>
      <vt:lpstr>RINGKASAN</vt:lpstr>
      <vt:lpstr>MENINGGAL</vt:lpstr>
      <vt:lpstr>POTENSI WILAYAH</vt:lpstr>
      <vt:lpstr>KETERANGAN</vt:lpstr>
      <vt:lpstr>contoh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zakilagi</dc:creator>
  <cp:lastModifiedBy>Zaki Ramadhan</cp:lastModifiedBy>
  <dcterms:created xsi:type="dcterms:W3CDTF">2024-10-16T06:26:27Z</dcterms:created>
  <dcterms:modified xsi:type="dcterms:W3CDTF">2024-10-16T06:26:44Z</dcterms:modified>
</cp:coreProperties>
</file>